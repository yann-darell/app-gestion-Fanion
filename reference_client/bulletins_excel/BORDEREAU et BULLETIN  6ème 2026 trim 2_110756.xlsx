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'croute\Desktop\BULLETIN COPRIFAN\bulletin fanion 2025-2026\6e\trim 2\"/>
    </mc:Choice>
  </mc:AlternateContent>
  <bookViews>
    <workbookView xWindow="360" yWindow="330" windowWidth="18675" windowHeight="8235" tabRatio="914" firstSheet="3" activeTab="15"/>
  </bookViews>
  <sheets>
    <sheet name="SEQUENCE 3" sheetId="16" r:id="rId1"/>
    <sheet name="SEQUENCE 4" sheetId="18" r:id="rId2"/>
    <sheet name="BORDEREAU" sheetId="19" r:id="rId3"/>
    <sheet name="ATEBA" sheetId="23" r:id="rId4"/>
    <sheet name="AYE" sheetId="24" r:id="rId5"/>
    <sheet name="AYANGMA" sheetId="25" r:id="rId6"/>
    <sheet name="AYISSI" sheetId="26" r:id="rId7"/>
    <sheet name="BEKOLO" sheetId="27" r:id="rId8"/>
    <sheet name="BENGONO" sheetId="28" r:id="rId9"/>
    <sheet name="LOMA" sheetId="29" r:id="rId10"/>
    <sheet name="MBOUE" sheetId="30" r:id="rId11"/>
    <sheet name="ONANINA" sheetId="31" r:id="rId12"/>
    <sheet name="POUABE" sheetId="32" r:id="rId13"/>
    <sheet name="TAMA" sheetId="34" r:id="rId14"/>
    <sheet name="EBOUKA" sheetId="35" r:id="rId15"/>
    <sheet name="NGONO" sheetId="36" r:id="rId16"/>
  </sheets>
  <calcPr calcId="162913"/>
</workbook>
</file>

<file path=xl/calcChain.xml><?xml version="1.0" encoding="utf-8"?>
<calcChain xmlns="http://schemas.openxmlformats.org/spreadsheetml/2006/main">
  <c r="F45" i="18" l="1"/>
  <c r="A46" i="19"/>
  <c r="A49" i="19"/>
  <c r="A50" i="19"/>
  <c r="A51" i="19"/>
  <c r="A52" i="19"/>
  <c r="A53" i="19"/>
  <c r="A54" i="19"/>
  <c r="A55" i="19"/>
  <c r="A56" i="19"/>
  <c r="A57" i="19"/>
  <c r="A23" i="19"/>
  <c r="A26" i="19"/>
  <c r="A27" i="19"/>
  <c r="A28" i="19"/>
  <c r="A29" i="19"/>
  <c r="A30" i="19"/>
  <c r="A34" i="19"/>
  <c r="F46" i="16"/>
  <c r="F42" i="36"/>
  <c r="E42" i="36"/>
  <c r="D42" i="36"/>
  <c r="F41" i="36"/>
  <c r="E41" i="36"/>
  <c r="D41" i="36"/>
  <c r="F40" i="36"/>
  <c r="E40" i="36"/>
  <c r="P29" i="36"/>
  <c r="O29" i="36"/>
  <c r="L29" i="36"/>
  <c r="H29" i="36"/>
  <c r="P28" i="36"/>
  <c r="O28" i="36"/>
  <c r="L28" i="36"/>
  <c r="P27" i="36"/>
  <c r="O27" i="36"/>
  <c r="H27" i="36"/>
  <c r="P26" i="36"/>
  <c r="O26" i="36"/>
  <c r="L26" i="36"/>
  <c r="P22" i="36"/>
  <c r="O22" i="36"/>
  <c r="L22" i="36"/>
  <c r="P21" i="36"/>
  <c r="O21" i="36"/>
  <c r="L21" i="36"/>
  <c r="P20" i="36"/>
  <c r="O20" i="36"/>
  <c r="L20" i="36"/>
  <c r="H20" i="36"/>
  <c r="P16" i="36"/>
  <c r="O16" i="36"/>
  <c r="L16" i="36"/>
  <c r="P15" i="36"/>
  <c r="O15" i="36"/>
  <c r="L15" i="36"/>
  <c r="P14" i="36"/>
  <c r="O14" i="36"/>
  <c r="L14" i="36"/>
  <c r="P13" i="36"/>
  <c r="O13" i="36"/>
  <c r="H13" i="36"/>
  <c r="P9" i="36"/>
  <c r="O9" i="36"/>
  <c r="H9" i="36"/>
  <c r="P8" i="36"/>
  <c r="O8" i="36"/>
  <c r="L8" i="36"/>
  <c r="P7" i="36"/>
  <c r="O7" i="36"/>
  <c r="H7" i="36"/>
  <c r="P6" i="36"/>
  <c r="O6" i="36"/>
  <c r="L6" i="36"/>
  <c r="P5" i="36"/>
  <c r="O5" i="36"/>
  <c r="L5" i="36"/>
  <c r="F42" i="35"/>
  <c r="E42" i="35"/>
  <c r="D42" i="35"/>
  <c r="F41" i="35"/>
  <c r="E41" i="35"/>
  <c r="D41" i="35"/>
  <c r="F40" i="35"/>
  <c r="E40" i="35"/>
  <c r="P29" i="35"/>
  <c r="O29" i="35"/>
  <c r="L29" i="35"/>
  <c r="H29" i="35"/>
  <c r="P28" i="35"/>
  <c r="O28" i="35"/>
  <c r="L28" i="35"/>
  <c r="P27" i="35"/>
  <c r="O27" i="35"/>
  <c r="H27" i="35"/>
  <c r="P26" i="35"/>
  <c r="O26" i="35"/>
  <c r="L26" i="35"/>
  <c r="H26" i="35"/>
  <c r="P22" i="35"/>
  <c r="O22" i="35"/>
  <c r="L22" i="35"/>
  <c r="P21" i="35"/>
  <c r="O21" i="35"/>
  <c r="L21" i="35"/>
  <c r="P20" i="35"/>
  <c r="O20" i="35"/>
  <c r="H20" i="35"/>
  <c r="L20" i="35"/>
  <c r="P16" i="35"/>
  <c r="O16" i="35"/>
  <c r="L16" i="35"/>
  <c r="P15" i="35"/>
  <c r="O15" i="35"/>
  <c r="L15" i="35"/>
  <c r="P14" i="35"/>
  <c r="O14" i="35"/>
  <c r="H14" i="35"/>
  <c r="L14" i="35"/>
  <c r="P13" i="35"/>
  <c r="O13" i="35"/>
  <c r="L13" i="35"/>
  <c r="H13" i="35"/>
  <c r="P9" i="35"/>
  <c r="O9" i="35"/>
  <c r="H9" i="35"/>
  <c r="P8" i="35"/>
  <c r="O8" i="35"/>
  <c r="L8" i="35"/>
  <c r="P7" i="35"/>
  <c r="O7" i="35"/>
  <c r="H7" i="35"/>
  <c r="P6" i="35"/>
  <c r="O6" i="35"/>
  <c r="L6" i="35"/>
  <c r="P5" i="35"/>
  <c r="O5" i="35"/>
  <c r="H5" i="35"/>
  <c r="F42" i="34"/>
  <c r="E42" i="34"/>
  <c r="D42" i="34"/>
  <c r="F41" i="34"/>
  <c r="E41" i="34"/>
  <c r="D41" i="34"/>
  <c r="F40" i="34"/>
  <c r="E40" i="34"/>
  <c r="P29" i="34"/>
  <c r="O29" i="34"/>
  <c r="L29" i="34"/>
  <c r="H29" i="34"/>
  <c r="D29" i="34"/>
  <c r="P28" i="34"/>
  <c r="O28" i="34"/>
  <c r="D28" i="34"/>
  <c r="L28" i="34" s="1"/>
  <c r="P27" i="34"/>
  <c r="O27" i="34"/>
  <c r="D27" i="34"/>
  <c r="L27" i="34" s="1"/>
  <c r="P26" i="34"/>
  <c r="O26" i="34"/>
  <c r="L26" i="34"/>
  <c r="H26" i="34"/>
  <c r="D26" i="34"/>
  <c r="P22" i="34"/>
  <c r="O22" i="34"/>
  <c r="D22" i="34"/>
  <c r="L22" i="34" s="1"/>
  <c r="P21" i="34"/>
  <c r="O21" i="34"/>
  <c r="D21" i="34"/>
  <c r="L21" i="34" s="1"/>
  <c r="P20" i="34"/>
  <c r="O20" i="34"/>
  <c r="L20" i="34"/>
  <c r="H20" i="34"/>
  <c r="D20" i="34"/>
  <c r="P16" i="34"/>
  <c r="O16" i="34"/>
  <c r="D16" i="34"/>
  <c r="L16" i="34" s="1"/>
  <c r="P15" i="34"/>
  <c r="O15" i="34"/>
  <c r="D15" i="34"/>
  <c r="L15" i="34" s="1"/>
  <c r="P14" i="34"/>
  <c r="O14" i="34"/>
  <c r="L14" i="34"/>
  <c r="H14" i="34"/>
  <c r="D14" i="34"/>
  <c r="P13" i="34"/>
  <c r="O13" i="34"/>
  <c r="L13" i="34"/>
  <c r="H13" i="34"/>
  <c r="D13" i="34"/>
  <c r="P9" i="34"/>
  <c r="O9" i="34"/>
  <c r="D9" i="34"/>
  <c r="L9" i="34" s="1"/>
  <c r="P8" i="34"/>
  <c r="O8" i="34"/>
  <c r="L8" i="34"/>
  <c r="H8" i="34"/>
  <c r="D8" i="34"/>
  <c r="P7" i="34"/>
  <c r="O7" i="34"/>
  <c r="L7" i="34"/>
  <c r="H7" i="34"/>
  <c r="D7" i="34"/>
  <c r="P6" i="34"/>
  <c r="O6" i="34"/>
  <c r="D6" i="34"/>
  <c r="L6" i="34" s="1"/>
  <c r="P5" i="34"/>
  <c r="P30" i="34" s="1"/>
  <c r="P32" i="34" s="1"/>
  <c r="E35" i="34" s="1"/>
  <c r="O5" i="34"/>
  <c r="O30" i="34" s="1"/>
  <c r="O32" i="34" s="1"/>
  <c r="D35" i="34" s="1"/>
  <c r="D5" i="34"/>
  <c r="L5" i="34" s="1"/>
  <c r="F42" i="32"/>
  <c r="E42" i="32"/>
  <c r="D42" i="32"/>
  <c r="F41" i="32"/>
  <c r="E41" i="32"/>
  <c r="D41" i="32"/>
  <c r="F40" i="32"/>
  <c r="E40" i="32"/>
  <c r="P29" i="32"/>
  <c r="O29" i="32"/>
  <c r="L29" i="32"/>
  <c r="D29" i="32"/>
  <c r="H29" i="32" s="1"/>
  <c r="P28" i="32"/>
  <c r="O28" i="32"/>
  <c r="D28" i="32"/>
  <c r="L28" i="32" s="1"/>
  <c r="P27" i="32"/>
  <c r="O27" i="32"/>
  <c r="D27" i="32"/>
  <c r="L27" i="32" s="1"/>
  <c r="P26" i="32"/>
  <c r="O26" i="32"/>
  <c r="D26" i="32"/>
  <c r="L26" i="32" s="1"/>
  <c r="P22" i="32"/>
  <c r="O22" i="32"/>
  <c r="D22" i="32"/>
  <c r="L22" i="32" s="1"/>
  <c r="P21" i="32"/>
  <c r="O21" i="32"/>
  <c r="D21" i="32"/>
  <c r="L21" i="32" s="1"/>
  <c r="P20" i="32"/>
  <c r="O20" i="32"/>
  <c r="D20" i="32"/>
  <c r="H20" i="32" s="1"/>
  <c r="P16" i="32"/>
  <c r="O16" i="32"/>
  <c r="D16" i="32"/>
  <c r="L16" i="32" s="1"/>
  <c r="P15" i="32"/>
  <c r="O15" i="32"/>
  <c r="D15" i="32"/>
  <c r="L15" i="32" s="1"/>
  <c r="P14" i="32"/>
  <c r="O14" i="32"/>
  <c r="D14" i="32"/>
  <c r="L14" i="32" s="1"/>
  <c r="P13" i="32"/>
  <c r="O13" i="32"/>
  <c r="D13" i="32"/>
  <c r="H13" i="32" s="1"/>
  <c r="P9" i="32"/>
  <c r="O9" i="32"/>
  <c r="D9" i="32"/>
  <c r="L9" i="32" s="1"/>
  <c r="P8" i="32"/>
  <c r="O8" i="32"/>
  <c r="H8" i="32"/>
  <c r="D8" i="32"/>
  <c r="L8" i="32" s="1"/>
  <c r="P7" i="32"/>
  <c r="O7" i="32"/>
  <c r="L7" i="32"/>
  <c r="D7" i="32"/>
  <c r="H7" i="32" s="1"/>
  <c r="P6" i="32"/>
  <c r="O6" i="32"/>
  <c r="D6" i="32"/>
  <c r="L6" i="32" s="1"/>
  <c r="P5" i="32"/>
  <c r="O5" i="32"/>
  <c r="D5" i="32"/>
  <c r="H5" i="32" s="1"/>
  <c r="F42" i="31"/>
  <c r="E42" i="31"/>
  <c r="D42" i="31"/>
  <c r="F41" i="31"/>
  <c r="E41" i="31"/>
  <c r="D41" i="31"/>
  <c r="F40" i="31"/>
  <c r="E40" i="31"/>
  <c r="P29" i="31"/>
  <c r="O29" i="31"/>
  <c r="L29" i="31"/>
  <c r="D29" i="31"/>
  <c r="H29" i="31" s="1"/>
  <c r="P28" i="31"/>
  <c r="O28" i="31"/>
  <c r="D28" i="31"/>
  <c r="L28" i="31" s="1"/>
  <c r="P27" i="31"/>
  <c r="O27" i="31"/>
  <c r="D27" i="31"/>
  <c r="L27" i="31" s="1"/>
  <c r="P26" i="31"/>
  <c r="O26" i="31"/>
  <c r="L26" i="31"/>
  <c r="D26" i="31"/>
  <c r="H26" i="31" s="1"/>
  <c r="P22" i="31"/>
  <c r="O22" i="31"/>
  <c r="D22" i="31"/>
  <c r="L22" i="31" s="1"/>
  <c r="P21" i="31"/>
  <c r="O21" i="31"/>
  <c r="D21" i="31"/>
  <c r="L21" i="31" s="1"/>
  <c r="P20" i="31"/>
  <c r="O20" i="31"/>
  <c r="D20" i="31"/>
  <c r="L20" i="31" s="1"/>
  <c r="P16" i="31"/>
  <c r="O16" i="31"/>
  <c r="D16" i="31"/>
  <c r="L16" i="31" s="1"/>
  <c r="P15" i="31"/>
  <c r="O15" i="31"/>
  <c r="D15" i="31"/>
  <c r="L15" i="31" s="1"/>
  <c r="P14" i="31"/>
  <c r="O14" i="31"/>
  <c r="D14" i="31"/>
  <c r="L14" i="31" s="1"/>
  <c r="P13" i="31"/>
  <c r="O13" i="31"/>
  <c r="D13" i="31"/>
  <c r="H13" i="31" s="1"/>
  <c r="P9" i="31"/>
  <c r="O9" i="31"/>
  <c r="D9" i="31"/>
  <c r="L9" i="31" s="1"/>
  <c r="P8" i="31"/>
  <c r="O8" i="31"/>
  <c r="D8" i="31"/>
  <c r="L8" i="31" s="1"/>
  <c r="P7" i="31"/>
  <c r="O7" i="31"/>
  <c r="D7" i="31"/>
  <c r="H7" i="31" s="1"/>
  <c r="P6" i="31"/>
  <c r="O6" i="31"/>
  <c r="D6" i="31"/>
  <c r="L6" i="31" s="1"/>
  <c r="P5" i="31"/>
  <c r="O5" i="31"/>
  <c r="D5" i="31"/>
  <c r="L5" i="31" s="1"/>
  <c r="F42" i="30"/>
  <c r="E42" i="30"/>
  <c r="D42" i="30"/>
  <c r="F41" i="30"/>
  <c r="E41" i="30"/>
  <c r="D41" i="30"/>
  <c r="F40" i="30"/>
  <c r="E40" i="30"/>
  <c r="P29" i="30"/>
  <c r="O29" i="30"/>
  <c r="L29" i="30"/>
  <c r="H29" i="30"/>
  <c r="P28" i="30"/>
  <c r="O28" i="30"/>
  <c r="L28" i="30"/>
  <c r="P27" i="30"/>
  <c r="O27" i="30"/>
  <c r="H27" i="30"/>
  <c r="P26" i="30"/>
  <c r="O26" i="30"/>
  <c r="L26" i="30"/>
  <c r="H26" i="30"/>
  <c r="P22" i="30"/>
  <c r="O22" i="30"/>
  <c r="L22" i="30"/>
  <c r="P21" i="30"/>
  <c r="O21" i="30"/>
  <c r="L21" i="30"/>
  <c r="P20" i="30"/>
  <c r="O20" i="30"/>
  <c r="L20" i="30"/>
  <c r="P16" i="30"/>
  <c r="O16" i="30"/>
  <c r="L16" i="30"/>
  <c r="P15" i="30"/>
  <c r="O15" i="30"/>
  <c r="L15" i="30"/>
  <c r="P14" i="30"/>
  <c r="O14" i="30"/>
  <c r="L14" i="30"/>
  <c r="H14" i="30"/>
  <c r="P13" i="30"/>
  <c r="O13" i="30"/>
  <c r="L13" i="30"/>
  <c r="H13" i="30"/>
  <c r="P9" i="30"/>
  <c r="O9" i="30"/>
  <c r="H9" i="30"/>
  <c r="P8" i="30"/>
  <c r="O8" i="30"/>
  <c r="H8" i="30"/>
  <c r="L8" i="30"/>
  <c r="P7" i="30"/>
  <c r="O7" i="30"/>
  <c r="L7" i="30"/>
  <c r="H7" i="30"/>
  <c r="P6" i="30"/>
  <c r="O6" i="30"/>
  <c r="L6" i="30"/>
  <c r="P5" i="30"/>
  <c r="O5" i="30"/>
  <c r="H5" i="30"/>
  <c r="F42" i="29"/>
  <c r="E42" i="29"/>
  <c r="D42" i="29"/>
  <c r="F41" i="29"/>
  <c r="E41" i="29"/>
  <c r="D41" i="29"/>
  <c r="F40" i="29"/>
  <c r="E40" i="29"/>
  <c r="P29" i="29"/>
  <c r="O29" i="29"/>
  <c r="D29" i="29"/>
  <c r="H29" i="29" s="1"/>
  <c r="P28" i="29"/>
  <c r="O28" i="29"/>
  <c r="D28" i="29"/>
  <c r="L28" i="29" s="1"/>
  <c r="P27" i="29"/>
  <c r="O27" i="29"/>
  <c r="D27" i="29"/>
  <c r="L27" i="29" s="1"/>
  <c r="P26" i="29"/>
  <c r="O26" i="29"/>
  <c r="D26" i="29"/>
  <c r="L26" i="29" s="1"/>
  <c r="P22" i="29"/>
  <c r="O22" i="29"/>
  <c r="D22" i="29"/>
  <c r="L22" i="29" s="1"/>
  <c r="P21" i="29"/>
  <c r="O21" i="29"/>
  <c r="D21" i="29"/>
  <c r="L21" i="29" s="1"/>
  <c r="P20" i="29"/>
  <c r="O20" i="29"/>
  <c r="D20" i="29"/>
  <c r="H20" i="29" s="1"/>
  <c r="P16" i="29"/>
  <c r="O16" i="29"/>
  <c r="D16" i="29"/>
  <c r="L16" i="29" s="1"/>
  <c r="P15" i="29"/>
  <c r="O15" i="29"/>
  <c r="D15" i="29"/>
  <c r="L15" i="29" s="1"/>
  <c r="P14" i="29"/>
  <c r="O14" i="29"/>
  <c r="D14" i="29"/>
  <c r="L14" i="29" s="1"/>
  <c r="P13" i="29"/>
  <c r="O13" i="29"/>
  <c r="D13" i="29"/>
  <c r="H13" i="29" s="1"/>
  <c r="P9" i="29"/>
  <c r="O9" i="29"/>
  <c r="D9" i="29"/>
  <c r="H9" i="29" s="1"/>
  <c r="P8" i="29"/>
  <c r="O8" i="29"/>
  <c r="D8" i="29"/>
  <c r="L8" i="29" s="1"/>
  <c r="P7" i="29"/>
  <c r="O7" i="29"/>
  <c r="D7" i="29"/>
  <c r="H7" i="29" s="1"/>
  <c r="P6" i="29"/>
  <c r="O6" i="29"/>
  <c r="D6" i="29"/>
  <c r="L6" i="29" s="1"/>
  <c r="P5" i="29"/>
  <c r="O5" i="29"/>
  <c r="D5" i="29"/>
  <c r="H5" i="29" s="1"/>
  <c r="F42" i="28"/>
  <c r="E42" i="28"/>
  <c r="D42" i="28"/>
  <c r="F41" i="28"/>
  <c r="E41" i="28"/>
  <c r="D41" i="28"/>
  <c r="F40" i="28"/>
  <c r="E40" i="28"/>
  <c r="P29" i="28"/>
  <c r="O29" i="28"/>
  <c r="D29" i="28"/>
  <c r="H29" i="28" s="1"/>
  <c r="P28" i="28"/>
  <c r="O28" i="28"/>
  <c r="D28" i="28"/>
  <c r="L28" i="28" s="1"/>
  <c r="P27" i="28"/>
  <c r="O27" i="28"/>
  <c r="D27" i="28"/>
  <c r="H27" i="28" s="1"/>
  <c r="P26" i="28"/>
  <c r="O26" i="28"/>
  <c r="D26" i="28"/>
  <c r="L26" i="28" s="1"/>
  <c r="P22" i="28"/>
  <c r="O22" i="28"/>
  <c r="D22" i="28"/>
  <c r="L22" i="28" s="1"/>
  <c r="P21" i="28"/>
  <c r="O21" i="28"/>
  <c r="D21" i="28"/>
  <c r="L21" i="28" s="1"/>
  <c r="P20" i="28"/>
  <c r="O20" i="28"/>
  <c r="D20" i="28"/>
  <c r="L20" i="28" s="1"/>
  <c r="P16" i="28"/>
  <c r="O16" i="28"/>
  <c r="D16" i="28"/>
  <c r="L16" i="28" s="1"/>
  <c r="P15" i="28"/>
  <c r="O15" i="28"/>
  <c r="D15" i="28"/>
  <c r="H15" i="28" s="1"/>
  <c r="P14" i="28"/>
  <c r="O14" i="28"/>
  <c r="H14" i="28"/>
  <c r="D14" i="28"/>
  <c r="L14" i="28" s="1"/>
  <c r="P13" i="28"/>
  <c r="O13" i="28"/>
  <c r="L13" i="28"/>
  <c r="D13" i="28"/>
  <c r="H13" i="28" s="1"/>
  <c r="P9" i="28"/>
  <c r="O9" i="28"/>
  <c r="D9" i="28"/>
  <c r="L9" i="28" s="1"/>
  <c r="P8" i="28"/>
  <c r="O8" i="28"/>
  <c r="D8" i="28"/>
  <c r="L8" i="28" s="1"/>
  <c r="P7" i="28"/>
  <c r="O7" i="28"/>
  <c r="D7" i="28"/>
  <c r="H7" i="28" s="1"/>
  <c r="P6" i="28"/>
  <c r="O6" i="28"/>
  <c r="D6" i="28"/>
  <c r="L6" i="28" s="1"/>
  <c r="P5" i="28"/>
  <c r="O5" i="28"/>
  <c r="D5" i="28"/>
  <c r="L5" i="28" s="1"/>
  <c r="F42" i="27"/>
  <c r="E42" i="27"/>
  <c r="D42" i="27"/>
  <c r="F41" i="27"/>
  <c r="E41" i="27"/>
  <c r="D41" i="27"/>
  <c r="F40" i="27"/>
  <c r="E40" i="27"/>
  <c r="P29" i="27"/>
  <c r="O29" i="27"/>
  <c r="L29" i="27"/>
  <c r="H29" i="27"/>
  <c r="D29" i="27"/>
  <c r="P28" i="27"/>
  <c r="O28" i="27"/>
  <c r="L28" i="27"/>
  <c r="H28" i="27"/>
  <c r="D28" i="27"/>
  <c r="P27" i="27"/>
  <c r="O27" i="27"/>
  <c r="D27" i="27"/>
  <c r="L27" i="27" s="1"/>
  <c r="P26" i="27"/>
  <c r="O26" i="27"/>
  <c r="D26" i="27"/>
  <c r="L26" i="27" s="1"/>
  <c r="P22" i="27"/>
  <c r="O22" i="27"/>
  <c r="L22" i="27"/>
  <c r="H22" i="27"/>
  <c r="D22" i="27"/>
  <c r="P21" i="27"/>
  <c r="O21" i="27"/>
  <c r="D21" i="27"/>
  <c r="L21" i="27" s="1"/>
  <c r="P20" i="27"/>
  <c r="O20" i="27"/>
  <c r="D20" i="27"/>
  <c r="L20" i="27" s="1"/>
  <c r="P16" i="27"/>
  <c r="O16" i="27"/>
  <c r="L16" i="27"/>
  <c r="H16" i="27"/>
  <c r="D16" i="27"/>
  <c r="P15" i="27"/>
  <c r="O15" i="27"/>
  <c r="D15" i="27"/>
  <c r="L15" i="27" s="1"/>
  <c r="P14" i="27"/>
  <c r="O14" i="27"/>
  <c r="D14" i="27"/>
  <c r="H14" i="27" s="1"/>
  <c r="P13" i="27"/>
  <c r="O13" i="27"/>
  <c r="L13" i="27"/>
  <c r="H13" i="27"/>
  <c r="D13" i="27"/>
  <c r="P9" i="27"/>
  <c r="O9" i="27"/>
  <c r="D9" i="27"/>
  <c r="L9" i="27" s="1"/>
  <c r="P8" i="27"/>
  <c r="O8" i="27"/>
  <c r="D8" i="27"/>
  <c r="H8" i="27" s="1"/>
  <c r="P7" i="27"/>
  <c r="O7" i="27"/>
  <c r="L7" i="27"/>
  <c r="H7" i="27"/>
  <c r="D7" i="27"/>
  <c r="P6" i="27"/>
  <c r="O6" i="27"/>
  <c r="L6" i="27"/>
  <c r="H6" i="27"/>
  <c r="D6" i="27"/>
  <c r="P5" i="27"/>
  <c r="P30" i="27" s="1"/>
  <c r="P32" i="27" s="1"/>
  <c r="E35" i="27" s="1"/>
  <c r="O5" i="27"/>
  <c r="O30" i="27" s="1"/>
  <c r="O32" i="27" s="1"/>
  <c r="D35" i="27" s="1"/>
  <c r="D5" i="27"/>
  <c r="L5" i="27" s="1"/>
  <c r="V119" i="19"/>
  <c r="V118" i="19"/>
  <c r="V117" i="19"/>
  <c r="V116" i="19"/>
  <c r="V115" i="19"/>
  <c r="V114" i="19"/>
  <c r="V113" i="19"/>
  <c r="V112" i="19"/>
  <c r="V111" i="19"/>
  <c r="V110" i="19"/>
  <c r="V109" i="19"/>
  <c r="V108" i="19"/>
  <c r="V107" i="19"/>
  <c r="V106" i="19"/>
  <c r="V105" i="19"/>
  <c r="V104" i="19"/>
  <c r="G103" i="19"/>
  <c r="G102" i="19"/>
  <c r="F42" i="26"/>
  <c r="E42" i="26"/>
  <c r="D42" i="26"/>
  <c r="F41" i="26"/>
  <c r="E41" i="26"/>
  <c r="D41" i="26"/>
  <c r="F40" i="26"/>
  <c r="E40" i="26"/>
  <c r="P29" i="26"/>
  <c r="O29" i="26"/>
  <c r="L29" i="26"/>
  <c r="D29" i="26"/>
  <c r="H29" i="26" s="1"/>
  <c r="P28" i="26"/>
  <c r="O28" i="26"/>
  <c r="D28" i="26"/>
  <c r="L28" i="26" s="1"/>
  <c r="P27" i="26"/>
  <c r="O27" i="26"/>
  <c r="D27" i="26"/>
  <c r="H27" i="26" s="1"/>
  <c r="P26" i="26"/>
  <c r="O26" i="26"/>
  <c r="L26" i="26"/>
  <c r="H26" i="26"/>
  <c r="D26" i="26"/>
  <c r="P22" i="26"/>
  <c r="O22" i="26"/>
  <c r="D22" i="26"/>
  <c r="L22" i="26" s="1"/>
  <c r="P21" i="26"/>
  <c r="O21" i="26"/>
  <c r="D21" i="26"/>
  <c r="L21" i="26" s="1"/>
  <c r="P20" i="26"/>
  <c r="O20" i="26"/>
  <c r="L20" i="26"/>
  <c r="H20" i="26"/>
  <c r="D20" i="26"/>
  <c r="P16" i="26"/>
  <c r="O16" i="26"/>
  <c r="D16" i="26"/>
  <c r="L16" i="26" s="1"/>
  <c r="P15" i="26"/>
  <c r="O15" i="26"/>
  <c r="D15" i="26"/>
  <c r="L15" i="26" s="1"/>
  <c r="P14" i="26"/>
  <c r="O14" i="26"/>
  <c r="L14" i="26"/>
  <c r="H14" i="26"/>
  <c r="D14" i="26"/>
  <c r="P13" i="26"/>
  <c r="O13" i="26"/>
  <c r="L13" i="26"/>
  <c r="D13" i="26"/>
  <c r="H13" i="26" s="1"/>
  <c r="P9" i="26"/>
  <c r="O9" i="26"/>
  <c r="D9" i="26"/>
  <c r="H9" i="26" s="1"/>
  <c r="P8" i="26"/>
  <c r="O8" i="26"/>
  <c r="L8" i="26"/>
  <c r="H8" i="26"/>
  <c r="D8" i="26"/>
  <c r="P7" i="26"/>
  <c r="O7" i="26"/>
  <c r="L7" i="26"/>
  <c r="D7" i="26"/>
  <c r="H7" i="26" s="1"/>
  <c r="P6" i="26"/>
  <c r="O6" i="26"/>
  <c r="D6" i="26"/>
  <c r="L6" i="26" s="1"/>
  <c r="P5" i="26"/>
  <c r="P30" i="26" s="1"/>
  <c r="P32" i="26" s="1"/>
  <c r="E35" i="26" s="1"/>
  <c r="O5" i="26"/>
  <c r="O30" i="26" s="1"/>
  <c r="O32" i="26" s="1"/>
  <c r="D35" i="26" s="1"/>
  <c r="D5" i="26"/>
  <c r="H5" i="26" s="1"/>
  <c r="F42" i="25"/>
  <c r="E42" i="25"/>
  <c r="D42" i="25"/>
  <c r="F41" i="25"/>
  <c r="E41" i="25"/>
  <c r="D41" i="25"/>
  <c r="F40" i="25"/>
  <c r="E40" i="25"/>
  <c r="P29" i="25"/>
  <c r="O29" i="25"/>
  <c r="D29" i="25"/>
  <c r="H29" i="25" s="1"/>
  <c r="P28" i="25"/>
  <c r="O28" i="25"/>
  <c r="D28" i="25"/>
  <c r="L28" i="25" s="1"/>
  <c r="P27" i="25"/>
  <c r="O27" i="25"/>
  <c r="D27" i="25"/>
  <c r="L27" i="25" s="1"/>
  <c r="P26" i="25"/>
  <c r="O26" i="25"/>
  <c r="D26" i="25"/>
  <c r="L26" i="25" s="1"/>
  <c r="P22" i="25"/>
  <c r="O22" i="25"/>
  <c r="D22" i="25"/>
  <c r="H22" i="25" s="1"/>
  <c r="P21" i="25"/>
  <c r="O21" i="25"/>
  <c r="D21" i="25"/>
  <c r="L21" i="25" s="1"/>
  <c r="P20" i="25"/>
  <c r="O20" i="25"/>
  <c r="D20" i="25"/>
  <c r="L20" i="25" s="1"/>
  <c r="P16" i="25"/>
  <c r="O16" i="25"/>
  <c r="D16" i="25"/>
  <c r="L16" i="25" s="1"/>
  <c r="P15" i="25"/>
  <c r="O15" i="25"/>
  <c r="D15" i="25"/>
  <c r="L15" i="25" s="1"/>
  <c r="P14" i="25"/>
  <c r="O14" i="25"/>
  <c r="D14" i="25"/>
  <c r="H14" i="25" s="1"/>
  <c r="P13" i="25"/>
  <c r="O13" i="25"/>
  <c r="D13" i="25"/>
  <c r="L13" i="25" s="1"/>
  <c r="P9" i="25"/>
  <c r="O9" i="25"/>
  <c r="D9" i="25"/>
  <c r="L9" i="25" s="1"/>
  <c r="P8" i="25"/>
  <c r="O8" i="25"/>
  <c r="D8" i="25"/>
  <c r="H8" i="25" s="1"/>
  <c r="P7" i="25"/>
  <c r="O7" i="25"/>
  <c r="L7" i="25"/>
  <c r="D7" i="25"/>
  <c r="H7" i="25" s="1"/>
  <c r="P6" i="25"/>
  <c r="O6" i="25"/>
  <c r="D6" i="25"/>
  <c r="H6" i="25" s="1"/>
  <c r="P5" i="25"/>
  <c r="O5" i="25"/>
  <c r="D5" i="25"/>
  <c r="L5" i="25" s="1"/>
  <c r="F42" i="24"/>
  <c r="E42" i="24"/>
  <c r="D42" i="24"/>
  <c r="F41" i="24"/>
  <c r="E41" i="24"/>
  <c r="D41" i="24"/>
  <c r="F40" i="24"/>
  <c r="E40" i="24"/>
  <c r="P29" i="24"/>
  <c r="O29" i="24"/>
  <c r="L29" i="24"/>
  <c r="H29" i="24"/>
  <c r="D29" i="24"/>
  <c r="P28" i="24"/>
  <c r="O28" i="24"/>
  <c r="L28" i="24"/>
  <c r="H28" i="24"/>
  <c r="D28" i="24"/>
  <c r="P27" i="24"/>
  <c r="O27" i="24"/>
  <c r="D27" i="24"/>
  <c r="L27" i="24" s="1"/>
  <c r="P26" i="24"/>
  <c r="O26" i="24"/>
  <c r="D26" i="24"/>
  <c r="L26" i="24" s="1"/>
  <c r="P22" i="24"/>
  <c r="O22" i="24"/>
  <c r="L22" i="24"/>
  <c r="H22" i="24"/>
  <c r="D22" i="24"/>
  <c r="P21" i="24"/>
  <c r="O21" i="24"/>
  <c r="D21" i="24"/>
  <c r="L21" i="24" s="1"/>
  <c r="P20" i="24"/>
  <c r="O20" i="24"/>
  <c r="D20" i="24"/>
  <c r="L20" i="24" s="1"/>
  <c r="P16" i="24"/>
  <c r="O16" i="24"/>
  <c r="L16" i="24"/>
  <c r="H16" i="24"/>
  <c r="D16" i="24"/>
  <c r="P15" i="24"/>
  <c r="O15" i="24"/>
  <c r="D15" i="24"/>
  <c r="L15" i="24" s="1"/>
  <c r="P14" i="24"/>
  <c r="O14" i="24"/>
  <c r="D14" i="24"/>
  <c r="L14" i="24" s="1"/>
  <c r="P13" i="24"/>
  <c r="O13" i="24"/>
  <c r="L13" i="24"/>
  <c r="H13" i="24"/>
  <c r="D13" i="24"/>
  <c r="P9" i="24"/>
  <c r="O9" i="24"/>
  <c r="D9" i="24"/>
  <c r="L9" i="24" s="1"/>
  <c r="P8" i="24"/>
  <c r="O8" i="24"/>
  <c r="D8" i="24"/>
  <c r="L8" i="24" s="1"/>
  <c r="P7" i="24"/>
  <c r="O7" i="24"/>
  <c r="L7" i="24"/>
  <c r="H7" i="24"/>
  <c r="D7" i="24"/>
  <c r="P6" i="24"/>
  <c r="O6" i="24"/>
  <c r="L6" i="24"/>
  <c r="H6" i="24"/>
  <c r="D6" i="24"/>
  <c r="P5" i="24"/>
  <c r="P30" i="24" s="1"/>
  <c r="P32" i="24" s="1"/>
  <c r="E35" i="24" s="1"/>
  <c r="O5" i="24"/>
  <c r="O30" i="24" s="1"/>
  <c r="O32" i="24" s="1"/>
  <c r="D35" i="24" s="1"/>
  <c r="D5" i="24"/>
  <c r="L5" i="24" s="1"/>
  <c r="P30" i="36" l="1"/>
  <c r="P32" i="36" s="1"/>
  <c r="E35" i="36" s="1"/>
  <c r="L7" i="36"/>
  <c r="H8" i="36"/>
  <c r="H26" i="36"/>
  <c r="L13" i="36"/>
  <c r="H14" i="36"/>
  <c r="O30" i="36"/>
  <c r="O32" i="36" s="1"/>
  <c r="P30" i="35"/>
  <c r="P32" i="35" s="1"/>
  <c r="O30" i="35"/>
  <c r="O32" i="35" s="1"/>
  <c r="D35" i="35" s="1"/>
  <c r="L7" i="35"/>
  <c r="H8" i="35"/>
  <c r="O30" i="32"/>
  <c r="O32" i="32" s="1"/>
  <c r="D35" i="32" s="1"/>
  <c r="L20" i="32"/>
  <c r="H26" i="32"/>
  <c r="L13" i="32"/>
  <c r="H14" i="32"/>
  <c r="P30" i="32"/>
  <c r="P32" i="32" s="1"/>
  <c r="E35" i="32" s="1"/>
  <c r="H20" i="31"/>
  <c r="P30" i="31"/>
  <c r="P32" i="31" s="1"/>
  <c r="E35" i="31" s="1"/>
  <c r="L13" i="31"/>
  <c r="H14" i="31"/>
  <c r="L7" i="31"/>
  <c r="H8" i="31"/>
  <c r="O30" i="31"/>
  <c r="O32" i="31" s="1"/>
  <c r="D35" i="31" s="1"/>
  <c r="O30" i="30"/>
  <c r="O32" i="30" s="1"/>
  <c r="H20" i="30"/>
  <c r="P30" i="30"/>
  <c r="P32" i="30" s="1"/>
  <c r="E35" i="30" s="1"/>
  <c r="L20" i="29"/>
  <c r="L7" i="29"/>
  <c r="H8" i="29"/>
  <c r="H26" i="29"/>
  <c r="H14" i="29"/>
  <c r="L13" i="29"/>
  <c r="O30" i="29"/>
  <c r="O32" i="29" s="1"/>
  <c r="D35" i="29" s="1"/>
  <c r="H5" i="36"/>
  <c r="H15" i="36"/>
  <c r="H21" i="36"/>
  <c r="H6" i="36"/>
  <c r="L9" i="36"/>
  <c r="H16" i="36"/>
  <c r="H22" i="36"/>
  <c r="L27" i="36"/>
  <c r="H28" i="36"/>
  <c r="H15" i="35"/>
  <c r="H21" i="35"/>
  <c r="L5" i="35"/>
  <c r="H6" i="35"/>
  <c r="L9" i="35"/>
  <c r="L27" i="35"/>
  <c r="H16" i="35"/>
  <c r="H22" i="35"/>
  <c r="D24" i="35" s="1"/>
  <c r="H28" i="35"/>
  <c r="D31" i="35" s="1"/>
  <c r="H9" i="34"/>
  <c r="H21" i="34"/>
  <c r="H27" i="34"/>
  <c r="D31" i="34" s="1"/>
  <c r="H5" i="34"/>
  <c r="H15" i="34"/>
  <c r="D18" i="34" s="1"/>
  <c r="H6" i="34"/>
  <c r="H16" i="34"/>
  <c r="H22" i="34"/>
  <c r="D24" i="34" s="1"/>
  <c r="H28" i="34"/>
  <c r="H21" i="32"/>
  <c r="L5" i="32"/>
  <c r="H16" i="32"/>
  <c r="D18" i="32" s="1"/>
  <c r="H22" i="32"/>
  <c r="H9" i="32"/>
  <c r="H15" i="32"/>
  <c r="H27" i="32"/>
  <c r="H6" i="32"/>
  <c r="D11" i="32" s="1"/>
  <c r="H28" i="32"/>
  <c r="H5" i="31"/>
  <c r="H9" i="31"/>
  <c r="H15" i="31"/>
  <c r="H21" i="31"/>
  <c r="H27" i="31"/>
  <c r="H6" i="31"/>
  <c r="H16" i="31"/>
  <c r="H22" i="31"/>
  <c r="H28" i="31"/>
  <c r="H15" i="30"/>
  <c r="H21" i="30"/>
  <c r="D24" i="30" s="1"/>
  <c r="L5" i="30"/>
  <c r="H6" i="30"/>
  <c r="L9" i="30"/>
  <c r="H16" i="30"/>
  <c r="H22" i="30"/>
  <c r="L27" i="30"/>
  <c r="H28" i="30"/>
  <c r="D31" i="30" s="1"/>
  <c r="P30" i="29"/>
  <c r="P32" i="29" s="1"/>
  <c r="E35" i="29" s="1"/>
  <c r="L29" i="29"/>
  <c r="O30" i="28"/>
  <c r="O32" i="28" s="1"/>
  <c r="D35" i="28" s="1"/>
  <c r="L29" i="28"/>
  <c r="H26" i="28"/>
  <c r="H20" i="28"/>
  <c r="P30" i="28"/>
  <c r="P32" i="28" s="1"/>
  <c r="E35" i="28" s="1"/>
  <c r="L7" i="28"/>
  <c r="H8" i="28"/>
  <c r="H15" i="29"/>
  <c r="H21" i="29"/>
  <c r="H27" i="29"/>
  <c r="L5" i="29"/>
  <c r="H6" i="29"/>
  <c r="L9" i="29"/>
  <c r="H16" i="29"/>
  <c r="D18" i="29" s="1"/>
  <c r="H22" i="29"/>
  <c r="H28" i="29"/>
  <c r="H5" i="28"/>
  <c r="H9" i="28"/>
  <c r="H21" i="28"/>
  <c r="L15" i="28"/>
  <c r="H16" i="28"/>
  <c r="D18" i="28" s="1"/>
  <c r="H22" i="28"/>
  <c r="L27" i="28"/>
  <c r="H28" i="28"/>
  <c r="D31" i="28" s="1"/>
  <c r="H6" i="28"/>
  <c r="H20" i="27"/>
  <c r="D24" i="27" s="1"/>
  <c r="H26" i="27"/>
  <c r="D31" i="27" s="1"/>
  <c r="H5" i="27"/>
  <c r="L8" i="27"/>
  <c r="H9" i="27"/>
  <c r="L14" i="27"/>
  <c r="H15" i="27"/>
  <c r="D18" i="27" s="1"/>
  <c r="H21" i="27"/>
  <c r="H27" i="27"/>
  <c r="L29" i="25"/>
  <c r="H26" i="25"/>
  <c r="L14" i="25"/>
  <c r="H15" i="25"/>
  <c r="P30" i="25"/>
  <c r="P32" i="25" s="1"/>
  <c r="E35" i="25" s="1"/>
  <c r="L22" i="25"/>
  <c r="L6" i="25"/>
  <c r="H9" i="25"/>
  <c r="H28" i="25"/>
  <c r="H27" i="25"/>
  <c r="H16" i="25"/>
  <c r="H13" i="25"/>
  <c r="D18" i="25" s="1"/>
  <c r="H20" i="25"/>
  <c r="O30" i="25"/>
  <c r="O32" i="25" s="1"/>
  <c r="D35" i="25" s="1"/>
  <c r="H21" i="25"/>
  <c r="D24" i="25" s="1"/>
  <c r="H5" i="25"/>
  <c r="L8" i="25"/>
  <c r="D24" i="26"/>
  <c r="H15" i="26"/>
  <c r="D18" i="26" s="1"/>
  <c r="H21" i="26"/>
  <c r="L5" i="26"/>
  <c r="H6" i="26"/>
  <c r="G35" i="26" s="1"/>
  <c r="D40" i="26" s="1"/>
  <c r="L9" i="26"/>
  <c r="H16" i="26"/>
  <c r="H22" i="26"/>
  <c r="L27" i="26"/>
  <c r="H28" i="26"/>
  <c r="D31" i="26" s="1"/>
  <c r="D11" i="25"/>
  <c r="H8" i="24"/>
  <c r="H14" i="24"/>
  <c r="D18" i="24" s="1"/>
  <c r="H20" i="24"/>
  <c r="D24" i="24" s="1"/>
  <c r="H26" i="24"/>
  <c r="H5" i="24"/>
  <c r="H9" i="24"/>
  <c r="H15" i="24"/>
  <c r="H21" i="24"/>
  <c r="H27" i="24"/>
  <c r="D31" i="36" l="1"/>
  <c r="D18" i="36"/>
  <c r="D24" i="36"/>
  <c r="D18" i="35"/>
  <c r="G35" i="35"/>
  <c r="D40" i="35" s="1"/>
  <c r="D24" i="32"/>
  <c r="D31" i="32"/>
  <c r="G35" i="32"/>
  <c r="D40" i="32" s="1"/>
  <c r="D31" i="31"/>
  <c r="D18" i="31"/>
  <c r="D24" i="31"/>
  <c r="D18" i="30"/>
  <c r="G35" i="30"/>
  <c r="D40" i="30" s="1"/>
  <c r="D11" i="30"/>
  <c r="D31" i="29"/>
  <c r="D24" i="29"/>
  <c r="G35" i="29"/>
  <c r="D40" i="29" s="1"/>
  <c r="G35" i="36"/>
  <c r="D40" i="36" s="1"/>
  <c r="D11" i="36"/>
  <c r="D11" i="35"/>
  <c r="G35" i="34"/>
  <c r="D40" i="34" s="1"/>
  <c r="D11" i="34"/>
  <c r="G35" i="31"/>
  <c r="D40" i="31" s="1"/>
  <c r="D11" i="31"/>
  <c r="D24" i="28"/>
  <c r="D11" i="29"/>
  <c r="D11" i="28"/>
  <c r="G35" i="28"/>
  <c r="D40" i="28" s="1"/>
  <c r="G35" i="27"/>
  <c r="D40" i="27" s="1"/>
  <c r="D11" i="27"/>
  <c r="G35" i="25"/>
  <c r="D40" i="25" s="1"/>
  <c r="D31" i="25"/>
  <c r="D11" i="26"/>
  <c r="G35" i="24"/>
  <c r="D40" i="24" s="1"/>
  <c r="D11" i="24"/>
  <c r="D31" i="24"/>
  <c r="A33" i="19" l="1"/>
  <c r="E35" i="19" l="1"/>
  <c r="F35" i="19"/>
  <c r="G35" i="19"/>
  <c r="H35" i="19"/>
  <c r="I35" i="19"/>
  <c r="J35" i="19"/>
  <c r="K35" i="19"/>
  <c r="L35" i="19"/>
  <c r="M35" i="19"/>
  <c r="N35" i="19"/>
  <c r="O35" i="19"/>
  <c r="P35" i="19"/>
  <c r="Q35" i="19"/>
  <c r="A5" i="19" l="1"/>
  <c r="A6" i="19"/>
  <c r="A8" i="19"/>
  <c r="A9" i="19"/>
  <c r="A12" i="19"/>
  <c r="A15" i="19"/>
  <c r="A7" i="19" l="1"/>
  <c r="A10" i="19"/>
  <c r="A11" i="19"/>
  <c r="A13" i="19"/>
  <c r="A14" i="19"/>
  <c r="A16" i="19"/>
  <c r="A17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R50" i="16"/>
  <c r="Q50" i="16"/>
  <c r="B67" i="19" l="1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U35" i="19"/>
  <c r="L76" i="19" s="1"/>
  <c r="S43" i="18" l="1"/>
  <c r="T43" i="18" s="1"/>
  <c r="S44" i="18"/>
  <c r="T44" i="18" s="1"/>
  <c r="S42" i="18"/>
  <c r="T42" i="18" s="1"/>
  <c r="C67" i="19"/>
  <c r="D67" i="19"/>
  <c r="E67" i="19" s="1"/>
  <c r="S45" i="16"/>
  <c r="T45" i="16" s="1"/>
  <c r="S42" i="16"/>
  <c r="T42" i="16" s="1"/>
  <c r="S43" i="16"/>
  <c r="T43" i="16" s="1"/>
  <c r="S44" i="16"/>
  <c r="U53" i="19" l="1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A32" i="19"/>
  <c r="A31" i="19"/>
  <c r="A25" i="19"/>
  <c r="A24" i="19"/>
  <c r="A22" i="19"/>
  <c r="A21" i="19"/>
  <c r="B75" i="19" l="1"/>
  <c r="C75" i="19" s="1"/>
  <c r="B74" i="19"/>
  <c r="B70" i="19"/>
  <c r="B73" i="19"/>
  <c r="B72" i="19"/>
  <c r="B71" i="19"/>
  <c r="H75" i="19"/>
  <c r="H63" i="19"/>
  <c r="H67" i="19"/>
  <c r="H66" i="19"/>
  <c r="H73" i="19"/>
  <c r="H69" i="19"/>
  <c r="H70" i="19"/>
  <c r="H64" i="19"/>
  <c r="H68" i="19"/>
  <c r="H71" i="19"/>
  <c r="H74" i="19"/>
  <c r="H72" i="19"/>
  <c r="H65" i="19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D75" i="19" l="1"/>
  <c r="E75" i="19" s="1"/>
  <c r="C70" i="19"/>
  <c r="D70" i="19"/>
  <c r="E70" i="19" s="1"/>
  <c r="C71" i="19"/>
  <c r="D71" i="19"/>
  <c r="E71" i="19" s="1"/>
  <c r="C74" i="19"/>
  <c r="D74" i="19"/>
  <c r="E74" i="19" s="1"/>
  <c r="C73" i="19"/>
  <c r="D73" i="19"/>
  <c r="E73" i="19" s="1"/>
  <c r="C72" i="19"/>
  <c r="D72" i="19"/>
  <c r="E72" i="19" s="1"/>
  <c r="I75" i="19"/>
  <c r="J75" i="19"/>
  <c r="K75" i="19" s="1"/>
  <c r="L75" i="19" s="1"/>
  <c r="J74" i="19"/>
  <c r="K74" i="19" s="1"/>
  <c r="I74" i="19"/>
  <c r="J70" i="19"/>
  <c r="K70" i="19" s="1"/>
  <c r="I70" i="19"/>
  <c r="J69" i="19"/>
  <c r="K69" i="19" s="1"/>
  <c r="I69" i="19"/>
  <c r="J63" i="19"/>
  <c r="K63" i="19" s="1"/>
  <c r="I63" i="19"/>
  <c r="J68" i="19"/>
  <c r="K68" i="19" s="1"/>
  <c r="I68" i="19"/>
  <c r="J67" i="19"/>
  <c r="I67" i="19"/>
  <c r="J71" i="19"/>
  <c r="K71" i="19" s="1"/>
  <c r="L71" i="19" s="1"/>
  <c r="I71" i="19"/>
  <c r="J65" i="19"/>
  <c r="K65" i="19" s="1"/>
  <c r="L65" i="19" s="1"/>
  <c r="I65" i="19"/>
  <c r="J73" i="19"/>
  <c r="I73" i="19"/>
  <c r="J72" i="19"/>
  <c r="K72" i="19" s="1"/>
  <c r="I72" i="19"/>
  <c r="J64" i="19"/>
  <c r="K64" i="19" s="1"/>
  <c r="L64" i="19" s="1"/>
  <c r="I64" i="19"/>
  <c r="J66" i="19"/>
  <c r="K66" i="19" s="1"/>
  <c r="L66" i="19" s="1"/>
  <c r="I66" i="19"/>
  <c r="S37" i="18"/>
  <c r="T37" i="18" s="1"/>
  <c r="L63" i="19" l="1"/>
  <c r="B63" i="19" l="1"/>
  <c r="B68" i="19"/>
  <c r="B65" i="19"/>
  <c r="B66" i="19"/>
  <c r="B64" i="19"/>
  <c r="B69" i="19"/>
  <c r="C66" i="19" l="1"/>
  <c r="D66" i="19"/>
  <c r="E66" i="19" s="1"/>
  <c r="D69" i="19"/>
  <c r="E69" i="19" s="1"/>
  <c r="C69" i="19"/>
  <c r="D65" i="19"/>
  <c r="E65" i="19" s="1"/>
  <c r="C65" i="19"/>
  <c r="D68" i="19"/>
  <c r="E68" i="19" s="1"/>
  <c r="C68" i="19"/>
  <c r="D64" i="19"/>
  <c r="E64" i="19" s="1"/>
  <c r="C64" i="19"/>
  <c r="D63" i="19"/>
  <c r="E63" i="19" s="1"/>
  <c r="C63" i="19"/>
  <c r="D43" i="19"/>
  <c r="C43" i="19"/>
  <c r="D20" i="19"/>
  <c r="K67" i="19" s="1"/>
  <c r="C20" i="19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B34" i="16"/>
  <c r="S35" i="16" l="1"/>
  <c r="F35" i="18" l="1"/>
  <c r="F37" i="16" l="1"/>
  <c r="F42" i="23"/>
  <c r="E42" i="23"/>
  <c r="D42" i="23"/>
  <c r="F41" i="23"/>
  <c r="E41" i="23"/>
  <c r="D41" i="23"/>
  <c r="F40" i="23"/>
  <c r="E40" i="23"/>
  <c r="P29" i="23"/>
  <c r="O29" i="23"/>
  <c r="D29" i="23"/>
  <c r="L29" i="23" s="1"/>
  <c r="P28" i="23"/>
  <c r="O28" i="23"/>
  <c r="D28" i="23"/>
  <c r="L28" i="23" s="1"/>
  <c r="P27" i="23"/>
  <c r="O27" i="23"/>
  <c r="D27" i="23"/>
  <c r="L27" i="23" s="1"/>
  <c r="P26" i="23"/>
  <c r="O26" i="23"/>
  <c r="D26" i="23"/>
  <c r="L26" i="23" s="1"/>
  <c r="P22" i="23"/>
  <c r="O22" i="23"/>
  <c r="D22" i="23"/>
  <c r="L22" i="23" s="1"/>
  <c r="P21" i="23"/>
  <c r="O21" i="23"/>
  <c r="D21" i="23"/>
  <c r="H21" i="23" s="1"/>
  <c r="P20" i="23"/>
  <c r="O20" i="23"/>
  <c r="D20" i="23"/>
  <c r="L20" i="23" s="1"/>
  <c r="P16" i="23"/>
  <c r="O16" i="23"/>
  <c r="D16" i="23"/>
  <c r="L16" i="23" s="1"/>
  <c r="P15" i="23"/>
  <c r="O15" i="23"/>
  <c r="D15" i="23"/>
  <c r="L15" i="23" s="1"/>
  <c r="P14" i="23"/>
  <c r="O14" i="23"/>
  <c r="D14" i="23"/>
  <c r="L14" i="23" s="1"/>
  <c r="P13" i="23"/>
  <c r="O13" i="23"/>
  <c r="D13" i="23"/>
  <c r="H13" i="23" s="1"/>
  <c r="P9" i="23"/>
  <c r="O9" i="23"/>
  <c r="D9" i="23"/>
  <c r="H9" i="23" s="1"/>
  <c r="P8" i="23"/>
  <c r="O8" i="23"/>
  <c r="D8" i="23"/>
  <c r="L8" i="23" s="1"/>
  <c r="P7" i="23"/>
  <c r="O7" i="23"/>
  <c r="D7" i="23"/>
  <c r="H7" i="23" s="1"/>
  <c r="P6" i="23"/>
  <c r="O6" i="23"/>
  <c r="D6" i="23"/>
  <c r="L6" i="23" s="1"/>
  <c r="P5" i="23"/>
  <c r="O5" i="23"/>
  <c r="D5" i="23"/>
  <c r="H5" i="23" s="1"/>
  <c r="H29" i="23" l="1"/>
  <c r="L13" i="23"/>
  <c r="P30" i="23"/>
  <c r="P32" i="23" s="1"/>
  <c r="E35" i="23" s="1"/>
  <c r="H26" i="23"/>
  <c r="H14" i="23"/>
  <c r="H20" i="23"/>
  <c r="L7" i="23"/>
  <c r="H8" i="23"/>
  <c r="O30" i="23"/>
  <c r="O32" i="23" s="1"/>
  <c r="D35" i="23" s="1"/>
  <c r="H15" i="23"/>
  <c r="H27" i="23"/>
  <c r="L5" i="23"/>
  <c r="H6" i="23"/>
  <c r="L9" i="23"/>
  <c r="H16" i="23"/>
  <c r="L21" i="23"/>
  <c r="H22" i="23"/>
  <c r="H28" i="23"/>
  <c r="D31" i="23" l="1"/>
  <c r="D24" i="23"/>
  <c r="D18" i="23"/>
  <c r="G35" i="23"/>
  <c r="D40" i="23" s="1"/>
  <c r="D11" i="23"/>
  <c r="U18" i="19" l="1"/>
  <c r="E76" i="19" s="1"/>
  <c r="P38" i="19"/>
  <c r="O38" i="19"/>
  <c r="N38" i="19"/>
  <c r="M38" i="19"/>
  <c r="L38" i="19"/>
  <c r="K38" i="19"/>
  <c r="J38" i="19"/>
  <c r="I38" i="19"/>
  <c r="H38" i="19"/>
  <c r="G38" i="19"/>
  <c r="F38" i="19"/>
  <c r="E38" i="19"/>
  <c r="L68" i="19" s="1"/>
  <c r="L72" i="19" l="1"/>
  <c r="L69" i="19"/>
  <c r="L70" i="19"/>
  <c r="L67" i="19"/>
  <c r="U50" i="19"/>
  <c r="U49" i="19"/>
  <c r="U46" i="19"/>
  <c r="K73" i="19" l="1"/>
  <c r="U58" i="19"/>
  <c r="S76" i="19" s="1"/>
  <c r="A47" i="19"/>
  <c r="A45" i="19"/>
  <c r="A44" i="19"/>
  <c r="A48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T35" i="19"/>
  <c r="S35" i="19"/>
  <c r="R35" i="19"/>
  <c r="O67" i="19" l="1"/>
  <c r="O75" i="19"/>
  <c r="O65" i="19"/>
  <c r="O70" i="19"/>
  <c r="O73" i="19"/>
  <c r="O63" i="19"/>
  <c r="O72" i="19"/>
  <c r="O71" i="19"/>
  <c r="O68" i="19"/>
  <c r="O74" i="19"/>
  <c r="O66" i="19"/>
  <c r="O69" i="19"/>
  <c r="O64" i="19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T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S48" i="18" s="1"/>
  <c r="T48" i="18" s="1"/>
  <c r="B48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E45" i="18"/>
  <c r="D45" i="18"/>
  <c r="C45" i="18"/>
  <c r="B45" i="18"/>
  <c r="B44" i="18"/>
  <c r="B43" i="18"/>
  <c r="B42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37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E35" i="18"/>
  <c r="D35" i="18"/>
  <c r="C35" i="18"/>
  <c r="B35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A34" i="18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29" i="18"/>
  <c r="B57" i="18" s="1"/>
  <c r="B28" i="18"/>
  <c r="B56" i="18" s="1"/>
  <c r="B27" i="18"/>
  <c r="B55" i="18" s="1"/>
  <c r="B26" i="18"/>
  <c r="B54" i="18" s="1"/>
  <c r="B25" i="18"/>
  <c r="B53" i="18" s="1"/>
  <c r="B24" i="18"/>
  <c r="B52" i="18" s="1"/>
  <c r="B23" i="18"/>
  <c r="B51" i="18" s="1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M52" i="16"/>
  <c r="M51" i="16"/>
  <c r="M50" i="16"/>
  <c r="M49" i="16"/>
  <c r="M48" i="16"/>
  <c r="M47" i="16"/>
  <c r="M46" i="16"/>
  <c r="M41" i="16"/>
  <c r="M40" i="16"/>
  <c r="M39" i="16"/>
  <c r="M38" i="16"/>
  <c r="M37" i="16"/>
  <c r="M36" i="16"/>
  <c r="M34" i="16"/>
  <c r="L52" i="16"/>
  <c r="L51" i="16"/>
  <c r="L50" i="16"/>
  <c r="L49" i="16"/>
  <c r="L48" i="16"/>
  <c r="L47" i="16"/>
  <c r="L46" i="16"/>
  <c r="L41" i="16"/>
  <c r="L40" i="16"/>
  <c r="L39" i="16"/>
  <c r="L38" i="16"/>
  <c r="L37" i="16"/>
  <c r="L36" i="16"/>
  <c r="L34" i="16"/>
  <c r="K52" i="16"/>
  <c r="K51" i="16"/>
  <c r="K50" i="16"/>
  <c r="K49" i="16"/>
  <c r="K48" i="16"/>
  <c r="K47" i="16"/>
  <c r="K46" i="16"/>
  <c r="K41" i="16"/>
  <c r="K40" i="16"/>
  <c r="K39" i="16"/>
  <c r="K38" i="16"/>
  <c r="K37" i="16"/>
  <c r="K36" i="16"/>
  <c r="K34" i="16"/>
  <c r="F41" i="16"/>
  <c r="F40" i="16"/>
  <c r="F39" i="16"/>
  <c r="F38" i="16"/>
  <c r="F36" i="16"/>
  <c r="F34" i="16"/>
  <c r="Q67" i="19" l="1"/>
  <c r="R67" i="19" s="1"/>
  <c r="P67" i="19"/>
  <c r="Q75" i="19"/>
  <c r="R75" i="19" s="1"/>
  <c r="S75" i="19" s="1"/>
  <c r="P75" i="19"/>
  <c r="Q74" i="19"/>
  <c r="R74" i="19" s="1"/>
  <c r="P74" i="19"/>
  <c r="Q69" i="19"/>
  <c r="R69" i="19" s="1"/>
  <c r="S69" i="19" s="1"/>
  <c r="P69" i="19"/>
  <c r="P68" i="19"/>
  <c r="Q68" i="19"/>
  <c r="R68" i="19" s="1"/>
  <c r="S68" i="19" s="1"/>
  <c r="Q73" i="19"/>
  <c r="R73" i="19" s="1"/>
  <c r="P73" i="19"/>
  <c r="S67" i="19"/>
  <c r="P71" i="19"/>
  <c r="Q71" i="19"/>
  <c r="R71" i="19" s="1"/>
  <c r="S71" i="19" s="1"/>
  <c r="P70" i="19"/>
  <c r="Q70" i="19"/>
  <c r="R70" i="19" s="1"/>
  <c r="S70" i="19" s="1"/>
  <c r="Q64" i="19"/>
  <c r="R64" i="19" s="1"/>
  <c r="S64" i="19" s="1"/>
  <c r="P64" i="19"/>
  <c r="P63" i="19"/>
  <c r="Q63" i="19"/>
  <c r="R63" i="19" s="1"/>
  <c r="S63" i="19" s="1"/>
  <c r="Q66" i="19"/>
  <c r="R66" i="19" s="1"/>
  <c r="S66" i="19" s="1"/>
  <c r="P66" i="19"/>
  <c r="Q72" i="19"/>
  <c r="R72" i="19" s="1"/>
  <c r="S72" i="19" s="1"/>
  <c r="P72" i="19"/>
  <c r="Q65" i="19"/>
  <c r="R65" i="19" s="1"/>
  <c r="S65" i="19" s="1"/>
  <c r="P65" i="19"/>
  <c r="S40" i="18"/>
  <c r="T40" i="18" s="1"/>
  <c r="S41" i="18"/>
  <c r="T41" i="18" s="1"/>
  <c r="S46" i="18"/>
  <c r="T46" i="18" s="1"/>
  <c r="S45" i="18"/>
  <c r="T45" i="18" s="1"/>
  <c r="S47" i="18"/>
  <c r="T47" i="18" s="1"/>
  <c r="S50" i="18"/>
  <c r="T50" i="18" s="1"/>
  <c r="S33" i="18"/>
  <c r="T33" i="18" s="1"/>
  <c r="S36" i="18"/>
  <c r="T36" i="18" s="1"/>
  <c r="S30" i="18"/>
  <c r="S34" i="18"/>
  <c r="T34" i="18" s="1"/>
  <c r="S38" i="18"/>
  <c r="T38" i="18" s="1"/>
  <c r="S35" i="18"/>
  <c r="T35" i="18" s="1"/>
  <c r="S39" i="18"/>
  <c r="T39" i="18" s="1"/>
  <c r="T58" i="18" l="1"/>
  <c r="E46" i="19" l="1"/>
  <c r="F46" i="19"/>
  <c r="G46" i="19"/>
  <c r="H46" i="19"/>
  <c r="I46" i="19"/>
  <c r="J46" i="19"/>
  <c r="K46" i="19"/>
  <c r="L46" i="19"/>
  <c r="M46" i="19"/>
  <c r="N46" i="19"/>
  <c r="O46" i="19"/>
  <c r="P46" i="19"/>
  <c r="Q46" i="19"/>
  <c r="R46" i="19"/>
  <c r="S46" i="19"/>
  <c r="T46" i="19"/>
  <c r="E50" i="19"/>
  <c r="F50" i="19"/>
  <c r="G50" i="19"/>
  <c r="H50" i="19"/>
  <c r="I50" i="19"/>
  <c r="J50" i="19"/>
  <c r="K50" i="19"/>
  <c r="L50" i="19"/>
  <c r="M50" i="19"/>
  <c r="N50" i="19"/>
  <c r="O50" i="19"/>
  <c r="P50" i="19"/>
  <c r="Q50" i="19"/>
  <c r="R50" i="19"/>
  <c r="S50" i="19"/>
  <c r="T50" i="19"/>
  <c r="L74" i="19" l="1"/>
  <c r="L73" i="19"/>
  <c r="S73" i="19"/>
  <c r="S74" i="19"/>
  <c r="P58" i="19"/>
  <c r="L58" i="19"/>
  <c r="T58" i="19"/>
  <c r="H58" i="19"/>
  <c r="Q58" i="19"/>
  <c r="M58" i="19"/>
  <c r="I58" i="19"/>
  <c r="E58" i="19"/>
  <c r="S58" i="19"/>
  <c r="O58" i="19"/>
  <c r="K58" i="19"/>
  <c r="G58" i="19"/>
  <c r="R58" i="19"/>
  <c r="N58" i="19"/>
  <c r="J58" i="19"/>
  <c r="F58" i="19"/>
  <c r="T38" i="19" l="1"/>
  <c r="S38" i="19"/>
  <c r="U38" i="19"/>
  <c r="Q38" i="19"/>
  <c r="R38" i="19"/>
  <c r="R37" i="16" l="1"/>
  <c r="R40" i="16"/>
  <c r="R49" i="16"/>
  <c r="R34" i="16"/>
  <c r="R36" i="16"/>
  <c r="R38" i="16"/>
  <c r="R39" i="16"/>
  <c r="R41" i="16"/>
  <c r="R46" i="16"/>
  <c r="R47" i="16"/>
  <c r="R48" i="16"/>
  <c r="R52" i="16"/>
  <c r="A35" i="16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B30" i="16"/>
  <c r="B59" i="16" s="1"/>
  <c r="B29" i="16"/>
  <c r="B58" i="16" s="1"/>
  <c r="B28" i="16"/>
  <c r="B57" i="16" s="1"/>
  <c r="B27" i="16"/>
  <c r="B56" i="16" s="1"/>
  <c r="B26" i="16"/>
  <c r="B55" i="16" s="1"/>
  <c r="B25" i="16"/>
  <c r="B54" i="16" s="1"/>
  <c r="B24" i="16"/>
  <c r="B53" i="16" s="1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R31" i="16" l="1"/>
  <c r="I52" i="16"/>
  <c r="I51" i="16"/>
  <c r="I50" i="16"/>
  <c r="I49" i="16"/>
  <c r="I48" i="16"/>
  <c r="I47" i="16"/>
  <c r="I46" i="16"/>
  <c r="I41" i="16"/>
  <c r="I40" i="16"/>
  <c r="I39" i="16"/>
  <c r="I38" i="16"/>
  <c r="I37" i="16"/>
  <c r="I36" i="16"/>
  <c r="G52" i="16"/>
  <c r="G51" i="16"/>
  <c r="G50" i="16"/>
  <c r="G49" i="16"/>
  <c r="G48" i="16"/>
  <c r="G47" i="16"/>
  <c r="G46" i="16"/>
  <c r="G41" i="16"/>
  <c r="G40" i="16"/>
  <c r="G39" i="16"/>
  <c r="G38" i="16"/>
  <c r="G37" i="16"/>
  <c r="G36" i="16"/>
  <c r="F52" i="16"/>
  <c r="F51" i="16"/>
  <c r="F50" i="16"/>
  <c r="F49" i="16"/>
  <c r="F48" i="16"/>
  <c r="F47" i="16"/>
  <c r="E52" i="16"/>
  <c r="E51" i="16"/>
  <c r="E50" i="16"/>
  <c r="E49" i="16"/>
  <c r="E48" i="16"/>
  <c r="E47" i="16"/>
  <c r="E46" i="16"/>
  <c r="E41" i="16"/>
  <c r="E40" i="16"/>
  <c r="E39" i="16"/>
  <c r="E38" i="16"/>
  <c r="E37" i="16"/>
  <c r="E36" i="16"/>
  <c r="D36" i="16"/>
  <c r="D37" i="16"/>
  <c r="D38" i="16"/>
  <c r="D39" i="16"/>
  <c r="D40" i="16"/>
  <c r="D41" i="16"/>
  <c r="D46" i="16"/>
  <c r="D47" i="16"/>
  <c r="D48" i="16"/>
  <c r="D49" i="16"/>
  <c r="D50" i="16"/>
  <c r="D51" i="16"/>
  <c r="D52" i="16"/>
  <c r="P52" i="16"/>
  <c r="P51" i="16"/>
  <c r="P50" i="16"/>
  <c r="P49" i="16"/>
  <c r="P48" i="16"/>
  <c r="P47" i="16"/>
  <c r="P46" i="16"/>
  <c r="P41" i="16"/>
  <c r="P40" i="16"/>
  <c r="P39" i="16"/>
  <c r="P38" i="16"/>
  <c r="P37" i="16"/>
  <c r="P36" i="16"/>
  <c r="O52" i="16"/>
  <c r="O51" i="16"/>
  <c r="O50" i="16"/>
  <c r="O49" i="16"/>
  <c r="O48" i="16"/>
  <c r="O47" i="16"/>
  <c r="O46" i="16"/>
  <c r="O41" i="16"/>
  <c r="O39" i="16"/>
  <c r="O38" i="16"/>
  <c r="O37" i="16"/>
  <c r="O36" i="16"/>
  <c r="O34" i="16"/>
  <c r="N52" i="16"/>
  <c r="N51" i="16"/>
  <c r="N50" i="16"/>
  <c r="N49" i="16"/>
  <c r="N48" i="16"/>
  <c r="N47" i="16"/>
  <c r="N46" i="16"/>
  <c r="N41" i="16"/>
  <c r="N40" i="16"/>
  <c r="N39" i="16"/>
  <c r="N38" i="16"/>
  <c r="N37" i="16"/>
  <c r="N36" i="16"/>
  <c r="Q52" i="16"/>
  <c r="Q49" i="16"/>
  <c r="Q48" i="16"/>
  <c r="Q47" i="16"/>
  <c r="Q46" i="16"/>
  <c r="Q41" i="16"/>
  <c r="Q40" i="16"/>
  <c r="Q39" i="16"/>
  <c r="Q38" i="16"/>
  <c r="Q37" i="16"/>
  <c r="Q36" i="16"/>
  <c r="H52" i="16"/>
  <c r="H51" i="16"/>
  <c r="H50" i="16"/>
  <c r="H49" i="16"/>
  <c r="H48" i="16"/>
  <c r="H47" i="16"/>
  <c r="H46" i="16"/>
  <c r="H41" i="16"/>
  <c r="H40" i="16"/>
  <c r="H39" i="16"/>
  <c r="H38" i="16"/>
  <c r="H37" i="16"/>
  <c r="H36" i="16"/>
  <c r="J52" i="16"/>
  <c r="J51" i="16"/>
  <c r="J50" i="16"/>
  <c r="J49" i="16"/>
  <c r="J48" i="16"/>
  <c r="J47" i="16"/>
  <c r="J46" i="16"/>
  <c r="J41" i="16"/>
  <c r="J40" i="16"/>
  <c r="J39" i="16"/>
  <c r="J38" i="16"/>
  <c r="J37" i="16"/>
  <c r="J34" i="16"/>
  <c r="C36" i="16"/>
  <c r="C37" i="16"/>
  <c r="C38" i="16"/>
  <c r="C39" i="16"/>
  <c r="C40" i="16"/>
  <c r="C41" i="16"/>
  <c r="C46" i="16"/>
  <c r="C47" i="16"/>
  <c r="C48" i="16"/>
  <c r="C49" i="16"/>
  <c r="C50" i="16"/>
  <c r="C51" i="16"/>
  <c r="C52" i="16"/>
  <c r="H34" i="16" l="1"/>
  <c r="H31" i="16"/>
  <c r="M31" i="16"/>
  <c r="Q34" i="16"/>
  <c r="Q31" i="16"/>
  <c r="C34" i="16"/>
  <c r="C31" i="16"/>
  <c r="G34" i="16"/>
  <c r="G31" i="16"/>
  <c r="I34" i="16"/>
  <c r="I31" i="16"/>
  <c r="K31" i="16"/>
  <c r="E34" i="16"/>
  <c r="E31" i="16"/>
  <c r="D34" i="16"/>
  <c r="D31" i="16"/>
  <c r="F31" i="16"/>
  <c r="O31" i="16"/>
  <c r="O40" i="16"/>
  <c r="S40" i="16" s="1"/>
  <c r="T40" i="16" s="1"/>
  <c r="J36" i="16"/>
  <c r="S36" i="16" s="1"/>
  <c r="T36" i="16" s="1"/>
  <c r="J31" i="16"/>
  <c r="N31" i="16"/>
  <c r="N34" i="16"/>
  <c r="P31" i="16"/>
  <c r="P34" i="16"/>
  <c r="L31" i="16"/>
  <c r="S41" i="16"/>
  <c r="S37" i="16"/>
  <c r="S39" i="16"/>
  <c r="T39" i="16" s="1"/>
  <c r="S46" i="16"/>
  <c r="T46" i="16" s="1"/>
  <c r="S50" i="16"/>
  <c r="S52" i="16"/>
  <c r="S38" i="16"/>
  <c r="S48" i="16"/>
  <c r="S49" i="16"/>
  <c r="S47" i="16"/>
  <c r="S31" i="16" l="1"/>
  <c r="S34" i="16"/>
  <c r="T60" i="16" l="1"/>
</calcChain>
</file>

<file path=xl/sharedStrings.xml><?xml version="1.0" encoding="utf-8"?>
<sst xmlns="http://schemas.openxmlformats.org/spreadsheetml/2006/main" count="1752" uniqueCount="161">
  <si>
    <t>Noms et Prénoms</t>
  </si>
  <si>
    <t>Anglais</t>
  </si>
  <si>
    <t>N°</t>
  </si>
  <si>
    <t>SVTEEHB</t>
  </si>
  <si>
    <t>ECM</t>
  </si>
  <si>
    <t>EAC</t>
  </si>
  <si>
    <t>EPS</t>
  </si>
  <si>
    <t>ESF</t>
  </si>
  <si>
    <t>LCN</t>
  </si>
  <si>
    <t>Exp Ecr</t>
  </si>
  <si>
    <t>Infos</t>
  </si>
  <si>
    <t>Maths</t>
  </si>
  <si>
    <t>Géo</t>
  </si>
  <si>
    <t>Hist</t>
  </si>
  <si>
    <t>TM</t>
  </si>
  <si>
    <t>Exp Ora</t>
  </si>
  <si>
    <t>Cor ort</t>
  </si>
  <si>
    <t>Etu tex</t>
  </si>
  <si>
    <t>TOTAL</t>
  </si>
  <si>
    <t>MOYENNE</t>
  </si>
  <si>
    <t>MOY</t>
  </si>
  <si>
    <t>Rang</t>
  </si>
  <si>
    <t>Moyenne Générale</t>
  </si>
  <si>
    <t>SVT</t>
  </si>
  <si>
    <t>MATIERES</t>
  </si>
  <si>
    <t>Coef</t>
  </si>
  <si>
    <t>Moy × Coef</t>
  </si>
  <si>
    <t xml:space="preserve">Moy Gle Classe </t>
  </si>
  <si>
    <t>Appréciations</t>
  </si>
  <si>
    <t xml:space="preserve">      Moyenne du Groupe :                                       </t>
  </si>
  <si>
    <t xml:space="preserve"> Rang de l’élève :</t>
  </si>
  <si>
    <t xml:space="preserve">Total du GROUPE II                       : </t>
  </si>
  <si>
    <t xml:space="preserve">       Moyenne du Groupe :                                       </t>
  </si>
  <si>
    <t xml:space="preserve">Total du GROUPE III                       : </t>
  </si>
  <si>
    <t xml:space="preserve">Total du GROUPE IV  : </t>
  </si>
  <si>
    <t>Total Général (GI + GII + GIII+GIV) =</t>
  </si>
  <si>
    <r>
      <t xml:space="preserve">Moy Gle de la Classe :                             </t>
    </r>
    <r>
      <rPr>
        <b/>
        <sz val="12"/>
        <color theme="1"/>
        <rFont val="Times New Roman"/>
        <family val="1"/>
      </rPr>
      <t xml:space="preserve">                     </t>
    </r>
  </si>
  <si>
    <t xml:space="preserve"> Moy du 1er :  </t>
  </si>
  <si>
    <t xml:space="preserve"> Moy du Dernier :</t>
  </si>
  <si>
    <t xml:space="preserve">Moyennes de l’Elève :                                                            </t>
  </si>
  <si>
    <t>/20</t>
  </si>
  <si>
    <t xml:space="preserve">          Rang de l’élève :                           </t>
  </si>
  <si>
    <r>
      <t>v</t>
    </r>
    <r>
      <rPr>
        <sz val="12"/>
        <color theme="1"/>
        <rFont val="Times New Roman"/>
        <family val="1"/>
      </rPr>
      <t xml:space="preserve">  </t>
    </r>
    <r>
      <rPr>
        <i/>
        <sz val="12"/>
        <color theme="1"/>
        <rFont val="Times New Roman"/>
        <family val="1"/>
      </rPr>
      <t>La moyenne Trimestrielle n’est pas égale à la moyenne arithmétique des séquences</t>
    </r>
  </si>
  <si>
    <r>
      <t xml:space="preserve">DECISIONS ET OBSERVATIONS / </t>
    </r>
    <r>
      <rPr>
        <i/>
        <sz val="12"/>
        <color theme="1"/>
        <rFont val="Times New Roman"/>
        <family val="1"/>
      </rPr>
      <t>Décisions And Observations</t>
    </r>
  </si>
  <si>
    <r>
      <t>DISCIPLINE /</t>
    </r>
    <r>
      <rPr>
        <i/>
        <sz val="12"/>
        <color theme="1"/>
        <rFont val="Times New Roman"/>
        <family val="1"/>
      </rPr>
      <t xml:space="preserve"> Disciplin</t>
    </r>
  </si>
  <si>
    <t>Appréciation du travail de l’élève</t>
  </si>
  <si>
    <r>
      <t xml:space="preserve">TRAVAIL / </t>
    </r>
    <r>
      <rPr>
        <i/>
        <sz val="12"/>
        <color theme="1"/>
        <rFont val="Times New Roman"/>
        <family val="1"/>
      </rPr>
      <t>Academic Work</t>
    </r>
  </si>
  <si>
    <t>Nb d’Heures :</t>
  </si>
  <si>
    <t>Nb de jrnées :</t>
  </si>
  <si>
    <r>
      <t xml:space="preserve">Tableau d’honneur / </t>
    </r>
    <r>
      <rPr>
        <i/>
        <sz val="12"/>
        <color theme="1"/>
        <rFont val="Times New Roman"/>
        <family val="1"/>
      </rPr>
      <t>Honour roll</t>
    </r>
  </si>
  <si>
    <t>Observations et Visa du Principal</t>
  </si>
  <si>
    <r>
      <t>Exclusions /</t>
    </r>
    <r>
      <rPr>
        <i/>
        <sz val="12"/>
        <color theme="1"/>
        <rFont val="Times New Roman"/>
        <family val="1"/>
      </rPr>
      <t xml:space="preserve"> Suspensions</t>
    </r>
  </si>
  <si>
    <r>
      <t xml:space="preserve">Encouragements / </t>
    </r>
    <r>
      <rPr>
        <i/>
        <sz val="12"/>
        <color theme="1"/>
        <rFont val="Times New Roman"/>
        <family val="1"/>
      </rPr>
      <t>Encouragements</t>
    </r>
  </si>
  <si>
    <t>Observations and Signature of Principal</t>
  </si>
  <si>
    <r>
      <t xml:space="preserve">Blâme / </t>
    </r>
    <r>
      <rPr>
        <i/>
        <sz val="12"/>
        <color theme="1"/>
        <rFont val="Times New Roman"/>
        <family val="1"/>
      </rPr>
      <t>Blame</t>
    </r>
  </si>
  <si>
    <t>Observations et Remarques du Professeur Principal</t>
  </si>
  <si>
    <r>
      <t xml:space="preserve">Félicitations / </t>
    </r>
    <r>
      <rPr>
        <i/>
        <sz val="12"/>
        <color theme="1"/>
        <rFont val="Times New Roman"/>
        <family val="1"/>
      </rPr>
      <t>Congratulations</t>
    </r>
  </si>
  <si>
    <r>
      <t xml:space="preserve">Avertissements / </t>
    </r>
    <r>
      <rPr>
        <i/>
        <sz val="12"/>
        <color theme="1"/>
        <rFont val="Times New Roman"/>
        <family val="1"/>
      </rPr>
      <t>Warnings</t>
    </r>
  </si>
  <si>
    <t>Décisions du Conseil de Classe</t>
  </si>
  <si>
    <t>Yaoundé le</t>
  </si>
  <si>
    <t>Observations et Remarques du parent de l’élève</t>
  </si>
  <si>
    <t>Le Principal</t>
  </si>
  <si>
    <t>AISSATOU HAMADOU</t>
  </si>
  <si>
    <t>BILIK PEE Pauline Remine</t>
  </si>
  <si>
    <t>BENGONO ALEGUE Dorine Mick-Ange</t>
  </si>
  <si>
    <t>KIPO LENA Siriel</t>
  </si>
  <si>
    <t>MBALLA NDZIE Françoise</t>
  </si>
  <si>
    <t>NGAMEZOM Manuela</t>
  </si>
  <si>
    <t xml:space="preserve">YEMENI Gloria Prinsesse </t>
  </si>
  <si>
    <t>Compétences Evaluées</t>
  </si>
  <si>
    <r>
      <t xml:space="preserve">Anglais
</t>
    </r>
    <r>
      <rPr>
        <i/>
        <sz val="12"/>
        <color theme="1"/>
        <rFont val="Cambria"/>
        <family val="1"/>
        <scheme val="major"/>
      </rPr>
      <t>M. DOMGUIA TAKAM Joël Ismaël</t>
    </r>
  </si>
  <si>
    <r>
      <t xml:space="preserve">Informatique
</t>
    </r>
    <r>
      <rPr>
        <i/>
        <sz val="12"/>
        <color theme="1"/>
        <rFont val="Cambria"/>
        <family val="1"/>
        <scheme val="major"/>
      </rPr>
      <t>M. TALOM Gabriel</t>
    </r>
  </si>
  <si>
    <r>
      <t xml:space="preserve">EPS
</t>
    </r>
    <r>
      <rPr>
        <i/>
        <sz val="12"/>
        <color theme="1"/>
        <rFont val="Cambria"/>
        <family val="1"/>
        <scheme val="major"/>
      </rPr>
      <t>M. MATIP Erick Patrick Junior</t>
    </r>
  </si>
  <si>
    <r>
      <rPr>
        <i/>
        <sz val="10"/>
        <color theme="1"/>
        <rFont val="Times New Roman"/>
        <family val="1"/>
      </rPr>
      <t>Parler  de la diversité linguistique camerounaise</t>
    </r>
    <r>
      <rPr>
        <b/>
        <sz val="10"/>
        <color theme="1"/>
        <rFont val="Times New Roman"/>
        <family val="1"/>
      </rPr>
      <t xml:space="preserve"> </t>
    </r>
  </si>
  <si>
    <t xml:space="preserve">Déployer son savoir artistique pour utiliser le matériel et le matériau  (le crayon, le pinceau, les couleurs, les gouaches etc.) </t>
  </si>
  <si>
    <t xml:space="preserve">Use appropriate language skills and resources to talk about oneself, the family, and school community. </t>
  </si>
  <si>
    <t xml:space="preserve">corriger des erreurs volontairement insérées </t>
  </si>
  <si>
    <t>Répondre correctement à des questions sur un dialogue</t>
  </si>
  <si>
    <t xml:space="preserve">Produire à l’oral comme à l’écrit, dans une langue correcte et usuelle, un dialogue </t>
  </si>
  <si>
    <t xml:space="preserve">Promouvoir l’intégration à la vie familiale et scolaire </t>
  </si>
  <si>
    <t xml:space="preserve">S’adapter aux influences cosmiques </t>
  </si>
  <si>
    <t xml:space="preserve">Utiliser les savoirs historiques </t>
  </si>
  <si>
    <t xml:space="preserve">Identifier les éléments matériels, logiciels d’un microordinateur et distinguer les types et rôles des différents utilisateurs. </t>
  </si>
  <si>
    <t xml:space="preserve">Résoudre des situations problèmes relatives aux nombres (entiers naturels, décimaux arithmétiques, décimaux relatifs), aux droites et segments dans le plan et aux cercles. </t>
  </si>
  <si>
    <t xml:space="preserve">Résoudre, en utilisant la méthode scientifique, des situations problèmes relatives à l’insuffisance des ressources comestibles et aux propriétés physiques de la matière. </t>
  </si>
  <si>
    <t xml:space="preserve">Exécuter une course de vitesse et une course d’endurance-vitesse </t>
  </si>
  <si>
    <t xml:space="preserve">Expliquer le rôle de l’Économie Sociale et Familiale dans le cadre du développement personnel </t>
  </si>
  <si>
    <t>Utiliser le matériel, les matériaux et les techniques  pour fabriquer un balai</t>
  </si>
  <si>
    <t>ATEBA MINLO Maurice</t>
  </si>
  <si>
    <t>AYANGMA RODNEY JOHAN</t>
  </si>
  <si>
    <t>AYISSI AYE GOIRJIHO</t>
  </si>
  <si>
    <t>BENGONO PAUL MAGLOIRE</t>
  </si>
  <si>
    <t>LOMA JEANNE MELANIE</t>
  </si>
  <si>
    <t>MBOUE MINLO SANDRINE</t>
  </si>
  <si>
    <t>BEKOLO BEKOLO JOSEPH GUY</t>
  </si>
  <si>
    <t>AYE NOMO JULIENNE MANUELLA</t>
  </si>
  <si>
    <t>ONANINA LANDRY JAMES</t>
  </si>
  <si>
    <t>POUABE HENRY PRINCE</t>
  </si>
  <si>
    <t>TAMA EMMANUELLA GLOIRE</t>
  </si>
  <si>
    <t>ESP</t>
  </si>
  <si>
    <t>ALL</t>
  </si>
  <si>
    <t>MATRICULE</t>
  </si>
  <si>
    <t>SEXE</t>
  </si>
  <si>
    <t>MOYENNE GENERALE</t>
  </si>
  <si>
    <t>Sexe</t>
  </si>
  <si>
    <t>Matricule</t>
  </si>
  <si>
    <t>1 er/ère</t>
  </si>
  <si>
    <t>2 ème</t>
  </si>
  <si>
    <t>3 ème</t>
  </si>
  <si>
    <t>4 ème</t>
  </si>
  <si>
    <t>5 ème</t>
  </si>
  <si>
    <t>6 ème</t>
  </si>
  <si>
    <t>7 ème</t>
  </si>
  <si>
    <t>8 ème</t>
  </si>
  <si>
    <t>9 ème</t>
  </si>
  <si>
    <t>10 ème</t>
  </si>
  <si>
    <t>11 ème</t>
  </si>
  <si>
    <t>M</t>
  </si>
  <si>
    <t>F</t>
  </si>
  <si>
    <t>EBOUKA MALAÏKA</t>
  </si>
  <si>
    <t>12 ème</t>
  </si>
  <si>
    <r>
      <t xml:space="preserve">Cor Ortho/ Dictée
</t>
    </r>
    <r>
      <rPr>
        <i/>
        <sz val="12"/>
        <color theme="1"/>
        <rFont val="Cambria"/>
        <family val="1"/>
        <scheme val="major"/>
      </rPr>
      <t>Mme. MPECK NYOM Justine Flore</t>
    </r>
  </si>
  <si>
    <r>
      <t xml:space="preserve">Etude de Texte
</t>
    </r>
    <r>
      <rPr>
        <i/>
        <sz val="12"/>
        <color theme="1"/>
        <rFont val="Cambria"/>
        <family val="1"/>
        <scheme val="major"/>
      </rPr>
      <t>Mme. MPECK NYOM Justine Flore</t>
    </r>
  </si>
  <si>
    <r>
      <t xml:space="preserve">Expression Ecrite
</t>
    </r>
    <r>
      <rPr>
        <i/>
        <sz val="12"/>
        <color theme="1"/>
        <rFont val="Cambria"/>
        <family val="1"/>
        <scheme val="major"/>
      </rPr>
      <t>Mme. MPECK NYOM Justine Flore</t>
    </r>
  </si>
  <si>
    <r>
      <t xml:space="preserve">Expression Orale
</t>
    </r>
    <r>
      <rPr>
        <i/>
        <sz val="12"/>
        <color theme="1"/>
        <rFont val="Cambria"/>
        <family val="1"/>
        <scheme val="major"/>
      </rPr>
      <t>Mme. MPECK NYOM Justine Flore</t>
    </r>
  </si>
  <si>
    <r>
      <t xml:space="preserve">ECM
</t>
    </r>
    <r>
      <rPr>
        <i/>
        <sz val="12"/>
        <color theme="1"/>
        <rFont val="Cambria"/>
        <family val="1"/>
        <scheme val="major"/>
      </rPr>
      <t>M. BANING Jacques Steven</t>
    </r>
  </si>
  <si>
    <r>
      <t xml:space="preserve">Géographie
</t>
    </r>
    <r>
      <rPr>
        <i/>
        <sz val="12"/>
        <color theme="1"/>
        <rFont val="Cambria"/>
        <family val="1"/>
        <scheme val="major"/>
      </rPr>
      <t>Mme MINDZIE MENGUE Jeanne Raïssa</t>
    </r>
  </si>
  <si>
    <r>
      <t xml:space="preserve">Histoire
</t>
    </r>
    <r>
      <rPr>
        <i/>
        <sz val="12"/>
        <color theme="1"/>
        <rFont val="Cambria"/>
        <family val="1"/>
        <scheme val="major"/>
      </rPr>
      <t>M. BANING Jacques Steven</t>
    </r>
  </si>
  <si>
    <r>
      <t xml:space="preserve">Espagnol
</t>
    </r>
    <r>
      <rPr>
        <i/>
        <sz val="12"/>
        <color theme="1"/>
        <rFont val="Cambria"/>
        <family val="1"/>
        <scheme val="major"/>
      </rPr>
      <t>Mme MBOGUE Madeleine</t>
    </r>
  </si>
  <si>
    <r>
      <t xml:space="preserve">Mathématiques
</t>
    </r>
    <r>
      <rPr>
        <i/>
        <sz val="12"/>
        <color theme="1"/>
        <rFont val="Cambria"/>
        <family val="1"/>
        <scheme val="major"/>
      </rPr>
      <t>M. MPECK Yann Darell</t>
    </r>
  </si>
  <si>
    <r>
      <t xml:space="preserve">SVTEEHB
</t>
    </r>
    <r>
      <rPr>
        <i/>
        <sz val="12"/>
        <color theme="1"/>
        <rFont val="Cambria"/>
        <family val="1"/>
        <scheme val="major"/>
      </rPr>
      <t>Mme DONFACK DONGO Darice Franca</t>
    </r>
  </si>
  <si>
    <r>
      <t xml:space="preserve">Allemand
</t>
    </r>
    <r>
      <rPr>
        <i/>
        <sz val="12"/>
        <color theme="1"/>
        <rFont val="Cambria"/>
        <family val="1"/>
        <scheme val="major"/>
      </rPr>
      <t>M. TCHOUAMENI PAYO</t>
    </r>
  </si>
  <si>
    <r>
      <t xml:space="preserve">ESF
</t>
    </r>
    <r>
      <rPr>
        <i/>
        <sz val="12"/>
        <color theme="1"/>
        <rFont val="Cambria"/>
        <family val="1"/>
        <scheme val="major"/>
      </rPr>
      <t>Mme MPECK Gérarldine Samuelle</t>
    </r>
  </si>
  <si>
    <r>
      <t xml:space="preserve">Travail Manuel
</t>
    </r>
    <r>
      <rPr>
        <i/>
        <sz val="12"/>
        <color theme="1"/>
        <rFont val="Cambria"/>
        <family val="1"/>
        <scheme val="major"/>
      </rPr>
      <t>M. POCK NLOGA Pierre Sadrack R.</t>
    </r>
  </si>
  <si>
    <t>1 er</t>
  </si>
  <si>
    <t>7ème</t>
  </si>
  <si>
    <t>1er</t>
  </si>
  <si>
    <t>*</t>
  </si>
  <si>
    <t>4ème</t>
  </si>
  <si>
    <t>6ème</t>
  </si>
  <si>
    <t>8ème</t>
  </si>
  <si>
    <t>3ème</t>
  </si>
  <si>
    <t>9ème</t>
  </si>
  <si>
    <t>5ème</t>
  </si>
  <si>
    <t>2ème</t>
  </si>
  <si>
    <t>NGONO BENGONE</t>
  </si>
  <si>
    <t>FONSSO ELOUNDOU ALEX</t>
  </si>
  <si>
    <t>13 ème</t>
  </si>
  <si>
    <t>SEQUENCE 3</t>
  </si>
  <si>
    <t>SEQUENCE 4</t>
  </si>
  <si>
    <t>TRIMESTRE 2</t>
  </si>
  <si>
    <t>PAS</t>
  </si>
  <si>
    <t>NGONO BENGONO</t>
  </si>
  <si>
    <t>TRIM 2</t>
  </si>
  <si>
    <t>SEQ 3</t>
  </si>
  <si>
    <t>SEQ 4</t>
  </si>
  <si>
    <t xml:space="preserve"> Trimestre 2 :                   </t>
  </si>
  <si>
    <t>ème</t>
  </si>
  <si>
    <t xml:space="preserve"> ème</t>
  </si>
  <si>
    <t>/08</t>
  </si>
  <si>
    <t>1ère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</si>
</sst>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66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Wingdings"/>
      <charset val="2"/>
    </font>
    <font>
      <i/>
      <sz val="12"/>
      <color theme="1"/>
      <name val="Times New Roman"/>
      <family val="1"/>
    </font>
    <font>
      <i/>
      <sz val="12"/>
      <color theme="1"/>
      <name val="Cambria"/>
      <family val="1"/>
      <scheme val="major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2"/>
      <color rgb="FFFF0066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Times New Roman"/>
      <family val="1"/>
    </font>
    <font>
      <b/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/>
    <xf numFmtId="0" fontId="1" fillId="0" borderId="1" xfId="0" applyFont="1" applyBorder="1"/>
    <xf numFmtId="2" fontId="1" fillId="0" borderId="1" xfId="0" applyNumberFormat="1" applyFont="1" applyBorder="1"/>
    <xf numFmtId="0" fontId="1" fillId="0" borderId="0" xfId="0" applyFont="1"/>
    <xf numFmtId="2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Fill="1" applyBorder="1"/>
    <xf numFmtId="2" fontId="3" fillId="0" borderId="1" xfId="0" applyNumberFormat="1" applyFont="1" applyBorder="1"/>
    <xf numFmtId="0" fontId="1" fillId="0" borderId="1" xfId="0" applyFont="1" applyFill="1" applyBorder="1"/>
    <xf numFmtId="0" fontId="6" fillId="0" borderId="0" xfId="0" applyFont="1"/>
    <xf numFmtId="2" fontId="8" fillId="0" borderId="5" xfId="0" applyNumberFormat="1" applyFont="1" applyBorder="1" applyAlignment="1">
      <alignment vertical="center" wrapText="1"/>
    </xf>
    <xf numFmtId="2" fontId="7" fillId="0" borderId="5" xfId="0" applyNumberFormat="1" applyFont="1" applyBorder="1" applyAlignment="1">
      <alignment vertical="center" wrapText="1"/>
    </xf>
    <xf numFmtId="2" fontId="8" fillId="0" borderId="4" xfId="0" applyNumberFormat="1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2" fontId="7" fillId="0" borderId="2" xfId="0" applyNumberFormat="1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right"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2" fontId="7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vertical="center" wrapText="1"/>
    </xf>
    <xf numFmtId="2" fontId="7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5" fillId="0" borderId="14" xfId="0" applyFont="1" applyBorder="1" applyAlignment="1">
      <alignment horizontal="center" vertical="center" wrapText="1"/>
    </xf>
    <xf numFmtId="2" fontId="13" fillId="0" borderId="4" xfId="0" applyNumberFormat="1" applyFont="1" applyBorder="1" applyAlignment="1">
      <alignment horizontal="left" vertical="center" wrapText="1"/>
    </xf>
    <xf numFmtId="2" fontId="14" fillId="0" borderId="4" xfId="0" applyNumberFormat="1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vertical="center"/>
    </xf>
    <xf numFmtId="2" fontId="12" fillId="0" borderId="4" xfId="0" applyNumberFormat="1" applyFont="1" applyBorder="1" applyAlignment="1">
      <alignment horizontal="left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15" fillId="0" borderId="1" xfId="0" applyFont="1" applyBorder="1"/>
    <xf numFmtId="0" fontId="15" fillId="2" borderId="1" xfId="0" applyFont="1" applyFill="1" applyBorder="1"/>
    <xf numFmtId="0" fontId="15" fillId="3" borderId="1" xfId="0" applyFont="1" applyFill="1" applyBorder="1"/>
    <xf numFmtId="0" fontId="15" fillId="0" borderId="0" xfId="0" applyFont="1" applyBorder="1" applyAlignment="1"/>
    <xf numFmtId="0" fontId="15" fillId="0" borderId="1" xfId="0" applyFont="1" applyBorder="1" applyAlignment="1">
      <alignment horizontal="center"/>
    </xf>
    <xf numFmtId="0" fontId="7" fillId="0" borderId="1" xfId="0" applyFont="1" applyBorder="1"/>
    <xf numFmtId="0" fontId="1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17" fillId="0" borderId="1" xfId="0" applyFont="1" applyBorder="1" applyAlignment="1">
      <alignment horizontal="center"/>
    </xf>
    <xf numFmtId="0" fontId="2" fillId="7" borderId="1" xfId="0" applyFont="1" applyFill="1" applyBorder="1"/>
    <xf numFmtId="2" fontId="7" fillId="0" borderId="1" xfId="0" applyNumberFormat="1" applyFont="1" applyBorder="1"/>
    <xf numFmtId="2" fontId="18" fillId="0" borderId="1" xfId="0" applyNumberFormat="1" applyFont="1" applyBorder="1"/>
    <xf numFmtId="0" fontId="15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2" fontId="7" fillId="2" borderId="0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right" wrapText="1"/>
    </xf>
    <xf numFmtId="2" fontId="7" fillId="2" borderId="0" xfId="0" applyNumberFormat="1" applyFont="1" applyFill="1" applyBorder="1" applyAlignment="1">
      <alignment horizontal="right" vertical="center" wrapText="1"/>
    </xf>
    <xf numFmtId="0" fontId="19" fillId="4" borderId="1" xfId="0" applyFont="1" applyFill="1" applyBorder="1"/>
    <xf numFmtId="2" fontId="20" fillId="0" borderId="1" xfId="0" applyNumberFormat="1" applyFont="1" applyBorder="1"/>
    <xf numFmtId="2" fontId="21" fillId="6" borderId="1" xfId="0" applyNumberFormat="1" applyFont="1" applyFill="1" applyBorder="1"/>
    <xf numFmtId="0" fontId="7" fillId="0" borderId="17" xfId="0" applyFont="1" applyBorder="1" applyAlignment="1">
      <alignment horizontal="center"/>
    </xf>
    <xf numFmtId="2" fontId="16" fillId="5" borderId="1" xfId="0" applyNumberFormat="1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vertical="center" wrapText="1"/>
    </xf>
    <xf numFmtId="2" fontId="7" fillId="0" borderId="8" xfId="0" applyNumberFormat="1" applyFont="1" applyBorder="1" applyAlignment="1">
      <alignment horizontal="center" vertical="center" wrapText="1"/>
    </xf>
    <xf numFmtId="2" fontId="7" fillId="11" borderId="1" xfId="0" applyNumberFormat="1" applyFont="1" applyFill="1" applyBorder="1" applyAlignment="1">
      <alignment horizontal="center"/>
    </xf>
    <xf numFmtId="2" fontId="7" fillId="12" borderId="1" xfId="0" applyNumberFormat="1" applyFont="1" applyFill="1" applyBorder="1" applyAlignment="1">
      <alignment horizontal="center"/>
    </xf>
    <xf numFmtId="2" fontId="7" fillId="8" borderId="17" xfId="0" applyNumberFormat="1" applyFont="1" applyFill="1" applyBorder="1" applyAlignment="1">
      <alignment horizontal="center"/>
    </xf>
    <xf numFmtId="2" fontId="7" fillId="8" borderId="18" xfId="0" applyNumberFormat="1" applyFont="1" applyFill="1" applyBorder="1" applyAlignment="1">
      <alignment horizontal="center"/>
    </xf>
    <xf numFmtId="2" fontId="7" fillId="10" borderId="17" xfId="0" applyNumberFormat="1" applyFont="1" applyFill="1" applyBorder="1" applyAlignment="1">
      <alignment horizontal="center"/>
    </xf>
    <xf numFmtId="2" fontId="7" fillId="10" borderId="18" xfId="0" applyNumberFormat="1" applyFont="1" applyFill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15" fillId="11" borderId="17" xfId="0" applyFont="1" applyFill="1" applyBorder="1" applyAlignment="1">
      <alignment horizontal="center"/>
    </xf>
    <xf numFmtId="0" fontId="15" fillId="11" borderId="19" xfId="0" applyFont="1" applyFill="1" applyBorder="1" applyAlignment="1">
      <alignment horizontal="center"/>
    </xf>
    <xf numFmtId="0" fontId="15" fillId="11" borderId="18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19" xfId="0" applyFont="1" applyFill="1" applyBorder="1" applyAlignment="1">
      <alignment horizontal="center"/>
    </xf>
    <xf numFmtId="0" fontId="15" fillId="5" borderId="18" xfId="0" applyFont="1" applyFill="1" applyBorder="1" applyAlignment="1">
      <alignment horizontal="center"/>
    </xf>
    <xf numFmtId="0" fontId="15" fillId="12" borderId="17" xfId="0" applyFont="1" applyFill="1" applyBorder="1" applyAlignment="1">
      <alignment horizontal="center"/>
    </xf>
    <xf numFmtId="0" fontId="15" fillId="12" borderId="19" xfId="0" applyFont="1" applyFill="1" applyBorder="1" applyAlignment="1">
      <alignment horizontal="center"/>
    </xf>
    <xf numFmtId="0" fontId="15" fillId="12" borderId="18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5" fillId="9" borderId="17" xfId="0" applyFont="1" applyFill="1" applyBorder="1" applyAlignment="1">
      <alignment horizontal="center"/>
    </xf>
    <xf numFmtId="0" fontId="15" fillId="9" borderId="18" xfId="0" applyFont="1" applyFill="1" applyBorder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8" fillId="2" borderId="11" xfId="0" applyFont="1" applyFill="1" applyBorder="1" applyAlignment="1">
      <alignment vertical="center" wrapText="1"/>
    </xf>
    <xf numFmtId="0" fontId="8" fillId="2" borderId="12" xfId="0" applyFont="1" applyFill="1" applyBorder="1" applyAlignment="1">
      <alignment vertical="center" wrapText="1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left" vertical="center" wrapText="1" indent="7"/>
    </xf>
    <xf numFmtId="2" fontId="7" fillId="0" borderId="22" xfId="0" applyNumberFormat="1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2" fontId="8" fillId="0" borderId="2" xfId="0" applyNumberFormat="1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vertical="center" wrapText="1"/>
    </xf>
    <xf numFmtId="2" fontId="7" fillId="0" borderId="6" xfId="0" applyNumberFormat="1" applyFont="1" applyBorder="1" applyAlignment="1">
      <alignment vertical="center" wrapText="1"/>
    </xf>
    <xf numFmtId="2" fontId="7" fillId="0" borderId="7" xfId="0" applyNumberFormat="1" applyFont="1" applyBorder="1" applyAlignment="1">
      <alignment vertical="center" wrapText="1"/>
    </xf>
    <xf numFmtId="2" fontId="7" fillId="0" borderId="8" xfId="0" applyNumberFormat="1" applyFont="1" applyBorder="1" applyAlignment="1">
      <alignment horizontal="left" vertical="center" wrapText="1"/>
    </xf>
    <xf numFmtId="2" fontId="7" fillId="0" borderId="8" xfId="0" applyNumberFormat="1" applyFont="1" applyBorder="1" applyAlignment="1">
      <alignment horizontal="right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vertical="center" wrapText="1"/>
    </xf>
    <xf numFmtId="2" fontId="7" fillId="0" borderId="8" xfId="0" applyNumberFormat="1" applyFont="1" applyBorder="1" applyAlignment="1">
      <alignment vertical="center" wrapText="1"/>
    </xf>
    <xf numFmtId="2" fontId="7" fillId="0" borderId="3" xfId="0" applyNumberFormat="1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vertical="center" wrapText="1"/>
    </xf>
    <xf numFmtId="2" fontId="8" fillId="0" borderId="8" xfId="0" applyNumberFormat="1" applyFont="1" applyBorder="1" applyAlignment="1">
      <alignment vertical="center" wrapText="1"/>
    </xf>
    <xf numFmtId="2" fontId="8" fillId="0" borderId="3" xfId="0" applyNumberFormat="1" applyFont="1" applyBorder="1" applyAlignment="1">
      <alignment vertical="center" wrapText="1"/>
    </xf>
    <xf numFmtId="2" fontId="8" fillId="0" borderId="6" xfId="0" applyNumberFormat="1" applyFont="1" applyBorder="1" applyAlignment="1">
      <alignment vertical="center" wrapText="1"/>
    </xf>
    <xf numFmtId="2" fontId="7" fillId="0" borderId="4" xfId="0" applyNumberFormat="1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2" fontId="7" fillId="0" borderId="7" xfId="0" applyNumberFormat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" fontId="7" fillId="0" borderId="12" xfId="0" applyNumberFormat="1" applyFont="1" applyBorder="1" applyAlignment="1">
      <alignment horizontal="center" vertical="center" wrapText="1"/>
    </xf>
    <xf numFmtId="2" fontId="7" fillId="0" borderId="13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right" vertical="center" wrapText="1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Graphique des Moyennes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BORDEREAU!$U$4</c:f>
              <c:strCache>
                <c:ptCount val="1"/>
                <c:pt idx="0">
                  <c:v>MOYENNE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BORDEREAU!$B$5:$B$15</c:f>
              <c:strCache>
                <c:ptCount val="11"/>
                <c:pt idx="0">
                  <c:v>ATEBA MINLO Maurice</c:v>
                </c:pt>
                <c:pt idx="1">
                  <c:v>AYE NOMO JULIENNE MANUELLA</c:v>
                </c:pt>
                <c:pt idx="2">
                  <c:v>AYANGMA RODNEY JOHAN</c:v>
                </c:pt>
                <c:pt idx="3">
                  <c:v>AYISSI AYE GOIRJIHO</c:v>
                </c:pt>
                <c:pt idx="4">
                  <c:v>BEKOLO BEKOLO JOSEPH GUY</c:v>
                </c:pt>
                <c:pt idx="5">
                  <c:v>BENGONO PAUL MAGLOIRE</c:v>
                </c:pt>
                <c:pt idx="6">
                  <c:v>LOMA JEANNE MELANIE</c:v>
                </c:pt>
                <c:pt idx="7">
                  <c:v>MBOUE MINLO SANDRINE</c:v>
                </c:pt>
                <c:pt idx="8">
                  <c:v>ONANINA LANDRY JAMES</c:v>
                </c:pt>
                <c:pt idx="9">
                  <c:v>POUABE HENRY PRINCE</c:v>
                </c:pt>
                <c:pt idx="10">
                  <c:v>TAMA EMMANUELLA GLOIRE</c:v>
                </c:pt>
              </c:strCache>
            </c:strRef>
          </c:cat>
          <c:val>
            <c:numRef>
              <c:f>BORDEREAU!$U$5:$U$15</c:f>
              <c:numCache>
                <c:formatCode>0.00</c:formatCode>
                <c:ptCount val="11"/>
                <c:pt idx="2">
                  <c:v>10.724137931034482</c:v>
                </c:pt>
                <c:pt idx="5">
                  <c:v>11.758620689655173</c:v>
                </c:pt>
                <c:pt idx="6">
                  <c:v>10.758620689655173</c:v>
                </c:pt>
                <c:pt idx="8">
                  <c:v>13.620689655172415</c:v>
                </c:pt>
                <c:pt idx="9">
                  <c:v>12.706896551724139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B-43F3-9123-A9FB9C24B2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75186784"/>
        <c:axId val="475188752"/>
      </c:lineChart>
      <c:catAx>
        <c:axId val="475186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88752"/>
        <c:crosses val="autoZero"/>
        <c:auto val="1"/>
        <c:lblAlgn val="ctr"/>
        <c:lblOffset val="100"/>
        <c:noMultiLvlLbl val="0"/>
      </c:catAx>
      <c:valAx>
        <c:axId val="475188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8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77</xdr:row>
      <xdr:rowOff>9525</xdr:rowOff>
    </xdr:from>
    <xdr:to>
      <xdr:col>5</xdr:col>
      <xdr:colOff>9525</xdr:colOff>
      <xdr:row>91</xdr:row>
      <xdr:rowOff>76200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60"/>
  <sheetViews>
    <sheetView topLeftCell="A30" zoomScale="91" zoomScaleNormal="91" workbookViewId="0">
      <selection activeCell="T46" sqref="T46"/>
    </sheetView>
  </sheetViews>
  <sheetFormatPr baseColWidth="10" defaultRowHeight="15" x14ac:dyDescent="0.25"/>
  <cols>
    <col min="2" max="2" width="33.28515625" bestFit="1" customWidth="1"/>
    <col min="3" max="3" width="7.5703125" bestFit="1" customWidth="1"/>
    <col min="4" max="4" width="7.140625" bestFit="1" customWidth="1"/>
    <col min="5" max="5" width="7.28515625" bestFit="1" customWidth="1"/>
    <col min="6" max="6" width="7.5703125" bestFit="1" customWidth="1"/>
    <col min="7" max="7" width="7.42578125" customWidth="1"/>
    <col min="8" max="8" width="6" bestFit="1" customWidth="1"/>
    <col min="9" max="9" width="6.7109375" bestFit="1" customWidth="1"/>
    <col min="10" max="10" width="9.140625" bestFit="1" customWidth="1"/>
    <col min="11" max="18" width="6" bestFit="1" customWidth="1"/>
    <col min="19" max="20" width="11.5703125" bestFit="1" customWidth="1"/>
  </cols>
  <sheetData>
    <row r="4" spans="1:18" x14ac:dyDescent="0.25">
      <c r="A4" s="4" t="s">
        <v>2</v>
      </c>
      <c r="B4" s="5" t="s">
        <v>0</v>
      </c>
      <c r="C4" s="5" t="s">
        <v>1</v>
      </c>
      <c r="D4" s="5" t="s">
        <v>16</v>
      </c>
      <c r="E4" s="5" t="s">
        <v>17</v>
      </c>
      <c r="F4" s="5" t="s">
        <v>9</v>
      </c>
      <c r="G4" s="5" t="s">
        <v>15</v>
      </c>
      <c r="H4" s="5" t="s">
        <v>10</v>
      </c>
      <c r="I4" s="5" t="s">
        <v>11</v>
      </c>
      <c r="J4" s="5" t="s">
        <v>3</v>
      </c>
      <c r="K4" s="5" t="s">
        <v>4</v>
      </c>
      <c r="L4" s="5" t="s">
        <v>12</v>
      </c>
      <c r="M4" s="5" t="s">
        <v>13</v>
      </c>
      <c r="N4" s="5" t="s">
        <v>100</v>
      </c>
      <c r="O4" s="5" t="s">
        <v>6</v>
      </c>
      <c r="P4" s="5" t="s">
        <v>7</v>
      </c>
      <c r="Q4" s="5" t="s">
        <v>99</v>
      </c>
      <c r="R4" s="5" t="s">
        <v>14</v>
      </c>
    </row>
    <row r="5" spans="1:18" x14ac:dyDescent="0.25">
      <c r="A5" s="1">
        <v>1</v>
      </c>
      <c r="B5" s="1" t="s">
        <v>88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1">
        <f>A5+1</f>
        <v>2</v>
      </c>
      <c r="B6" s="1" t="s">
        <v>95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1">
        <f t="shared" ref="A7:A29" si="0">A6+1</f>
        <v>3</v>
      </c>
      <c r="B7" s="1" t="s">
        <v>89</v>
      </c>
      <c r="C7" s="2">
        <v>10</v>
      </c>
      <c r="D7" s="2">
        <v>7</v>
      </c>
      <c r="E7" s="2">
        <v>10</v>
      </c>
      <c r="F7" s="2">
        <v>11.5</v>
      </c>
      <c r="G7" s="2">
        <v>15</v>
      </c>
      <c r="H7" s="2">
        <v>8</v>
      </c>
      <c r="I7" s="2">
        <v>10</v>
      </c>
      <c r="J7" s="2">
        <v>10</v>
      </c>
      <c r="K7" s="2">
        <v>9</v>
      </c>
      <c r="L7" s="2">
        <v>12</v>
      </c>
      <c r="M7" s="2">
        <v>8</v>
      </c>
      <c r="N7" s="2">
        <v>11</v>
      </c>
      <c r="O7" s="2">
        <v>15</v>
      </c>
      <c r="P7" s="2">
        <v>14</v>
      </c>
      <c r="Q7" s="2">
        <v>11</v>
      </c>
      <c r="R7" s="2">
        <v>16</v>
      </c>
    </row>
    <row r="8" spans="1:18" x14ac:dyDescent="0.25">
      <c r="A8" s="1">
        <f t="shared" si="0"/>
        <v>4</v>
      </c>
      <c r="B8" s="1" t="s">
        <v>90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>
        <f t="shared" si="0"/>
        <v>5</v>
      </c>
      <c r="B9" s="1" t="s">
        <v>94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1">
        <f t="shared" si="0"/>
        <v>6</v>
      </c>
      <c r="B10" s="1" t="s">
        <v>91</v>
      </c>
      <c r="C10" s="2">
        <v>12</v>
      </c>
      <c r="D10" s="2">
        <v>10</v>
      </c>
      <c r="E10" s="2">
        <v>10</v>
      </c>
      <c r="F10" s="2">
        <v>9</v>
      </c>
      <c r="G10" s="2">
        <v>15</v>
      </c>
      <c r="H10" s="2">
        <v>11</v>
      </c>
      <c r="I10" s="2">
        <v>8</v>
      </c>
      <c r="J10" s="2">
        <v>12</v>
      </c>
      <c r="K10" s="2">
        <v>16</v>
      </c>
      <c r="L10" s="2">
        <v>11</v>
      </c>
      <c r="M10" s="2">
        <v>12</v>
      </c>
      <c r="N10" s="2">
        <v>13</v>
      </c>
      <c r="O10" s="2">
        <v>15.5</v>
      </c>
      <c r="P10" s="2">
        <v>15</v>
      </c>
      <c r="Q10" s="2">
        <v>11</v>
      </c>
      <c r="R10" s="2">
        <v>16</v>
      </c>
    </row>
    <row r="11" spans="1:18" x14ac:dyDescent="0.25">
      <c r="A11" s="1">
        <f t="shared" si="0"/>
        <v>7</v>
      </c>
      <c r="B11" s="1" t="s">
        <v>92</v>
      </c>
      <c r="C11" s="2">
        <v>11</v>
      </c>
      <c r="D11" s="2">
        <v>13</v>
      </c>
      <c r="E11" s="2">
        <v>9.5</v>
      </c>
      <c r="F11" s="2">
        <v>9</v>
      </c>
      <c r="G11" s="2">
        <v>15</v>
      </c>
      <c r="H11" s="2">
        <v>12</v>
      </c>
      <c r="I11" s="2">
        <v>8.5</v>
      </c>
      <c r="J11" s="2">
        <v>9</v>
      </c>
      <c r="K11" s="2">
        <v>12</v>
      </c>
      <c r="L11" s="2">
        <v>11</v>
      </c>
      <c r="M11" s="2">
        <v>7</v>
      </c>
      <c r="N11" s="2">
        <v>12</v>
      </c>
      <c r="O11" s="2">
        <v>15</v>
      </c>
      <c r="P11" s="2">
        <v>14</v>
      </c>
      <c r="Q11" s="2">
        <v>6</v>
      </c>
      <c r="R11" s="2">
        <v>16</v>
      </c>
    </row>
    <row r="12" spans="1:18" x14ac:dyDescent="0.25">
      <c r="A12" s="1">
        <f t="shared" si="0"/>
        <v>8</v>
      </c>
      <c r="B12" s="1" t="s">
        <v>93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1">
        <f t="shared" si="0"/>
        <v>9</v>
      </c>
      <c r="B13" s="1" t="s">
        <v>96</v>
      </c>
      <c r="C13" s="2">
        <v>16</v>
      </c>
      <c r="D13" s="2">
        <v>8</v>
      </c>
      <c r="E13" s="2">
        <v>12</v>
      </c>
      <c r="F13" s="2">
        <v>14</v>
      </c>
      <c r="G13" s="2">
        <v>15</v>
      </c>
      <c r="H13" s="2">
        <v>12</v>
      </c>
      <c r="I13" s="2">
        <v>15</v>
      </c>
      <c r="J13" s="2">
        <v>12</v>
      </c>
      <c r="K13" s="2">
        <v>13</v>
      </c>
      <c r="L13" s="2">
        <v>13.5</v>
      </c>
      <c r="M13" s="2">
        <v>12</v>
      </c>
      <c r="N13" s="2">
        <v>14</v>
      </c>
      <c r="O13" s="2">
        <v>16.5</v>
      </c>
      <c r="P13" s="2">
        <v>10</v>
      </c>
      <c r="Q13" s="2">
        <v>14</v>
      </c>
      <c r="R13" s="2">
        <v>16</v>
      </c>
    </row>
    <row r="14" spans="1:18" x14ac:dyDescent="0.25">
      <c r="A14" s="1">
        <f t="shared" si="0"/>
        <v>10</v>
      </c>
      <c r="B14" s="1" t="s">
        <v>97</v>
      </c>
      <c r="C14" s="2">
        <v>14.5</v>
      </c>
      <c r="D14" s="2">
        <v>13</v>
      </c>
      <c r="E14" s="2">
        <v>9.5</v>
      </c>
      <c r="F14" s="2">
        <v>18</v>
      </c>
      <c r="G14" s="2">
        <v>15</v>
      </c>
      <c r="H14" s="2">
        <v>10</v>
      </c>
      <c r="I14" s="2">
        <v>10.5</v>
      </c>
      <c r="J14" s="2">
        <v>10</v>
      </c>
      <c r="K14" s="2">
        <v>14</v>
      </c>
      <c r="L14" s="2">
        <v>10</v>
      </c>
      <c r="M14" s="2">
        <v>14</v>
      </c>
      <c r="N14" s="2">
        <v>13</v>
      </c>
      <c r="O14" s="2">
        <v>15</v>
      </c>
      <c r="P14" s="2">
        <v>10</v>
      </c>
      <c r="Q14" s="2">
        <v>15</v>
      </c>
      <c r="R14" s="2">
        <v>16</v>
      </c>
    </row>
    <row r="15" spans="1:18" x14ac:dyDescent="0.25">
      <c r="A15" s="1">
        <f t="shared" si="0"/>
        <v>11</v>
      </c>
      <c r="B15" s="1" t="s">
        <v>98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1">
        <f t="shared" si="0"/>
        <v>12</v>
      </c>
      <c r="B16" s="1" t="s">
        <v>119</v>
      </c>
      <c r="C16" s="2">
        <v>9</v>
      </c>
      <c r="D16" s="2">
        <v>10</v>
      </c>
      <c r="E16" s="2">
        <v>9.5</v>
      </c>
      <c r="F16" s="2">
        <v>6</v>
      </c>
      <c r="G16" s="2">
        <v>15</v>
      </c>
      <c r="H16" s="2">
        <v>6</v>
      </c>
      <c r="I16" s="2">
        <v>8</v>
      </c>
      <c r="J16" s="2">
        <v>9</v>
      </c>
      <c r="K16" s="2">
        <v>6</v>
      </c>
      <c r="L16" s="2">
        <v>10</v>
      </c>
      <c r="M16" s="2">
        <v>7</v>
      </c>
      <c r="N16" s="2">
        <v>11</v>
      </c>
      <c r="O16" s="2">
        <v>15</v>
      </c>
      <c r="P16" s="2">
        <v>16</v>
      </c>
      <c r="Q16" s="2">
        <v>4</v>
      </c>
      <c r="R16" s="2">
        <v>16</v>
      </c>
    </row>
    <row r="17" spans="1:19" x14ac:dyDescent="0.25">
      <c r="A17" s="1">
        <f t="shared" si="0"/>
        <v>13</v>
      </c>
      <c r="B17" s="1" t="s">
        <v>146</v>
      </c>
      <c r="C17" s="2">
        <v>10</v>
      </c>
      <c r="D17" s="2">
        <v>7</v>
      </c>
      <c r="E17" s="2">
        <v>9</v>
      </c>
      <c r="F17" s="2">
        <v>12</v>
      </c>
      <c r="G17" s="2">
        <v>15</v>
      </c>
      <c r="H17" s="2">
        <v>8</v>
      </c>
      <c r="I17" s="2">
        <v>9</v>
      </c>
      <c r="J17" s="2">
        <v>8.5</v>
      </c>
      <c r="K17" s="2">
        <v>13</v>
      </c>
      <c r="L17" s="2">
        <v>15.5</v>
      </c>
      <c r="M17" s="2">
        <v>9</v>
      </c>
      <c r="N17" s="2">
        <v>13</v>
      </c>
      <c r="O17" s="2">
        <v>14.5</v>
      </c>
      <c r="P17" s="2">
        <v>11</v>
      </c>
      <c r="Q17" s="2">
        <v>7</v>
      </c>
      <c r="R17" s="2">
        <v>16</v>
      </c>
    </row>
    <row r="18" spans="1:19" x14ac:dyDescent="0.25">
      <c r="A18" s="1">
        <f t="shared" si="0"/>
        <v>14</v>
      </c>
      <c r="B18" s="1" t="s">
        <v>145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9" x14ac:dyDescent="0.25">
      <c r="A19" s="1">
        <f t="shared" si="0"/>
        <v>15</v>
      </c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9" x14ac:dyDescent="0.25">
      <c r="A20" s="1">
        <f t="shared" si="0"/>
        <v>16</v>
      </c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9" x14ac:dyDescent="0.25">
      <c r="A21" s="1">
        <f t="shared" si="0"/>
        <v>17</v>
      </c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9" x14ac:dyDescent="0.25">
      <c r="A22" s="1">
        <f t="shared" si="0"/>
        <v>18</v>
      </c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9" x14ac:dyDescent="0.25">
      <c r="A23" s="1">
        <f t="shared" si="0"/>
        <v>19</v>
      </c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9" x14ac:dyDescent="0.25">
      <c r="A24" s="1">
        <f t="shared" si="0"/>
        <v>20</v>
      </c>
      <c r="B24" s="1" t="e">
        <f>#REF!</f>
        <v>#REF!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9" x14ac:dyDescent="0.25">
      <c r="A25" s="1">
        <f t="shared" si="0"/>
        <v>21</v>
      </c>
      <c r="B25" s="1" t="e">
        <f>#REF!</f>
        <v>#REF!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9" x14ac:dyDescent="0.25">
      <c r="A26" s="1">
        <f t="shared" si="0"/>
        <v>22</v>
      </c>
      <c r="B26" s="1" t="e">
        <f>#REF!</f>
        <v>#REF!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9" x14ac:dyDescent="0.25">
      <c r="A27" s="1">
        <f t="shared" si="0"/>
        <v>23</v>
      </c>
      <c r="B27" s="1" t="e">
        <f>#REF!</f>
        <v>#REF!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9" x14ac:dyDescent="0.25">
      <c r="A28" s="1">
        <f t="shared" si="0"/>
        <v>24</v>
      </c>
      <c r="B28" s="1" t="e">
        <f>#REF!</f>
        <v>#REF!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9" x14ac:dyDescent="0.25">
      <c r="A29" s="1">
        <f t="shared" si="0"/>
        <v>25</v>
      </c>
      <c r="B29" s="1" t="e">
        <f>#REF!</f>
        <v>#REF!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9" x14ac:dyDescent="0.25">
      <c r="B30" s="1" t="e">
        <f>#REF!</f>
        <v>#REF!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9" x14ac:dyDescent="0.25">
      <c r="C31" s="3">
        <f>AVERAGE(C5:C30)</f>
        <v>11.785714285714286</v>
      </c>
      <c r="D31" s="3">
        <f t="shared" ref="D31:R31" si="1">AVERAGE(D5:D30)</f>
        <v>9.7142857142857135</v>
      </c>
      <c r="E31" s="3">
        <f t="shared" si="1"/>
        <v>9.9285714285714288</v>
      </c>
      <c r="F31" s="3">
        <f t="shared" si="1"/>
        <v>11.357142857142858</v>
      </c>
      <c r="G31" s="3">
        <f t="shared" si="1"/>
        <v>15</v>
      </c>
      <c r="H31" s="3">
        <f t="shared" si="1"/>
        <v>9.5714285714285712</v>
      </c>
      <c r="I31" s="3">
        <f t="shared" si="1"/>
        <v>9.8571428571428577</v>
      </c>
      <c r="J31" s="3">
        <f t="shared" si="1"/>
        <v>10.071428571428571</v>
      </c>
      <c r="K31" s="3">
        <f t="shared" si="1"/>
        <v>11.857142857142858</v>
      </c>
      <c r="L31" s="3">
        <f t="shared" si="1"/>
        <v>11.857142857142858</v>
      </c>
      <c r="M31" s="3">
        <f t="shared" si="1"/>
        <v>9.8571428571428577</v>
      </c>
      <c r="N31" s="3">
        <f t="shared" si="1"/>
        <v>12.428571428571429</v>
      </c>
      <c r="O31" s="3">
        <f t="shared" si="1"/>
        <v>15.214285714285714</v>
      </c>
      <c r="P31" s="3">
        <f t="shared" si="1"/>
        <v>12.857142857142858</v>
      </c>
      <c r="Q31" s="3">
        <f t="shared" si="1"/>
        <v>9.7142857142857135</v>
      </c>
      <c r="R31" s="3">
        <f t="shared" si="1"/>
        <v>16</v>
      </c>
      <c r="S31" s="3">
        <f>AVERAGE(C31:R31)</f>
        <v>11.691964285714288</v>
      </c>
    </row>
    <row r="33" spans="1:20" x14ac:dyDescent="0.25">
      <c r="A33" s="4" t="s">
        <v>2</v>
      </c>
      <c r="B33" s="5" t="s">
        <v>0</v>
      </c>
      <c r="C33" s="5" t="s">
        <v>1</v>
      </c>
      <c r="D33" s="5" t="s">
        <v>16</v>
      </c>
      <c r="E33" s="5" t="s">
        <v>17</v>
      </c>
      <c r="F33" s="5" t="s">
        <v>9</v>
      </c>
      <c r="G33" s="5" t="s">
        <v>15</v>
      </c>
      <c r="H33" s="5" t="s">
        <v>10</v>
      </c>
      <c r="I33" s="5" t="s">
        <v>11</v>
      </c>
      <c r="J33" s="5" t="s">
        <v>3</v>
      </c>
      <c r="K33" s="5" t="s">
        <v>4</v>
      </c>
      <c r="L33" s="5" t="s">
        <v>12</v>
      </c>
      <c r="M33" s="5" t="s">
        <v>13</v>
      </c>
      <c r="N33" s="5" t="s">
        <v>100</v>
      </c>
      <c r="O33" s="5" t="s">
        <v>6</v>
      </c>
      <c r="P33" s="5" t="s">
        <v>7</v>
      </c>
      <c r="Q33" s="5" t="s">
        <v>99</v>
      </c>
      <c r="R33" s="5" t="s">
        <v>14</v>
      </c>
      <c r="S33" s="6" t="s">
        <v>18</v>
      </c>
      <c r="T33" s="6" t="s">
        <v>19</v>
      </c>
    </row>
    <row r="34" spans="1:20" x14ac:dyDescent="0.25">
      <c r="A34" s="1">
        <v>1</v>
      </c>
      <c r="B34" s="1" t="str">
        <f t="shared" ref="B34:B59" si="2">B5</f>
        <v>ATEBA MINLO Maurice</v>
      </c>
      <c r="C34" s="2">
        <f t="shared" ref="C34:C52" si="3">C5*3</f>
        <v>0</v>
      </c>
      <c r="D34" s="2">
        <f t="shared" ref="D34:D52" si="4">D5*1</f>
        <v>0</v>
      </c>
      <c r="E34" s="2">
        <f t="shared" ref="E34:F37" si="5">E5*2</f>
        <v>0</v>
      </c>
      <c r="F34" s="2">
        <f t="shared" si="5"/>
        <v>0</v>
      </c>
      <c r="G34" s="2">
        <f>G5*1</f>
        <v>0</v>
      </c>
      <c r="H34" s="2">
        <f t="shared" ref="H34:H52" si="6">H5*2</f>
        <v>0</v>
      </c>
      <c r="I34" s="2">
        <f t="shared" ref="I34:I52" si="7">I5*4</f>
        <v>0</v>
      </c>
      <c r="J34" s="2">
        <f t="shared" ref="J34:M52" si="8">J5*2</f>
        <v>0</v>
      </c>
      <c r="K34" s="2">
        <f t="shared" si="8"/>
        <v>0</v>
      </c>
      <c r="L34" s="2">
        <f t="shared" si="8"/>
        <v>0</v>
      </c>
      <c r="M34" s="2">
        <f t="shared" si="8"/>
        <v>0</v>
      </c>
      <c r="N34" s="2">
        <f t="shared" ref="N34:N52" si="9">N5*1</f>
        <v>0</v>
      </c>
      <c r="O34" s="2">
        <f t="shared" ref="O34:O52" si="10">O5*2</f>
        <v>0</v>
      </c>
      <c r="P34" s="2">
        <f t="shared" ref="P34:R35" si="11">P5*1</f>
        <v>0</v>
      </c>
      <c r="Q34" s="2">
        <f t="shared" si="11"/>
        <v>0</v>
      </c>
      <c r="R34" s="2">
        <f t="shared" si="11"/>
        <v>0</v>
      </c>
      <c r="S34" s="7">
        <f>SUM(C34:R34)</f>
        <v>0</v>
      </c>
      <c r="T34" s="2"/>
    </row>
    <row r="35" spans="1:20" x14ac:dyDescent="0.25">
      <c r="A35" s="1">
        <f>A34+1</f>
        <v>2</v>
      </c>
      <c r="B35" s="1" t="str">
        <f t="shared" si="2"/>
        <v>AYE NOMO JULIENNE MANUELLA</v>
      </c>
      <c r="C35" s="2">
        <f t="shared" si="3"/>
        <v>0</v>
      </c>
      <c r="D35" s="2">
        <f t="shared" si="4"/>
        <v>0</v>
      </c>
      <c r="E35" s="2">
        <f t="shared" si="5"/>
        <v>0</v>
      </c>
      <c r="F35" s="2">
        <f t="shared" si="5"/>
        <v>0</v>
      </c>
      <c r="G35" s="2">
        <f>G6*1</f>
        <v>0</v>
      </c>
      <c r="H35" s="2">
        <f t="shared" si="6"/>
        <v>0</v>
      </c>
      <c r="I35" s="2">
        <f t="shared" si="7"/>
        <v>0</v>
      </c>
      <c r="J35" s="2">
        <f t="shared" si="8"/>
        <v>0</v>
      </c>
      <c r="K35" s="2">
        <f t="shared" si="8"/>
        <v>0</v>
      </c>
      <c r="L35" s="2">
        <f t="shared" si="8"/>
        <v>0</v>
      </c>
      <c r="M35" s="2">
        <f t="shared" si="8"/>
        <v>0</v>
      </c>
      <c r="N35" s="2">
        <f t="shared" si="9"/>
        <v>0</v>
      </c>
      <c r="O35" s="2">
        <f t="shared" si="10"/>
        <v>0</v>
      </c>
      <c r="P35" s="2">
        <f t="shared" si="11"/>
        <v>0</v>
      </c>
      <c r="Q35" s="2">
        <f t="shared" si="11"/>
        <v>0</v>
      </c>
      <c r="R35" s="2">
        <f t="shared" si="11"/>
        <v>0</v>
      </c>
      <c r="S35" s="7">
        <f>SUM(C35:R35)</f>
        <v>0</v>
      </c>
      <c r="T35" s="2"/>
    </row>
    <row r="36" spans="1:20" x14ac:dyDescent="0.25">
      <c r="A36" s="1">
        <f t="shared" ref="A36:A58" si="12">A35+1</f>
        <v>3</v>
      </c>
      <c r="B36" s="1" t="str">
        <f t="shared" si="2"/>
        <v>AYANGMA RODNEY JOHAN</v>
      </c>
      <c r="C36" s="2">
        <f t="shared" si="3"/>
        <v>30</v>
      </c>
      <c r="D36" s="2">
        <f t="shared" si="4"/>
        <v>7</v>
      </c>
      <c r="E36" s="2">
        <f t="shared" si="5"/>
        <v>20</v>
      </c>
      <c r="F36" s="2">
        <f t="shared" si="5"/>
        <v>23</v>
      </c>
      <c r="G36" s="2">
        <f t="shared" ref="G36" si="13">G7*1</f>
        <v>15</v>
      </c>
      <c r="H36" s="2">
        <f t="shared" si="6"/>
        <v>16</v>
      </c>
      <c r="I36" s="2">
        <f t="shared" si="7"/>
        <v>40</v>
      </c>
      <c r="J36" s="2">
        <f t="shared" si="8"/>
        <v>20</v>
      </c>
      <c r="K36" s="2">
        <f t="shared" si="8"/>
        <v>18</v>
      </c>
      <c r="L36" s="2">
        <f t="shared" si="8"/>
        <v>24</v>
      </c>
      <c r="M36" s="2">
        <f t="shared" si="8"/>
        <v>16</v>
      </c>
      <c r="N36" s="2">
        <f t="shared" si="9"/>
        <v>11</v>
      </c>
      <c r="O36" s="2">
        <f t="shared" si="10"/>
        <v>30</v>
      </c>
      <c r="P36" s="2">
        <f t="shared" ref="P36:R36" si="14">P7*1</f>
        <v>14</v>
      </c>
      <c r="Q36" s="2">
        <f t="shared" si="14"/>
        <v>11</v>
      </c>
      <c r="R36" s="2">
        <f t="shared" si="14"/>
        <v>16</v>
      </c>
      <c r="S36" s="7">
        <f t="shared" ref="S36:S52" si="15">SUM(C36:R36)</f>
        <v>311</v>
      </c>
      <c r="T36" s="2">
        <f t="shared" ref="T36:T46" si="16">S36/29</f>
        <v>10.724137931034482</v>
      </c>
    </row>
    <row r="37" spans="1:20" x14ac:dyDescent="0.25">
      <c r="A37" s="1">
        <f t="shared" si="12"/>
        <v>4</v>
      </c>
      <c r="B37" s="1" t="str">
        <f t="shared" si="2"/>
        <v>AYISSI AYE GOIRJIHO</v>
      </c>
      <c r="C37" s="2">
        <f t="shared" si="3"/>
        <v>0</v>
      </c>
      <c r="D37" s="2">
        <f t="shared" si="4"/>
        <v>0</v>
      </c>
      <c r="E37" s="2">
        <f t="shared" si="5"/>
        <v>0</v>
      </c>
      <c r="F37" s="2">
        <f t="shared" si="5"/>
        <v>0</v>
      </c>
      <c r="G37" s="2">
        <f t="shared" ref="G37" si="17">G8*1</f>
        <v>0</v>
      </c>
      <c r="H37" s="2">
        <f t="shared" si="6"/>
        <v>0</v>
      </c>
      <c r="I37" s="2">
        <f t="shared" si="7"/>
        <v>0</v>
      </c>
      <c r="J37" s="2">
        <f t="shared" si="8"/>
        <v>0</v>
      </c>
      <c r="K37" s="2">
        <f t="shared" si="8"/>
        <v>0</v>
      </c>
      <c r="L37" s="2">
        <f t="shared" si="8"/>
        <v>0</v>
      </c>
      <c r="M37" s="2">
        <f t="shared" si="8"/>
        <v>0</v>
      </c>
      <c r="N37" s="2">
        <f t="shared" si="9"/>
        <v>0</v>
      </c>
      <c r="O37" s="2">
        <f t="shared" si="10"/>
        <v>0</v>
      </c>
      <c r="P37" s="2">
        <f t="shared" ref="P37:R37" si="18">P8*1</f>
        <v>0</v>
      </c>
      <c r="Q37" s="2">
        <f t="shared" si="18"/>
        <v>0</v>
      </c>
      <c r="R37" s="2">
        <f t="shared" si="18"/>
        <v>0</v>
      </c>
      <c r="S37" s="7">
        <f t="shared" si="15"/>
        <v>0</v>
      </c>
      <c r="T37" s="2"/>
    </row>
    <row r="38" spans="1:20" x14ac:dyDescent="0.25">
      <c r="A38" s="1">
        <f t="shared" si="12"/>
        <v>5</v>
      </c>
      <c r="B38" s="1" t="str">
        <f t="shared" si="2"/>
        <v>BEKOLO BEKOLO JOSEPH GUY</v>
      </c>
      <c r="C38" s="2">
        <f t="shared" si="3"/>
        <v>0</v>
      </c>
      <c r="D38" s="2">
        <f t="shared" si="4"/>
        <v>0</v>
      </c>
      <c r="E38" s="2">
        <f t="shared" ref="E38:E52" si="19">E9*2</f>
        <v>0</v>
      </c>
      <c r="F38" s="2">
        <f t="shared" ref="F38:F46" si="20">F9*2</f>
        <v>0</v>
      </c>
      <c r="G38" s="2">
        <f t="shared" ref="G38" si="21">G9*1</f>
        <v>0</v>
      </c>
      <c r="H38" s="2">
        <f t="shared" si="6"/>
        <v>0</v>
      </c>
      <c r="I38" s="2">
        <f t="shared" si="7"/>
        <v>0</v>
      </c>
      <c r="J38" s="2">
        <f t="shared" si="8"/>
        <v>0</v>
      </c>
      <c r="K38" s="2">
        <f t="shared" si="8"/>
        <v>0</v>
      </c>
      <c r="L38" s="2">
        <f t="shared" si="8"/>
        <v>0</v>
      </c>
      <c r="M38" s="2">
        <f t="shared" si="8"/>
        <v>0</v>
      </c>
      <c r="N38" s="2">
        <f t="shared" si="9"/>
        <v>0</v>
      </c>
      <c r="O38" s="2">
        <f t="shared" si="10"/>
        <v>0</v>
      </c>
      <c r="P38" s="2">
        <f t="shared" ref="P38:R38" si="22">P9*1</f>
        <v>0</v>
      </c>
      <c r="Q38" s="2">
        <f t="shared" si="22"/>
        <v>0</v>
      </c>
      <c r="R38" s="2">
        <f t="shared" si="22"/>
        <v>0</v>
      </c>
      <c r="S38" s="7">
        <f t="shared" si="15"/>
        <v>0</v>
      </c>
      <c r="T38" s="2"/>
    </row>
    <row r="39" spans="1:20" x14ac:dyDescent="0.25">
      <c r="A39" s="1">
        <f t="shared" si="12"/>
        <v>6</v>
      </c>
      <c r="B39" s="1" t="str">
        <f t="shared" si="2"/>
        <v>BENGONO PAUL MAGLOIRE</v>
      </c>
      <c r="C39" s="2">
        <f t="shared" si="3"/>
        <v>36</v>
      </c>
      <c r="D39" s="2">
        <f t="shared" si="4"/>
        <v>10</v>
      </c>
      <c r="E39" s="2">
        <f t="shared" si="19"/>
        <v>20</v>
      </c>
      <c r="F39" s="2">
        <f t="shared" si="20"/>
        <v>18</v>
      </c>
      <c r="G39" s="2">
        <f t="shared" ref="G39" si="23">G10*1</f>
        <v>15</v>
      </c>
      <c r="H39" s="2">
        <f t="shared" si="6"/>
        <v>22</v>
      </c>
      <c r="I39" s="2">
        <f t="shared" si="7"/>
        <v>32</v>
      </c>
      <c r="J39" s="2">
        <f t="shared" si="8"/>
        <v>24</v>
      </c>
      <c r="K39" s="2">
        <f t="shared" si="8"/>
        <v>32</v>
      </c>
      <c r="L39" s="2">
        <f t="shared" si="8"/>
        <v>22</v>
      </c>
      <c r="M39" s="2">
        <f t="shared" si="8"/>
        <v>24</v>
      </c>
      <c r="N39" s="2">
        <f t="shared" si="9"/>
        <v>13</v>
      </c>
      <c r="O39" s="2">
        <f t="shared" si="10"/>
        <v>31</v>
      </c>
      <c r="P39" s="2">
        <f t="shared" ref="P39:R39" si="24">P10*1</f>
        <v>15</v>
      </c>
      <c r="Q39" s="2">
        <f t="shared" si="24"/>
        <v>11</v>
      </c>
      <c r="R39" s="2">
        <f t="shared" si="24"/>
        <v>16</v>
      </c>
      <c r="S39" s="7">
        <f t="shared" si="15"/>
        <v>341</v>
      </c>
      <c r="T39" s="2">
        <f t="shared" si="16"/>
        <v>11.758620689655173</v>
      </c>
    </row>
    <row r="40" spans="1:20" x14ac:dyDescent="0.25">
      <c r="A40" s="1">
        <f t="shared" si="12"/>
        <v>7</v>
      </c>
      <c r="B40" s="1" t="str">
        <f t="shared" si="2"/>
        <v>LOMA JEANNE MELANIE</v>
      </c>
      <c r="C40" s="2">
        <f t="shared" si="3"/>
        <v>33</v>
      </c>
      <c r="D40" s="2">
        <f t="shared" si="4"/>
        <v>13</v>
      </c>
      <c r="E40" s="2">
        <f t="shared" si="19"/>
        <v>19</v>
      </c>
      <c r="F40" s="2">
        <f t="shared" si="20"/>
        <v>18</v>
      </c>
      <c r="G40" s="2">
        <f t="shared" ref="G40" si="25">G11*1</f>
        <v>15</v>
      </c>
      <c r="H40" s="2">
        <f t="shared" si="6"/>
        <v>24</v>
      </c>
      <c r="I40" s="2">
        <f t="shared" si="7"/>
        <v>34</v>
      </c>
      <c r="J40" s="2">
        <f t="shared" si="8"/>
        <v>18</v>
      </c>
      <c r="K40" s="2">
        <f t="shared" si="8"/>
        <v>24</v>
      </c>
      <c r="L40" s="2">
        <f t="shared" si="8"/>
        <v>22</v>
      </c>
      <c r="M40" s="2">
        <f t="shared" si="8"/>
        <v>14</v>
      </c>
      <c r="N40" s="2">
        <f t="shared" si="9"/>
        <v>12</v>
      </c>
      <c r="O40" s="2">
        <f t="shared" si="10"/>
        <v>30</v>
      </c>
      <c r="P40" s="2">
        <f t="shared" ref="P40:R40" si="26">P11*1</f>
        <v>14</v>
      </c>
      <c r="Q40" s="2">
        <f t="shared" si="26"/>
        <v>6</v>
      </c>
      <c r="R40" s="2">
        <f t="shared" si="26"/>
        <v>16</v>
      </c>
      <c r="S40" s="7">
        <f t="shared" si="15"/>
        <v>312</v>
      </c>
      <c r="T40" s="2">
        <f t="shared" si="16"/>
        <v>10.758620689655173</v>
      </c>
    </row>
    <row r="41" spans="1:20" x14ac:dyDescent="0.25">
      <c r="A41" s="1">
        <f t="shared" si="12"/>
        <v>8</v>
      </c>
      <c r="B41" s="1" t="str">
        <f t="shared" si="2"/>
        <v>MBOUE MINLO SANDRINE</v>
      </c>
      <c r="C41" s="2">
        <f t="shared" si="3"/>
        <v>0</v>
      </c>
      <c r="D41" s="2">
        <f t="shared" si="4"/>
        <v>0</v>
      </c>
      <c r="E41" s="2">
        <f t="shared" si="19"/>
        <v>0</v>
      </c>
      <c r="F41" s="2">
        <f t="shared" si="20"/>
        <v>0</v>
      </c>
      <c r="G41" s="2">
        <f t="shared" ref="G41:G45" si="27">G12*1</f>
        <v>0</v>
      </c>
      <c r="H41" s="2">
        <f t="shared" si="6"/>
        <v>0</v>
      </c>
      <c r="I41" s="2">
        <f t="shared" si="7"/>
        <v>0</v>
      </c>
      <c r="J41" s="2">
        <f t="shared" si="8"/>
        <v>0</v>
      </c>
      <c r="K41" s="2">
        <f t="shared" si="8"/>
        <v>0</v>
      </c>
      <c r="L41" s="2">
        <f t="shared" si="8"/>
        <v>0</v>
      </c>
      <c r="M41" s="2">
        <f t="shared" si="8"/>
        <v>0</v>
      </c>
      <c r="N41" s="2">
        <f t="shared" si="9"/>
        <v>0</v>
      </c>
      <c r="O41" s="2">
        <f t="shared" si="10"/>
        <v>0</v>
      </c>
      <c r="P41" s="2">
        <f t="shared" ref="P41:R45" si="28">P12*1</f>
        <v>0</v>
      </c>
      <c r="Q41" s="2">
        <f t="shared" si="28"/>
        <v>0</v>
      </c>
      <c r="R41" s="2">
        <f t="shared" si="28"/>
        <v>0</v>
      </c>
      <c r="S41" s="7">
        <f t="shared" si="15"/>
        <v>0</v>
      </c>
      <c r="T41" s="2"/>
    </row>
    <row r="42" spans="1:20" x14ac:dyDescent="0.25">
      <c r="A42" s="1">
        <f t="shared" si="12"/>
        <v>9</v>
      </c>
      <c r="B42" s="1" t="str">
        <f t="shared" si="2"/>
        <v>ONANINA LANDRY JAMES</v>
      </c>
      <c r="C42" s="2">
        <f t="shared" si="3"/>
        <v>48</v>
      </c>
      <c r="D42" s="2">
        <f t="shared" si="4"/>
        <v>8</v>
      </c>
      <c r="E42" s="2">
        <f t="shared" si="19"/>
        <v>24</v>
      </c>
      <c r="F42" s="2">
        <f t="shared" si="20"/>
        <v>28</v>
      </c>
      <c r="G42" s="2">
        <f t="shared" si="27"/>
        <v>15</v>
      </c>
      <c r="H42" s="2">
        <f t="shared" si="6"/>
        <v>24</v>
      </c>
      <c r="I42" s="2">
        <f t="shared" si="7"/>
        <v>60</v>
      </c>
      <c r="J42" s="2">
        <f t="shared" si="8"/>
        <v>24</v>
      </c>
      <c r="K42" s="2">
        <f t="shared" si="8"/>
        <v>26</v>
      </c>
      <c r="L42" s="2">
        <f t="shared" si="8"/>
        <v>27</v>
      </c>
      <c r="M42" s="2">
        <f t="shared" si="8"/>
        <v>24</v>
      </c>
      <c r="N42" s="2">
        <f t="shared" si="9"/>
        <v>14</v>
      </c>
      <c r="O42" s="2">
        <f t="shared" si="10"/>
        <v>33</v>
      </c>
      <c r="P42" s="2">
        <f t="shared" si="28"/>
        <v>10</v>
      </c>
      <c r="Q42" s="2">
        <f t="shared" si="28"/>
        <v>14</v>
      </c>
      <c r="R42" s="2">
        <f t="shared" si="28"/>
        <v>16</v>
      </c>
      <c r="S42" s="7">
        <f t="shared" ref="S42:S45" si="29">SUM(C42:R42)</f>
        <v>395</v>
      </c>
      <c r="T42" s="2">
        <f t="shared" ref="T42:T45" si="30">S42/29</f>
        <v>13.620689655172415</v>
      </c>
    </row>
    <row r="43" spans="1:20" x14ac:dyDescent="0.25">
      <c r="A43" s="1">
        <f t="shared" si="12"/>
        <v>10</v>
      </c>
      <c r="B43" s="1" t="str">
        <f t="shared" si="2"/>
        <v>POUABE HENRY PRINCE</v>
      </c>
      <c r="C43" s="2">
        <f t="shared" si="3"/>
        <v>43.5</v>
      </c>
      <c r="D43" s="2">
        <f t="shared" si="4"/>
        <v>13</v>
      </c>
      <c r="E43" s="2">
        <f t="shared" si="19"/>
        <v>19</v>
      </c>
      <c r="F43" s="2">
        <f t="shared" si="20"/>
        <v>36</v>
      </c>
      <c r="G43" s="2">
        <f t="shared" si="27"/>
        <v>15</v>
      </c>
      <c r="H43" s="2">
        <f t="shared" si="6"/>
        <v>20</v>
      </c>
      <c r="I43" s="2">
        <f t="shared" si="7"/>
        <v>42</v>
      </c>
      <c r="J43" s="2">
        <f t="shared" si="8"/>
        <v>20</v>
      </c>
      <c r="K43" s="2">
        <f t="shared" si="8"/>
        <v>28</v>
      </c>
      <c r="L43" s="2">
        <f t="shared" si="8"/>
        <v>20</v>
      </c>
      <c r="M43" s="2">
        <f t="shared" si="8"/>
        <v>28</v>
      </c>
      <c r="N43" s="2">
        <f t="shared" si="9"/>
        <v>13</v>
      </c>
      <c r="O43" s="2">
        <f t="shared" si="10"/>
        <v>30</v>
      </c>
      <c r="P43" s="2">
        <f t="shared" si="28"/>
        <v>10</v>
      </c>
      <c r="Q43" s="2">
        <f t="shared" si="28"/>
        <v>15</v>
      </c>
      <c r="R43" s="2">
        <f t="shared" si="28"/>
        <v>16</v>
      </c>
      <c r="S43" s="7">
        <f t="shared" si="29"/>
        <v>368.5</v>
      </c>
      <c r="T43" s="2">
        <f t="shared" si="30"/>
        <v>12.706896551724139</v>
      </c>
    </row>
    <row r="44" spans="1:20" x14ac:dyDescent="0.25">
      <c r="A44" s="1">
        <f t="shared" si="12"/>
        <v>11</v>
      </c>
      <c r="B44" s="1" t="str">
        <f t="shared" si="2"/>
        <v>TAMA EMMANUELLA GLOIRE</v>
      </c>
      <c r="C44" s="2">
        <f t="shared" si="3"/>
        <v>0</v>
      </c>
      <c r="D44" s="2">
        <f t="shared" si="4"/>
        <v>0</v>
      </c>
      <c r="E44" s="2">
        <f t="shared" si="19"/>
        <v>0</v>
      </c>
      <c r="F44" s="2">
        <f t="shared" si="20"/>
        <v>0</v>
      </c>
      <c r="G44" s="2">
        <f t="shared" si="27"/>
        <v>0</v>
      </c>
      <c r="H44" s="2">
        <f t="shared" si="6"/>
        <v>0</v>
      </c>
      <c r="I44" s="2">
        <f t="shared" si="7"/>
        <v>0</v>
      </c>
      <c r="J44" s="2">
        <f t="shared" si="8"/>
        <v>0</v>
      </c>
      <c r="K44" s="2">
        <f t="shared" si="8"/>
        <v>0</v>
      </c>
      <c r="L44" s="2">
        <f t="shared" si="8"/>
        <v>0</v>
      </c>
      <c r="M44" s="2">
        <f t="shared" si="8"/>
        <v>0</v>
      </c>
      <c r="N44" s="2">
        <f t="shared" si="9"/>
        <v>0</v>
      </c>
      <c r="O44" s="2">
        <f t="shared" si="10"/>
        <v>0</v>
      </c>
      <c r="P44" s="2">
        <f t="shared" si="28"/>
        <v>0</v>
      </c>
      <c r="Q44" s="2">
        <f t="shared" si="28"/>
        <v>0</v>
      </c>
      <c r="R44" s="2">
        <f t="shared" si="28"/>
        <v>0</v>
      </c>
      <c r="S44" s="7">
        <f t="shared" si="29"/>
        <v>0</v>
      </c>
      <c r="T44" s="2"/>
    </row>
    <row r="45" spans="1:20" x14ac:dyDescent="0.25">
      <c r="A45" s="1">
        <f t="shared" si="12"/>
        <v>12</v>
      </c>
      <c r="B45" s="1" t="str">
        <f t="shared" si="2"/>
        <v>EBOUKA MALAÏKA</v>
      </c>
      <c r="C45" s="2">
        <f t="shared" si="3"/>
        <v>27</v>
      </c>
      <c r="D45" s="2">
        <f t="shared" si="4"/>
        <v>10</v>
      </c>
      <c r="E45" s="2">
        <f t="shared" si="19"/>
        <v>19</v>
      </c>
      <c r="F45" s="2">
        <f t="shared" si="20"/>
        <v>12</v>
      </c>
      <c r="G45" s="2">
        <f t="shared" si="27"/>
        <v>15</v>
      </c>
      <c r="H45" s="2">
        <f t="shared" si="6"/>
        <v>12</v>
      </c>
      <c r="I45" s="2">
        <f t="shared" si="7"/>
        <v>32</v>
      </c>
      <c r="J45" s="2">
        <f t="shared" si="8"/>
        <v>18</v>
      </c>
      <c r="K45" s="2">
        <f t="shared" si="8"/>
        <v>12</v>
      </c>
      <c r="L45" s="2">
        <f t="shared" si="8"/>
        <v>20</v>
      </c>
      <c r="M45" s="2">
        <f t="shared" si="8"/>
        <v>14</v>
      </c>
      <c r="N45" s="2">
        <f t="shared" si="9"/>
        <v>11</v>
      </c>
      <c r="O45" s="2">
        <f t="shared" si="10"/>
        <v>30</v>
      </c>
      <c r="P45" s="2">
        <f t="shared" si="28"/>
        <v>16</v>
      </c>
      <c r="Q45" s="2">
        <f t="shared" si="28"/>
        <v>4</v>
      </c>
      <c r="R45" s="2">
        <f t="shared" si="28"/>
        <v>16</v>
      </c>
      <c r="S45" s="7">
        <f t="shared" si="29"/>
        <v>268</v>
      </c>
      <c r="T45" s="2">
        <f t="shared" si="30"/>
        <v>9.2413793103448274</v>
      </c>
    </row>
    <row r="46" spans="1:20" x14ac:dyDescent="0.25">
      <c r="A46" s="1">
        <f t="shared" si="12"/>
        <v>13</v>
      </c>
      <c r="B46" s="1" t="str">
        <f t="shared" si="2"/>
        <v>FONSSO ELOUNDOU ALEX</v>
      </c>
      <c r="C46" s="2">
        <f t="shared" si="3"/>
        <v>30</v>
      </c>
      <c r="D46" s="2">
        <f t="shared" si="4"/>
        <v>7</v>
      </c>
      <c r="E46" s="2">
        <f t="shared" si="19"/>
        <v>18</v>
      </c>
      <c r="F46" s="2">
        <f t="shared" si="20"/>
        <v>24</v>
      </c>
      <c r="G46" s="2">
        <f t="shared" ref="F46:G46" si="31">G17*1</f>
        <v>15</v>
      </c>
      <c r="H46" s="2">
        <f t="shared" si="6"/>
        <v>16</v>
      </c>
      <c r="I46" s="2">
        <f t="shared" si="7"/>
        <v>36</v>
      </c>
      <c r="J46" s="2">
        <f t="shared" si="8"/>
        <v>17</v>
      </c>
      <c r="K46" s="2">
        <f t="shared" si="8"/>
        <v>26</v>
      </c>
      <c r="L46" s="2">
        <f t="shared" si="8"/>
        <v>31</v>
      </c>
      <c r="M46" s="2">
        <f t="shared" si="8"/>
        <v>18</v>
      </c>
      <c r="N46" s="2">
        <f t="shared" si="9"/>
        <v>13</v>
      </c>
      <c r="O46" s="2">
        <f t="shared" si="10"/>
        <v>29</v>
      </c>
      <c r="P46" s="2">
        <f t="shared" ref="P46:R46" si="32">P17*1</f>
        <v>11</v>
      </c>
      <c r="Q46" s="2">
        <f t="shared" si="32"/>
        <v>7</v>
      </c>
      <c r="R46" s="2">
        <f t="shared" si="32"/>
        <v>16</v>
      </c>
      <c r="S46" s="7">
        <f t="shared" si="15"/>
        <v>314</v>
      </c>
      <c r="T46" s="2">
        <f t="shared" si="16"/>
        <v>10.827586206896552</v>
      </c>
    </row>
    <row r="47" spans="1:20" x14ac:dyDescent="0.25">
      <c r="A47" s="1">
        <f t="shared" si="12"/>
        <v>14</v>
      </c>
      <c r="B47" s="1" t="str">
        <f t="shared" si="2"/>
        <v>NGONO BENGONE</v>
      </c>
      <c r="C47" s="2">
        <f t="shared" si="3"/>
        <v>0</v>
      </c>
      <c r="D47" s="2">
        <f t="shared" si="4"/>
        <v>0</v>
      </c>
      <c r="E47" s="2">
        <f t="shared" si="19"/>
        <v>0</v>
      </c>
      <c r="F47" s="2">
        <f t="shared" ref="F47:G47" si="33">F18*1</f>
        <v>0</v>
      </c>
      <c r="G47" s="2">
        <f t="shared" si="33"/>
        <v>0</v>
      </c>
      <c r="H47" s="2">
        <f t="shared" si="6"/>
        <v>0</v>
      </c>
      <c r="I47" s="2">
        <f t="shared" si="7"/>
        <v>0</v>
      </c>
      <c r="J47" s="2">
        <f t="shared" si="8"/>
        <v>0</v>
      </c>
      <c r="K47" s="2">
        <f t="shared" si="8"/>
        <v>0</v>
      </c>
      <c r="L47" s="2">
        <f t="shared" si="8"/>
        <v>0</v>
      </c>
      <c r="M47" s="2">
        <f t="shared" si="8"/>
        <v>0</v>
      </c>
      <c r="N47" s="2">
        <f t="shared" si="9"/>
        <v>0</v>
      </c>
      <c r="O47" s="2">
        <f t="shared" si="10"/>
        <v>0</v>
      </c>
      <c r="P47" s="2">
        <f t="shared" ref="P47:R47" si="34">P18*1</f>
        <v>0</v>
      </c>
      <c r="Q47" s="2">
        <f t="shared" si="34"/>
        <v>0</v>
      </c>
      <c r="R47" s="2">
        <f t="shared" si="34"/>
        <v>0</v>
      </c>
      <c r="S47" s="7">
        <f t="shared" si="15"/>
        <v>0</v>
      </c>
      <c r="T47" s="2"/>
    </row>
    <row r="48" spans="1:20" x14ac:dyDescent="0.25">
      <c r="A48" s="1">
        <f t="shared" si="12"/>
        <v>15</v>
      </c>
      <c r="B48" s="1">
        <f t="shared" si="2"/>
        <v>0</v>
      </c>
      <c r="C48" s="2">
        <f t="shared" si="3"/>
        <v>0</v>
      </c>
      <c r="D48" s="2">
        <f t="shared" si="4"/>
        <v>0</v>
      </c>
      <c r="E48" s="2">
        <f t="shared" si="19"/>
        <v>0</v>
      </c>
      <c r="F48" s="2">
        <f t="shared" ref="F48:G48" si="35">F19*1</f>
        <v>0</v>
      </c>
      <c r="G48" s="2">
        <f t="shared" si="35"/>
        <v>0</v>
      </c>
      <c r="H48" s="2">
        <f t="shared" si="6"/>
        <v>0</v>
      </c>
      <c r="I48" s="2">
        <f t="shared" si="7"/>
        <v>0</v>
      </c>
      <c r="J48" s="2">
        <f t="shared" si="8"/>
        <v>0</v>
      </c>
      <c r="K48" s="2">
        <f t="shared" si="8"/>
        <v>0</v>
      </c>
      <c r="L48" s="2">
        <f t="shared" si="8"/>
        <v>0</v>
      </c>
      <c r="M48" s="2">
        <f t="shared" si="8"/>
        <v>0</v>
      </c>
      <c r="N48" s="2">
        <f t="shared" si="9"/>
        <v>0</v>
      </c>
      <c r="O48" s="2">
        <f t="shared" si="10"/>
        <v>0</v>
      </c>
      <c r="P48" s="2">
        <f t="shared" ref="P48:R48" si="36">P19*1</f>
        <v>0</v>
      </c>
      <c r="Q48" s="2">
        <f t="shared" si="36"/>
        <v>0</v>
      </c>
      <c r="R48" s="2">
        <f t="shared" si="36"/>
        <v>0</v>
      </c>
      <c r="S48" s="7">
        <f t="shared" si="15"/>
        <v>0</v>
      </c>
      <c r="T48" s="2"/>
    </row>
    <row r="49" spans="1:20" x14ac:dyDescent="0.25">
      <c r="A49" s="1">
        <f t="shared" si="12"/>
        <v>16</v>
      </c>
      <c r="B49" s="1">
        <f t="shared" si="2"/>
        <v>0</v>
      </c>
      <c r="C49" s="2">
        <f t="shared" si="3"/>
        <v>0</v>
      </c>
      <c r="D49" s="2">
        <f t="shared" si="4"/>
        <v>0</v>
      </c>
      <c r="E49" s="2">
        <f t="shared" si="19"/>
        <v>0</v>
      </c>
      <c r="F49" s="2">
        <f t="shared" ref="F49:G49" si="37">F20*1</f>
        <v>0</v>
      </c>
      <c r="G49" s="2">
        <f t="shared" si="37"/>
        <v>0</v>
      </c>
      <c r="H49" s="2">
        <f t="shared" si="6"/>
        <v>0</v>
      </c>
      <c r="I49" s="2">
        <f t="shared" si="7"/>
        <v>0</v>
      </c>
      <c r="J49" s="2">
        <f t="shared" si="8"/>
        <v>0</v>
      </c>
      <c r="K49" s="2">
        <f t="shared" si="8"/>
        <v>0</v>
      </c>
      <c r="L49" s="2">
        <f t="shared" si="8"/>
        <v>0</v>
      </c>
      <c r="M49" s="2">
        <f t="shared" si="8"/>
        <v>0</v>
      </c>
      <c r="N49" s="2">
        <f t="shared" si="9"/>
        <v>0</v>
      </c>
      <c r="O49" s="2">
        <f t="shared" si="10"/>
        <v>0</v>
      </c>
      <c r="P49" s="2">
        <f t="shared" ref="P49:R50" si="38">P20*1</f>
        <v>0</v>
      </c>
      <c r="Q49" s="2">
        <f t="shared" si="38"/>
        <v>0</v>
      </c>
      <c r="R49" s="2">
        <f t="shared" si="38"/>
        <v>0</v>
      </c>
      <c r="S49" s="7">
        <f t="shared" si="15"/>
        <v>0</v>
      </c>
      <c r="T49" s="2"/>
    </row>
    <row r="50" spans="1:20" x14ac:dyDescent="0.25">
      <c r="A50" s="1">
        <f t="shared" si="12"/>
        <v>17</v>
      </c>
      <c r="B50" s="1">
        <f t="shared" si="2"/>
        <v>0</v>
      </c>
      <c r="C50" s="2">
        <f t="shared" si="3"/>
        <v>0</v>
      </c>
      <c r="D50" s="2">
        <f t="shared" si="4"/>
        <v>0</v>
      </c>
      <c r="E50" s="2">
        <f t="shared" si="19"/>
        <v>0</v>
      </c>
      <c r="F50" s="2">
        <f t="shared" ref="F50:G50" si="39">F21*1</f>
        <v>0</v>
      </c>
      <c r="G50" s="2">
        <f t="shared" si="39"/>
        <v>0</v>
      </c>
      <c r="H50" s="2">
        <f t="shared" si="6"/>
        <v>0</v>
      </c>
      <c r="I50" s="2">
        <f t="shared" si="7"/>
        <v>0</v>
      </c>
      <c r="J50" s="2">
        <f t="shared" si="8"/>
        <v>0</v>
      </c>
      <c r="K50" s="2">
        <f t="shared" si="8"/>
        <v>0</v>
      </c>
      <c r="L50" s="2">
        <f t="shared" si="8"/>
        <v>0</v>
      </c>
      <c r="M50" s="2">
        <f t="shared" si="8"/>
        <v>0</v>
      </c>
      <c r="N50" s="2">
        <f t="shared" si="9"/>
        <v>0</v>
      </c>
      <c r="O50" s="2">
        <f t="shared" si="10"/>
        <v>0</v>
      </c>
      <c r="P50" s="2">
        <f t="shared" ref="P50" si="40">P21*1</f>
        <v>0</v>
      </c>
      <c r="Q50" s="2">
        <f t="shared" si="38"/>
        <v>0</v>
      </c>
      <c r="R50" s="2">
        <f t="shared" si="38"/>
        <v>0</v>
      </c>
      <c r="S50" s="7">
        <f t="shared" si="15"/>
        <v>0</v>
      </c>
      <c r="T50" s="2"/>
    </row>
    <row r="51" spans="1:20" x14ac:dyDescent="0.25">
      <c r="A51" s="1">
        <f t="shared" si="12"/>
        <v>18</v>
      </c>
      <c r="B51" s="1">
        <f t="shared" si="2"/>
        <v>0</v>
      </c>
      <c r="C51" s="2">
        <f t="shared" si="3"/>
        <v>0</v>
      </c>
      <c r="D51" s="2">
        <f t="shared" si="4"/>
        <v>0</v>
      </c>
      <c r="E51" s="2">
        <f t="shared" si="19"/>
        <v>0</v>
      </c>
      <c r="F51" s="2">
        <f t="shared" ref="F51:G51" si="41">F22*1</f>
        <v>0</v>
      </c>
      <c r="G51" s="2">
        <f t="shared" si="41"/>
        <v>0</v>
      </c>
      <c r="H51" s="2">
        <f t="shared" si="6"/>
        <v>0</v>
      </c>
      <c r="I51" s="2">
        <f t="shared" si="7"/>
        <v>0</v>
      </c>
      <c r="J51" s="2">
        <f t="shared" si="8"/>
        <v>0</v>
      </c>
      <c r="K51" s="2">
        <f t="shared" si="8"/>
        <v>0</v>
      </c>
      <c r="L51" s="2">
        <f t="shared" si="8"/>
        <v>0</v>
      </c>
      <c r="M51" s="2">
        <f t="shared" si="8"/>
        <v>0</v>
      </c>
      <c r="N51" s="2">
        <f t="shared" si="9"/>
        <v>0</v>
      </c>
      <c r="O51" s="2">
        <f t="shared" si="10"/>
        <v>0</v>
      </c>
      <c r="P51" s="2">
        <f t="shared" ref="P51" si="42">P22*1</f>
        <v>0</v>
      </c>
      <c r="Q51" s="2">
        <v>0</v>
      </c>
      <c r="R51" s="2">
        <v>0</v>
      </c>
      <c r="S51" s="7">
        <v>0</v>
      </c>
      <c r="T51" s="2"/>
    </row>
    <row r="52" spans="1:20" x14ac:dyDescent="0.25">
      <c r="A52" s="1">
        <f t="shared" si="12"/>
        <v>19</v>
      </c>
      <c r="B52" s="1">
        <f t="shared" si="2"/>
        <v>0</v>
      </c>
      <c r="C52" s="2">
        <f t="shared" si="3"/>
        <v>0</v>
      </c>
      <c r="D52" s="2">
        <f t="shared" si="4"/>
        <v>0</v>
      </c>
      <c r="E52" s="2">
        <f t="shared" si="19"/>
        <v>0</v>
      </c>
      <c r="F52" s="2">
        <f t="shared" ref="F52:G52" si="43">F23*1</f>
        <v>0</v>
      </c>
      <c r="G52" s="2">
        <f t="shared" si="43"/>
        <v>0</v>
      </c>
      <c r="H52" s="2">
        <f t="shared" si="6"/>
        <v>0</v>
      </c>
      <c r="I52" s="2">
        <f t="shared" si="7"/>
        <v>0</v>
      </c>
      <c r="J52" s="2">
        <f t="shared" si="8"/>
        <v>0</v>
      </c>
      <c r="K52" s="2">
        <f t="shared" si="8"/>
        <v>0</v>
      </c>
      <c r="L52" s="2">
        <f t="shared" si="8"/>
        <v>0</v>
      </c>
      <c r="M52" s="2">
        <f t="shared" si="8"/>
        <v>0</v>
      </c>
      <c r="N52" s="2">
        <f t="shared" si="9"/>
        <v>0</v>
      </c>
      <c r="O52" s="2">
        <f t="shared" si="10"/>
        <v>0</v>
      </c>
      <c r="P52" s="2">
        <f t="shared" ref="P52:R52" si="44">P23*1</f>
        <v>0</v>
      </c>
      <c r="Q52" s="2">
        <f t="shared" si="44"/>
        <v>0</v>
      </c>
      <c r="R52" s="2">
        <f t="shared" si="44"/>
        <v>0</v>
      </c>
      <c r="S52" s="7">
        <f t="shared" si="15"/>
        <v>0</v>
      </c>
      <c r="T52" s="2"/>
    </row>
    <row r="53" spans="1:20" x14ac:dyDescent="0.25">
      <c r="A53" s="1">
        <f t="shared" si="12"/>
        <v>20</v>
      </c>
      <c r="B53" s="1" t="e">
        <f t="shared" si="2"/>
        <v>#REF!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7"/>
      <c r="T53" s="2"/>
    </row>
    <row r="54" spans="1:20" x14ac:dyDescent="0.25">
      <c r="A54" s="1">
        <f t="shared" si="12"/>
        <v>21</v>
      </c>
      <c r="B54" s="1" t="e">
        <f t="shared" si="2"/>
        <v>#REF!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7"/>
      <c r="T54" s="2"/>
    </row>
    <row r="55" spans="1:20" x14ac:dyDescent="0.25">
      <c r="A55" s="1">
        <f t="shared" si="12"/>
        <v>22</v>
      </c>
      <c r="B55" s="1" t="e">
        <f t="shared" si="2"/>
        <v>#REF!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7"/>
      <c r="T55" s="2"/>
    </row>
    <row r="56" spans="1:20" x14ac:dyDescent="0.25">
      <c r="A56" s="1">
        <f t="shared" si="12"/>
        <v>23</v>
      </c>
      <c r="B56" s="1" t="e">
        <f t="shared" si="2"/>
        <v>#REF!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7"/>
      <c r="T56" s="2"/>
    </row>
    <row r="57" spans="1:20" x14ac:dyDescent="0.25">
      <c r="A57" s="1">
        <f t="shared" si="12"/>
        <v>24</v>
      </c>
      <c r="B57" s="1" t="e">
        <f t="shared" si="2"/>
        <v>#REF!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7"/>
      <c r="T57" s="2"/>
    </row>
    <row r="58" spans="1:20" x14ac:dyDescent="0.25">
      <c r="A58" s="1">
        <f t="shared" si="12"/>
        <v>25</v>
      </c>
      <c r="B58" s="1" t="e">
        <f t="shared" si="2"/>
        <v>#REF!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7"/>
      <c r="T58" s="2"/>
    </row>
    <row r="59" spans="1:20" x14ac:dyDescent="0.25">
      <c r="B59" s="1" t="e">
        <f t="shared" si="2"/>
        <v>#REF!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7"/>
      <c r="T59" s="2"/>
    </row>
    <row r="60" spans="1:20" x14ac:dyDescent="0.25">
      <c r="T60" s="3">
        <f>AVERAGE(T34:T59)</f>
        <v>11.376847290640395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76"/>
  <sheetViews>
    <sheetView topLeftCell="A31" workbookViewId="0">
      <selection activeCell="F34" sqref="F34"/>
    </sheetView>
  </sheetViews>
  <sheetFormatPr baseColWidth="10" defaultRowHeight="15" x14ac:dyDescent="0.25"/>
  <cols>
    <col min="2" max="2" width="33.28515625" bestFit="1" customWidth="1"/>
    <col min="3" max="3" width="7.5703125" bestFit="1" customWidth="1"/>
    <col min="4" max="4" width="7.140625" bestFit="1" customWidth="1"/>
    <col min="5" max="5" width="7.28515625" bestFit="1" customWidth="1"/>
    <col min="6" max="6" width="7.5703125" bestFit="1" customWidth="1"/>
    <col min="7" max="7" width="7.42578125" customWidth="1"/>
    <col min="8" max="8" width="5.5703125" bestFit="1" customWidth="1"/>
    <col min="9" max="9" width="6.7109375" bestFit="1" customWidth="1"/>
    <col min="10" max="10" width="9.140625" bestFit="1" customWidth="1"/>
    <col min="11" max="18" width="5.5703125" bestFit="1" customWidth="1"/>
    <col min="19" max="19" width="6.5703125" bestFit="1" customWidth="1"/>
    <col min="20" max="20" width="10" bestFit="1" customWidth="1"/>
  </cols>
  <sheetData>
    <row r="4" spans="1:18" x14ac:dyDescent="0.25">
      <c r="A4" s="4" t="s">
        <v>2</v>
      </c>
      <c r="B4" s="5" t="s">
        <v>0</v>
      </c>
      <c r="C4" s="5" t="s">
        <v>1</v>
      </c>
      <c r="D4" s="5" t="s">
        <v>16</v>
      </c>
      <c r="E4" s="5" t="s">
        <v>17</v>
      </c>
      <c r="F4" s="5" t="s">
        <v>9</v>
      </c>
      <c r="G4" s="5" t="s">
        <v>15</v>
      </c>
      <c r="H4" s="5" t="s">
        <v>10</v>
      </c>
      <c r="I4" s="5" t="s">
        <v>11</v>
      </c>
      <c r="J4" s="5" t="s">
        <v>3</v>
      </c>
      <c r="K4" s="5" t="s">
        <v>4</v>
      </c>
      <c r="L4" s="5" t="s">
        <v>12</v>
      </c>
      <c r="M4" s="5" t="s">
        <v>13</v>
      </c>
      <c r="N4" s="5" t="s">
        <v>100</v>
      </c>
      <c r="O4" s="5" t="s">
        <v>6</v>
      </c>
      <c r="P4" s="5" t="s">
        <v>7</v>
      </c>
      <c r="Q4" s="5" t="s">
        <v>99</v>
      </c>
      <c r="R4" s="5" t="s">
        <v>14</v>
      </c>
    </row>
    <row r="5" spans="1:18" x14ac:dyDescent="0.25">
      <c r="A5" s="1">
        <v>1</v>
      </c>
      <c r="B5" s="1" t="s">
        <v>88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1">
        <f>A5+1</f>
        <v>2</v>
      </c>
      <c r="B6" s="1" t="s">
        <v>95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1">
        <f t="shared" ref="A7:A29" si="0">A6+1</f>
        <v>3</v>
      </c>
      <c r="B7" s="1" t="s">
        <v>89</v>
      </c>
      <c r="C7" s="2">
        <v>13</v>
      </c>
      <c r="D7" s="2">
        <v>11</v>
      </c>
      <c r="E7" s="2">
        <v>15</v>
      </c>
      <c r="F7" s="2">
        <v>15</v>
      </c>
      <c r="G7" s="2">
        <v>16</v>
      </c>
      <c r="H7" s="2">
        <v>16.5</v>
      </c>
      <c r="I7" s="2">
        <v>7</v>
      </c>
      <c r="J7" s="2">
        <v>14</v>
      </c>
      <c r="K7" s="2">
        <v>16</v>
      </c>
      <c r="L7" s="2">
        <v>14</v>
      </c>
      <c r="M7" s="2">
        <v>11</v>
      </c>
      <c r="N7" s="2">
        <v>11</v>
      </c>
      <c r="O7" s="2">
        <v>16</v>
      </c>
      <c r="P7" s="2">
        <v>18.5</v>
      </c>
      <c r="Q7" s="2">
        <v>8</v>
      </c>
      <c r="R7" s="2">
        <v>17</v>
      </c>
    </row>
    <row r="8" spans="1:18" x14ac:dyDescent="0.25">
      <c r="A8" s="1">
        <f t="shared" si="0"/>
        <v>4</v>
      </c>
      <c r="B8" s="1" t="s">
        <v>90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>
        <f t="shared" si="0"/>
        <v>5</v>
      </c>
      <c r="B9" s="1" t="s">
        <v>94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1">
        <f t="shared" si="0"/>
        <v>6</v>
      </c>
      <c r="B10" s="1" t="s">
        <v>91</v>
      </c>
      <c r="C10" s="2">
        <v>15</v>
      </c>
      <c r="D10" s="2">
        <v>7</v>
      </c>
      <c r="E10" s="2">
        <v>11.5</v>
      </c>
      <c r="F10" s="2">
        <v>14</v>
      </c>
      <c r="G10" s="2">
        <v>16</v>
      </c>
      <c r="H10" s="2">
        <v>14.5</v>
      </c>
      <c r="I10" s="2">
        <v>6</v>
      </c>
      <c r="J10" s="2">
        <v>13.5</v>
      </c>
      <c r="K10" s="2">
        <v>20</v>
      </c>
      <c r="L10" s="2">
        <v>10</v>
      </c>
      <c r="M10" s="2">
        <v>11</v>
      </c>
      <c r="N10" s="2">
        <v>13</v>
      </c>
      <c r="O10" s="2">
        <v>16</v>
      </c>
      <c r="P10" s="2">
        <v>10.5</v>
      </c>
      <c r="Q10" s="2">
        <v>8</v>
      </c>
      <c r="R10" s="2">
        <v>17</v>
      </c>
    </row>
    <row r="11" spans="1:18" x14ac:dyDescent="0.25">
      <c r="A11" s="1">
        <f t="shared" si="0"/>
        <v>7</v>
      </c>
      <c r="B11" s="1" t="s">
        <v>92</v>
      </c>
      <c r="C11" s="2">
        <v>11</v>
      </c>
      <c r="D11" s="2">
        <v>9</v>
      </c>
      <c r="E11" s="2">
        <v>5.5</v>
      </c>
      <c r="F11" s="2">
        <v>10</v>
      </c>
      <c r="G11" s="2">
        <v>16</v>
      </c>
      <c r="H11" s="2">
        <v>12.5</v>
      </c>
      <c r="I11" s="2">
        <v>5</v>
      </c>
      <c r="J11" s="2">
        <v>15</v>
      </c>
      <c r="K11" s="2">
        <v>11</v>
      </c>
      <c r="L11" s="2">
        <v>10</v>
      </c>
      <c r="M11" s="2">
        <v>10</v>
      </c>
      <c r="N11" s="2">
        <v>12</v>
      </c>
      <c r="O11" s="2">
        <v>16</v>
      </c>
      <c r="P11" s="2">
        <v>7.5</v>
      </c>
      <c r="Q11" s="2">
        <v>7</v>
      </c>
      <c r="R11" s="2">
        <v>17</v>
      </c>
    </row>
    <row r="12" spans="1:18" x14ac:dyDescent="0.25">
      <c r="A12" s="1">
        <f t="shared" si="0"/>
        <v>8</v>
      </c>
      <c r="B12" s="1" t="s">
        <v>93</v>
      </c>
      <c r="C12" s="2">
        <v>17</v>
      </c>
      <c r="D12" s="2">
        <v>4</v>
      </c>
      <c r="E12" s="2">
        <v>13.5</v>
      </c>
      <c r="F12" s="2">
        <v>11</v>
      </c>
      <c r="G12" s="2">
        <v>16</v>
      </c>
      <c r="H12" s="2">
        <v>15.5</v>
      </c>
      <c r="I12" s="2">
        <v>4</v>
      </c>
      <c r="J12" s="2">
        <v>15</v>
      </c>
      <c r="K12" s="2">
        <v>20</v>
      </c>
      <c r="L12" s="2">
        <v>13</v>
      </c>
      <c r="M12" s="2">
        <v>15</v>
      </c>
      <c r="N12" s="2">
        <v>14</v>
      </c>
      <c r="O12" s="2">
        <v>16</v>
      </c>
      <c r="P12" s="2">
        <v>17</v>
      </c>
      <c r="Q12" s="2">
        <v>8</v>
      </c>
      <c r="R12" s="2">
        <v>17</v>
      </c>
    </row>
    <row r="13" spans="1:18" x14ac:dyDescent="0.25">
      <c r="A13" s="1">
        <f t="shared" si="0"/>
        <v>9</v>
      </c>
      <c r="B13" s="1" t="s">
        <v>96</v>
      </c>
      <c r="C13" s="2">
        <v>13</v>
      </c>
      <c r="D13" s="2">
        <v>4</v>
      </c>
      <c r="E13" s="2">
        <v>12</v>
      </c>
      <c r="F13" s="2">
        <v>12</v>
      </c>
      <c r="G13" s="2">
        <v>16</v>
      </c>
      <c r="H13" s="2">
        <v>16</v>
      </c>
      <c r="I13" s="2">
        <v>9</v>
      </c>
      <c r="J13" s="2">
        <v>11.5</v>
      </c>
      <c r="K13" s="2">
        <v>17</v>
      </c>
      <c r="L13" s="2">
        <v>12</v>
      </c>
      <c r="M13" s="2">
        <v>15</v>
      </c>
      <c r="N13" s="2">
        <v>14</v>
      </c>
      <c r="O13" s="2">
        <v>16.5</v>
      </c>
      <c r="P13" s="2">
        <v>12.5</v>
      </c>
      <c r="Q13" s="2">
        <v>9</v>
      </c>
      <c r="R13" s="2">
        <v>17</v>
      </c>
    </row>
    <row r="14" spans="1:18" x14ac:dyDescent="0.25">
      <c r="A14" s="1">
        <f t="shared" si="0"/>
        <v>10</v>
      </c>
      <c r="B14" s="1" t="s">
        <v>97</v>
      </c>
      <c r="C14" s="2">
        <v>13</v>
      </c>
      <c r="D14" s="2">
        <v>8</v>
      </c>
      <c r="E14" s="2">
        <v>12</v>
      </c>
      <c r="F14" s="2">
        <v>14</v>
      </c>
      <c r="G14" s="2">
        <v>16</v>
      </c>
      <c r="H14" s="2">
        <v>18</v>
      </c>
      <c r="I14" s="2">
        <v>8</v>
      </c>
      <c r="J14" s="2">
        <v>11</v>
      </c>
      <c r="K14" s="2">
        <v>17</v>
      </c>
      <c r="L14" s="2">
        <v>11</v>
      </c>
      <c r="M14" s="2">
        <v>12</v>
      </c>
      <c r="N14" s="2">
        <v>13</v>
      </c>
      <c r="O14" s="2">
        <v>16</v>
      </c>
      <c r="P14" s="2">
        <v>13.5</v>
      </c>
      <c r="Q14" s="2">
        <v>5</v>
      </c>
      <c r="R14" s="2">
        <v>17</v>
      </c>
    </row>
    <row r="15" spans="1:18" x14ac:dyDescent="0.25">
      <c r="A15" s="1">
        <f t="shared" si="0"/>
        <v>11</v>
      </c>
      <c r="B15" s="1" t="s">
        <v>98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1">
        <f t="shared" si="0"/>
        <v>12</v>
      </c>
      <c r="B16" s="1" t="s">
        <v>119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20" x14ac:dyDescent="0.25">
      <c r="A17" s="1">
        <f t="shared" si="0"/>
        <v>13</v>
      </c>
      <c r="B17" s="1" t="s">
        <v>152</v>
      </c>
      <c r="C17" s="2">
        <v>11</v>
      </c>
      <c r="D17" s="2">
        <v>5</v>
      </c>
      <c r="E17" s="2">
        <v>11.5</v>
      </c>
      <c r="F17" s="2">
        <v>10</v>
      </c>
      <c r="G17" s="2">
        <v>16</v>
      </c>
      <c r="H17" s="2">
        <v>11</v>
      </c>
      <c r="I17" s="2">
        <v>7</v>
      </c>
      <c r="J17" s="2">
        <v>13.5</v>
      </c>
      <c r="K17" s="2">
        <v>15</v>
      </c>
      <c r="L17" s="2">
        <v>5</v>
      </c>
      <c r="M17" s="2">
        <v>9</v>
      </c>
      <c r="N17" s="2">
        <v>13</v>
      </c>
      <c r="O17" s="2">
        <v>16</v>
      </c>
      <c r="P17" s="2">
        <v>11.5</v>
      </c>
      <c r="Q17" s="2">
        <v>9</v>
      </c>
      <c r="R17" s="2">
        <v>17</v>
      </c>
    </row>
    <row r="18" spans="1:20" x14ac:dyDescent="0.25">
      <c r="A18" s="1">
        <f t="shared" si="0"/>
        <v>14</v>
      </c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20" x14ac:dyDescent="0.25">
      <c r="A19" s="1">
        <f t="shared" si="0"/>
        <v>15</v>
      </c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20" x14ac:dyDescent="0.25">
      <c r="A20" s="1">
        <f t="shared" si="0"/>
        <v>16</v>
      </c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A21" s="1">
        <f t="shared" si="0"/>
        <v>17</v>
      </c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A22" s="1">
        <f t="shared" si="0"/>
        <v>18</v>
      </c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A23" s="1">
        <f t="shared" si="0"/>
        <v>19</v>
      </c>
      <c r="B23" s="8" t="e">
        <f>#REF!</f>
        <v>#REF!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20" x14ac:dyDescent="0.25">
      <c r="A24" s="1">
        <f t="shared" si="0"/>
        <v>20</v>
      </c>
      <c r="B24" s="1" t="e">
        <f>#REF!</f>
        <v>#REF!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A25" s="1">
        <f t="shared" si="0"/>
        <v>21</v>
      </c>
      <c r="B25" s="1" t="e">
        <f>#REF!</f>
        <v>#REF!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A26" s="1">
        <f t="shared" si="0"/>
        <v>22</v>
      </c>
      <c r="B26" s="1" t="e">
        <f>#REF!</f>
        <v>#REF!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A27" s="1">
        <f t="shared" si="0"/>
        <v>23</v>
      </c>
      <c r="B27" s="1" t="e">
        <f>#REF!</f>
        <v>#REF!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A28" s="1">
        <f t="shared" si="0"/>
        <v>24</v>
      </c>
      <c r="B28" s="1" t="e">
        <f>#REF!</f>
        <v>#REF!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A29" s="1">
        <f t="shared" si="0"/>
        <v>25</v>
      </c>
      <c r="B29" s="1" t="e">
        <f>#REF!</f>
        <v>#REF!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C30" s="3">
        <f>AVERAGE(C5:C29)</f>
        <v>13.285714285714286</v>
      </c>
      <c r="D30" s="3">
        <f t="shared" ref="D30:R30" si="1">AVERAGE(D5:D29)</f>
        <v>6.8571428571428568</v>
      </c>
      <c r="E30" s="3">
        <f t="shared" si="1"/>
        <v>11.571428571428571</v>
      </c>
      <c r="F30" s="3">
        <f t="shared" si="1"/>
        <v>12.285714285714286</v>
      </c>
      <c r="G30" s="3">
        <f t="shared" si="1"/>
        <v>16</v>
      </c>
      <c r="H30" s="3">
        <f t="shared" si="1"/>
        <v>14.857142857142858</v>
      </c>
      <c r="I30" s="3">
        <f t="shared" si="1"/>
        <v>6.5714285714285712</v>
      </c>
      <c r="J30" s="3">
        <f t="shared" si="1"/>
        <v>13.357142857142858</v>
      </c>
      <c r="K30" s="3">
        <f t="shared" si="1"/>
        <v>16.571428571428573</v>
      </c>
      <c r="L30" s="3">
        <f t="shared" si="1"/>
        <v>10.714285714285714</v>
      </c>
      <c r="M30" s="3">
        <f t="shared" si="1"/>
        <v>11.857142857142858</v>
      </c>
      <c r="N30" s="3">
        <f t="shared" si="1"/>
        <v>12.857142857142858</v>
      </c>
      <c r="O30" s="3">
        <f t="shared" si="1"/>
        <v>16.071428571428573</v>
      </c>
      <c r="P30" s="3">
        <f t="shared" si="1"/>
        <v>13</v>
      </c>
      <c r="Q30" s="3">
        <f t="shared" si="1"/>
        <v>7.7142857142857144</v>
      </c>
      <c r="R30" s="3">
        <f t="shared" si="1"/>
        <v>17</v>
      </c>
      <c r="S30" s="3">
        <f>AVERAGE(C30:R30)</f>
        <v>12.535714285714286</v>
      </c>
    </row>
    <row r="32" spans="1:20" x14ac:dyDescent="0.25">
      <c r="A32" s="4" t="s">
        <v>2</v>
      </c>
      <c r="B32" s="5" t="s">
        <v>0</v>
      </c>
      <c r="C32" s="5" t="s">
        <v>1</v>
      </c>
      <c r="D32" s="5" t="s">
        <v>16</v>
      </c>
      <c r="E32" s="5" t="s">
        <v>17</v>
      </c>
      <c r="F32" s="5" t="s">
        <v>9</v>
      </c>
      <c r="G32" s="5" t="s">
        <v>15</v>
      </c>
      <c r="H32" s="5" t="s">
        <v>10</v>
      </c>
      <c r="I32" s="5" t="s">
        <v>11</v>
      </c>
      <c r="J32" s="5" t="s">
        <v>3</v>
      </c>
      <c r="K32" s="5" t="s">
        <v>4</v>
      </c>
      <c r="L32" s="5" t="s">
        <v>12</v>
      </c>
      <c r="M32" s="5" t="s">
        <v>13</v>
      </c>
      <c r="N32" s="5" t="s">
        <v>5</v>
      </c>
      <c r="O32" s="5" t="s">
        <v>6</v>
      </c>
      <c r="P32" s="5" t="s">
        <v>7</v>
      </c>
      <c r="Q32" s="5" t="s">
        <v>8</v>
      </c>
      <c r="R32" s="5" t="s">
        <v>14</v>
      </c>
      <c r="S32" s="6" t="s">
        <v>18</v>
      </c>
      <c r="T32" s="6" t="s">
        <v>19</v>
      </c>
    </row>
    <row r="33" spans="1:20" x14ac:dyDescent="0.25">
      <c r="A33" s="1">
        <v>1</v>
      </c>
      <c r="B33" s="1" t="str">
        <f>B5</f>
        <v>ATEBA MINLO Maurice</v>
      </c>
      <c r="C33" s="2">
        <f>C5*3</f>
        <v>0</v>
      </c>
      <c r="D33" s="2">
        <f>D5*1</f>
        <v>0</v>
      </c>
      <c r="E33" s="2">
        <f>E5*2</f>
        <v>0</v>
      </c>
      <c r="F33" s="2">
        <f>F5*2</f>
        <v>0</v>
      </c>
      <c r="G33" s="2">
        <f>G5*1</f>
        <v>0</v>
      </c>
      <c r="H33" s="2">
        <f>H5*2</f>
        <v>0</v>
      </c>
      <c r="I33" s="2">
        <f>I5*4</f>
        <v>0</v>
      </c>
      <c r="J33" s="2">
        <f>J5*2</f>
        <v>0</v>
      </c>
      <c r="K33" s="2">
        <f>K5*2</f>
        <v>0</v>
      </c>
      <c r="L33" s="2">
        <f>L5*2</f>
        <v>0</v>
      </c>
      <c r="M33" s="2">
        <f>M5*2</f>
        <v>0</v>
      </c>
      <c r="N33" s="2">
        <f>N5*1</f>
        <v>0</v>
      </c>
      <c r="O33" s="2">
        <f>O5*2</f>
        <v>0</v>
      </c>
      <c r="P33" s="2">
        <f>P5*1</f>
        <v>0</v>
      </c>
      <c r="Q33" s="2">
        <f>Q5*1</f>
        <v>0</v>
      </c>
      <c r="R33" s="2">
        <f>R5*1</f>
        <v>0</v>
      </c>
      <c r="S33" s="7">
        <f>SUM(C33:R33)</f>
        <v>0</v>
      </c>
      <c r="T33" s="2">
        <f t="shared" ref="T33:T50" si="2">S33/29</f>
        <v>0</v>
      </c>
    </row>
    <row r="34" spans="1:20" x14ac:dyDescent="0.25">
      <c r="A34" s="1">
        <f>A33+1</f>
        <v>2</v>
      </c>
      <c r="B34" s="1" t="str">
        <f t="shared" ref="B34:B57" si="3">B6</f>
        <v>AYE NOMO JULIENNE MANUELLA</v>
      </c>
      <c r="C34" s="2">
        <f t="shared" ref="C34:C50" si="4">C6*3</f>
        <v>0</v>
      </c>
      <c r="D34" s="2">
        <f t="shared" ref="D34:D50" si="5">D6*1</f>
        <v>0</v>
      </c>
      <c r="E34" s="2">
        <f t="shared" ref="E34:E50" si="6">E6*2</f>
        <v>0</v>
      </c>
      <c r="F34" s="2">
        <f>F6*2</f>
        <v>0</v>
      </c>
      <c r="G34" s="2">
        <f t="shared" ref="G34" si="7">G6*1</f>
        <v>0</v>
      </c>
      <c r="H34" s="2">
        <f t="shared" ref="H34:H50" si="8">H6*2</f>
        <v>0</v>
      </c>
      <c r="I34" s="2">
        <f t="shared" ref="I34:I50" si="9">I6*4</f>
        <v>0</v>
      </c>
      <c r="J34" s="2">
        <f t="shared" ref="J34:J50" si="10">J6*2</f>
        <v>0</v>
      </c>
      <c r="K34" s="2">
        <f t="shared" ref="K34:M50" si="11">K6*2</f>
        <v>0</v>
      </c>
      <c r="L34" s="2">
        <f t="shared" si="11"/>
        <v>0</v>
      </c>
      <c r="M34" s="2">
        <f t="shared" si="11"/>
        <v>0</v>
      </c>
      <c r="N34" s="2">
        <f t="shared" ref="N34:N50" si="12">N6*1</f>
        <v>0</v>
      </c>
      <c r="O34" s="2">
        <f t="shared" ref="O34:O50" si="13">O6*2</f>
        <v>0</v>
      </c>
      <c r="P34" s="2">
        <f t="shared" ref="P34:R49" si="14">P6*1</f>
        <v>0</v>
      </c>
      <c r="Q34" s="2">
        <f t="shared" si="14"/>
        <v>0</v>
      </c>
      <c r="R34" s="2">
        <f t="shared" si="14"/>
        <v>0</v>
      </c>
      <c r="S34" s="7">
        <f t="shared" ref="S34:S50" si="15">SUM(C34:R34)</f>
        <v>0</v>
      </c>
      <c r="T34" s="2">
        <f t="shared" si="2"/>
        <v>0</v>
      </c>
    </row>
    <row r="35" spans="1:20" x14ac:dyDescent="0.25">
      <c r="A35" s="1">
        <f t="shared" ref="A35:A57" si="16">A34+1</f>
        <v>3</v>
      </c>
      <c r="B35" s="1" t="str">
        <f t="shared" si="3"/>
        <v>AYANGMA RODNEY JOHAN</v>
      </c>
      <c r="C35" s="2">
        <f t="shared" si="4"/>
        <v>39</v>
      </c>
      <c r="D35" s="2">
        <f t="shared" si="5"/>
        <v>11</v>
      </c>
      <c r="E35" s="2">
        <f t="shared" si="6"/>
        <v>30</v>
      </c>
      <c r="F35" s="2">
        <f>F7*2</f>
        <v>30</v>
      </c>
      <c r="G35" s="2">
        <f t="shared" ref="G35:G44" si="17">G7*1</f>
        <v>16</v>
      </c>
      <c r="H35" s="2">
        <f t="shared" si="8"/>
        <v>33</v>
      </c>
      <c r="I35" s="2">
        <f t="shared" si="9"/>
        <v>28</v>
      </c>
      <c r="J35" s="2">
        <f t="shared" si="10"/>
        <v>28</v>
      </c>
      <c r="K35" s="2">
        <f t="shared" si="11"/>
        <v>32</v>
      </c>
      <c r="L35" s="2">
        <f t="shared" si="11"/>
        <v>28</v>
      </c>
      <c r="M35" s="2">
        <f t="shared" si="11"/>
        <v>22</v>
      </c>
      <c r="N35" s="2">
        <f t="shared" si="12"/>
        <v>11</v>
      </c>
      <c r="O35" s="2">
        <f t="shared" si="13"/>
        <v>32</v>
      </c>
      <c r="P35" s="2">
        <f t="shared" si="14"/>
        <v>18.5</v>
      </c>
      <c r="Q35" s="2">
        <f t="shared" si="14"/>
        <v>8</v>
      </c>
      <c r="R35" s="2">
        <f t="shared" si="14"/>
        <v>17</v>
      </c>
      <c r="S35" s="7">
        <f t="shared" si="15"/>
        <v>383.5</v>
      </c>
      <c r="T35" s="2">
        <f t="shared" si="2"/>
        <v>13.224137931034482</v>
      </c>
    </row>
    <row r="36" spans="1:20" x14ac:dyDescent="0.25">
      <c r="A36" s="1">
        <f t="shared" si="16"/>
        <v>4</v>
      </c>
      <c r="B36" s="1" t="str">
        <f t="shared" si="3"/>
        <v>AYISSI AYE GOIRJIHO</v>
      </c>
      <c r="C36" s="2">
        <f t="shared" si="4"/>
        <v>0</v>
      </c>
      <c r="D36" s="2">
        <f t="shared" si="5"/>
        <v>0</v>
      </c>
      <c r="E36" s="2">
        <f t="shared" si="6"/>
        <v>0</v>
      </c>
      <c r="F36" s="2">
        <f t="shared" ref="F36:F44" si="18">F8*2</f>
        <v>0</v>
      </c>
      <c r="G36" s="2">
        <f t="shared" si="17"/>
        <v>0</v>
      </c>
      <c r="H36" s="2">
        <f t="shared" si="8"/>
        <v>0</v>
      </c>
      <c r="I36" s="2">
        <f t="shared" si="9"/>
        <v>0</v>
      </c>
      <c r="J36" s="2">
        <f t="shared" si="10"/>
        <v>0</v>
      </c>
      <c r="K36" s="2">
        <f t="shared" si="11"/>
        <v>0</v>
      </c>
      <c r="L36" s="2">
        <f t="shared" si="11"/>
        <v>0</v>
      </c>
      <c r="M36" s="2">
        <f t="shared" si="11"/>
        <v>0</v>
      </c>
      <c r="N36" s="2">
        <f t="shared" si="12"/>
        <v>0</v>
      </c>
      <c r="O36" s="2">
        <f t="shared" si="13"/>
        <v>0</v>
      </c>
      <c r="P36" s="2">
        <f t="shared" si="14"/>
        <v>0</v>
      </c>
      <c r="Q36" s="2">
        <f t="shared" si="14"/>
        <v>0</v>
      </c>
      <c r="R36" s="2">
        <f t="shared" si="14"/>
        <v>0</v>
      </c>
      <c r="S36" s="7">
        <f t="shared" si="15"/>
        <v>0</v>
      </c>
      <c r="T36" s="2">
        <f t="shared" si="2"/>
        <v>0</v>
      </c>
    </row>
    <row r="37" spans="1:20" x14ac:dyDescent="0.25">
      <c r="A37" s="1">
        <f t="shared" si="16"/>
        <v>5</v>
      </c>
      <c r="B37" s="1" t="str">
        <f t="shared" si="3"/>
        <v>BEKOLO BEKOLO JOSEPH GUY</v>
      </c>
      <c r="C37" s="2">
        <f t="shared" si="4"/>
        <v>0</v>
      </c>
      <c r="D37" s="2">
        <f t="shared" si="5"/>
        <v>0</v>
      </c>
      <c r="E37" s="2">
        <f t="shared" si="6"/>
        <v>0</v>
      </c>
      <c r="F37" s="2">
        <f t="shared" si="18"/>
        <v>0</v>
      </c>
      <c r="G37" s="2">
        <f t="shared" si="17"/>
        <v>0</v>
      </c>
      <c r="H37" s="2">
        <f t="shared" si="8"/>
        <v>0</v>
      </c>
      <c r="I37" s="2">
        <f t="shared" si="9"/>
        <v>0</v>
      </c>
      <c r="J37" s="2">
        <f t="shared" si="10"/>
        <v>0</v>
      </c>
      <c r="K37" s="2">
        <f t="shared" si="11"/>
        <v>0</v>
      </c>
      <c r="L37" s="2">
        <f t="shared" si="11"/>
        <v>0</v>
      </c>
      <c r="M37" s="2">
        <f t="shared" si="11"/>
        <v>0</v>
      </c>
      <c r="N37" s="2">
        <f t="shared" si="12"/>
        <v>0</v>
      </c>
      <c r="O37" s="2">
        <f t="shared" si="13"/>
        <v>0</v>
      </c>
      <c r="P37" s="2">
        <f t="shared" si="14"/>
        <v>0</v>
      </c>
      <c r="Q37" s="2">
        <f t="shared" si="14"/>
        <v>0</v>
      </c>
      <c r="R37" s="2">
        <f t="shared" si="14"/>
        <v>0</v>
      </c>
      <c r="S37" s="7">
        <f t="shared" ref="S37" si="19">SUM(C37:R37)</f>
        <v>0</v>
      </c>
      <c r="T37" s="2">
        <f t="shared" ref="T37" si="20">S37/29</f>
        <v>0</v>
      </c>
    </row>
    <row r="38" spans="1:20" x14ac:dyDescent="0.25">
      <c r="A38" s="1">
        <f t="shared" si="16"/>
        <v>6</v>
      </c>
      <c r="B38" s="1" t="str">
        <f t="shared" si="3"/>
        <v>BENGONO PAUL MAGLOIRE</v>
      </c>
      <c r="C38" s="2">
        <f t="shared" si="4"/>
        <v>45</v>
      </c>
      <c r="D38" s="2">
        <f t="shared" si="5"/>
        <v>7</v>
      </c>
      <c r="E38" s="2">
        <f t="shared" si="6"/>
        <v>23</v>
      </c>
      <c r="F38" s="2">
        <f t="shared" si="18"/>
        <v>28</v>
      </c>
      <c r="G38" s="2">
        <f t="shared" si="17"/>
        <v>16</v>
      </c>
      <c r="H38" s="2">
        <f t="shared" si="8"/>
        <v>29</v>
      </c>
      <c r="I38" s="2">
        <f t="shared" si="9"/>
        <v>24</v>
      </c>
      <c r="J38" s="2">
        <f t="shared" si="10"/>
        <v>27</v>
      </c>
      <c r="K38" s="2">
        <f t="shared" si="11"/>
        <v>40</v>
      </c>
      <c r="L38" s="2">
        <f t="shared" si="11"/>
        <v>20</v>
      </c>
      <c r="M38" s="2">
        <f t="shared" si="11"/>
        <v>22</v>
      </c>
      <c r="N38" s="2">
        <f t="shared" si="12"/>
        <v>13</v>
      </c>
      <c r="O38" s="2">
        <f t="shared" si="13"/>
        <v>32</v>
      </c>
      <c r="P38" s="2">
        <f t="shared" si="14"/>
        <v>10.5</v>
      </c>
      <c r="Q38" s="2">
        <f t="shared" si="14"/>
        <v>8</v>
      </c>
      <c r="R38" s="2">
        <f t="shared" si="14"/>
        <v>17</v>
      </c>
      <c r="S38" s="7">
        <f t="shared" si="15"/>
        <v>361.5</v>
      </c>
      <c r="T38" s="2">
        <f t="shared" si="2"/>
        <v>12.46551724137931</v>
      </c>
    </row>
    <row r="39" spans="1:20" x14ac:dyDescent="0.25">
      <c r="A39" s="1">
        <f t="shared" si="16"/>
        <v>7</v>
      </c>
      <c r="B39" s="1" t="str">
        <f t="shared" si="3"/>
        <v>LOMA JEANNE MELANIE</v>
      </c>
      <c r="C39" s="2">
        <f t="shared" si="4"/>
        <v>33</v>
      </c>
      <c r="D39" s="2">
        <f t="shared" si="5"/>
        <v>9</v>
      </c>
      <c r="E39" s="2">
        <f t="shared" si="6"/>
        <v>11</v>
      </c>
      <c r="F39" s="2">
        <f t="shared" si="18"/>
        <v>20</v>
      </c>
      <c r="G39" s="2">
        <f t="shared" si="17"/>
        <v>16</v>
      </c>
      <c r="H39" s="2">
        <f t="shared" si="8"/>
        <v>25</v>
      </c>
      <c r="I39" s="2">
        <f t="shared" si="9"/>
        <v>20</v>
      </c>
      <c r="J39" s="2">
        <f t="shared" si="10"/>
        <v>30</v>
      </c>
      <c r="K39" s="2">
        <f t="shared" si="11"/>
        <v>22</v>
      </c>
      <c r="L39" s="2">
        <f t="shared" si="11"/>
        <v>20</v>
      </c>
      <c r="M39" s="2">
        <f t="shared" si="11"/>
        <v>20</v>
      </c>
      <c r="N39" s="2">
        <f t="shared" si="12"/>
        <v>12</v>
      </c>
      <c r="O39" s="2">
        <f t="shared" si="13"/>
        <v>32</v>
      </c>
      <c r="P39" s="2">
        <f t="shared" si="14"/>
        <v>7.5</v>
      </c>
      <c r="Q39" s="2">
        <f t="shared" si="14"/>
        <v>7</v>
      </c>
      <c r="R39" s="2">
        <f t="shared" si="14"/>
        <v>17</v>
      </c>
      <c r="S39" s="7">
        <f t="shared" si="15"/>
        <v>301.5</v>
      </c>
      <c r="T39" s="2">
        <f t="shared" si="2"/>
        <v>10.396551724137931</v>
      </c>
    </row>
    <row r="40" spans="1:20" x14ac:dyDescent="0.25">
      <c r="A40" s="1">
        <f t="shared" si="16"/>
        <v>8</v>
      </c>
      <c r="B40" s="1" t="str">
        <f t="shared" si="3"/>
        <v>MBOUE MINLO SANDRINE</v>
      </c>
      <c r="C40" s="2">
        <f t="shared" si="4"/>
        <v>51</v>
      </c>
      <c r="D40" s="2">
        <f t="shared" si="5"/>
        <v>4</v>
      </c>
      <c r="E40" s="2">
        <f t="shared" si="6"/>
        <v>27</v>
      </c>
      <c r="F40" s="2">
        <f t="shared" si="18"/>
        <v>22</v>
      </c>
      <c r="G40" s="2">
        <f t="shared" si="17"/>
        <v>16</v>
      </c>
      <c r="H40" s="2">
        <f t="shared" si="8"/>
        <v>31</v>
      </c>
      <c r="I40" s="2">
        <f t="shared" si="9"/>
        <v>16</v>
      </c>
      <c r="J40" s="2">
        <f t="shared" si="10"/>
        <v>30</v>
      </c>
      <c r="K40" s="2">
        <f t="shared" si="11"/>
        <v>40</v>
      </c>
      <c r="L40" s="2">
        <f t="shared" si="11"/>
        <v>26</v>
      </c>
      <c r="M40" s="2">
        <f t="shared" si="11"/>
        <v>30</v>
      </c>
      <c r="N40" s="2">
        <f t="shared" si="12"/>
        <v>14</v>
      </c>
      <c r="O40" s="2">
        <f t="shared" si="13"/>
        <v>32</v>
      </c>
      <c r="P40" s="2">
        <f t="shared" si="14"/>
        <v>17</v>
      </c>
      <c r="Q40" s="2">
        <f t="shared" si="14"/>
        <v>8</v>
      </c>
      <c r="R40" s="2">
        <f t="shared" si="14"/>
        <v>17</v>
      </c>
      <c r="S40" s="7">
        <f t="shared" si="15"/>
        <v>381</v>
      </c>
      <c r="T40" s="2">
        <f t="shared" si="2"/>
        <v>13.137931034482758</v>
      </c>
    </row>
    <row r="41" spans="1:20" x14ac:dyDescent="0.25">
      <c r="A41" s="1">
        <f t="shared" si="16"/>
        <v>9</v>
      </c>
      <c r="B41" s="1" t="str">
        <f t="shared" si="3"/>
        <v>ONANINA LANDRY JAMES</v>
      </c>
      <c r="C41" s="2">
        <f t="shared" si="4"/>
        <v>39</v>
      </c>
      <c r="D41" s="2">
        <f t="shared" si="5"/>
        <v>4</v>
      </c>
      <c r="E41" s="2">
        <f t="shared" si="6"/>
        <v>24</v>
      </c>
      <c r="F41" s="2">
        <f t="shared" si="18"/>
        <v>24</v>
      </c>
      <c r="G41" s="2">
        <f t="shared" si="17"/>
        <v>16</v>
      </c>
      <c r="H41" s="2">
        <f t="shared" si="8"/>
        <v>32</v>
      </c>
      <c r="I41" s="2">
        <f t="shared" si="9"/>
        <v>36</v>
      </c>
      <c r="J41" s="2">
        <f t="shared" si="10"/>
        <v>23</v>
      </c>
      <c r="K41" s="2">
        <f t="shared" si="11"/>
        <v>34</v>
      </c>
      <c r="L41" s="2">
        <f t="shared" si="11"/>
        <v>24</v>
      </c>
      <c r="M41" s="2">
        <f t="shared" si="11"/>
        <v>30</v>
      </c>
      <c r="N41" s="2">
        <f t="shared" si="12"/>
        <v>14</v>
      </c>
      <c r="O41" s="2">
        <f t="shared" si="13"/>
        <v>33</v>
      </c>
      <c r="P41" s="2">
        <f t="shared" si="14"/>
        <v>12.5</v>
      </c>
      <c r="Q41" s="2">
        <f t="shared" si="14"/>
        <v>9</v>
      </c>
      <c r="R41" s="2">
        <f t="shared" si="14"/>
        <v>17</v>
      </c>
      <c r="S41" s="7">
        <f t="shared" si="15"/>
        <v>371.5</v>
      </c>
      <c r="T41" s="2">
        <f t="shared" si="2"/>
        <v>12.810344827586206</v>
      </c>
    </row>
    <row r="42" spans="1:20" x14ac:dyDescent="0.25">
      <c r="A42" s="1">
        <f t="shared" si="16"/>
        <v>10</v>
      </c>
      <c r="B42" s="1" t="str">
        <f t="shared" si="3"/>
        <v>POUABE HENRY PRINCE</v>
      </c>
      <c r="C42" s="2">
        <f t="shared" si="4"/>
        <v>39</v>
      </c>
      <c r="D42" s="2">
        <f t="shared" si="5"/>
        <v>8</v>
      </c>
      <c r="E42" s="2">
        <f t="shared" si="6"/>
        <v>24</v>
      </c>
      <c r="F42" s="2">
        <f t="shared" si="18"/>
        <v>28</v>
      </c>
      <c r="G42" s="2">
        <f t="shared" si="17"/>
        <v>16</v>
      </c>
      <c r="H42" s="2">
        <f t="shared" si="8"/>
        <v>36</v>
      </c>
      <c r="I42" s="2">
        <f t="shared" si="9"/>
        <v>32</v>
      </c>
      <c r="J42" s="2">
        <f t="shared" si="10"/>
        <v>22</v>
      </c>
      <c r="K42" s="2">
        <f t="shared" si="11"/>
        <v>34</v>
      </c>
      <c r="L42" s="2">
        <f t="shared" si="11"/>
        <v>22</v>
      </c>
      <c r="M42" s="2">
        <f t="shared" si="11"/>
        <v>24</v>
      </c>
      <c r="N42" s="2">
        <f t="shared" si="12"/>
        <v>13</v>
      </c>
      <c r="O42" s="2">
        <f t="shared" si="13"/>
        <v>32</v>
      </c>
      <c r="P42" s="2">
        <f t="shared" si="14"/>
        <v>13.5</v>
      </c>
      <c r="Q42" s="2">
        <f t="shared" si="14"/>
        <v>5</v>
      </c>
      <c r="R42" s="2">
        <f t="shared" si="14"/>
        <v>17</v>
      </c>
      <c r="S42" s="7">
        <f t="shared" ref="S42:S44" si="21">SUM(C42:R42)</f>
        <v>365.5</v>
      </c>
      <c r="T42" s="2">
        <f t="shared" ref="T42:T44" si="22">S42/29</f>
        <v>12.603448275862069</v>
      </c>
    </row>
    <row r="43" spans="1:20" x14ac:dyDescent="0.25">
      <c r="A43" s="1">
        <f t="shared" si="16"/>
        <v>11</v>
      </c>
      <c r="B43" s="1" t="str">
        <f t="shared" si="3"/>
        <v>TAMA EMMANUELLA GLOIRE</v>
      </c>
      <c r="C43" s="2">
        <f t="shared" si="4"/>
        <v>0</v>
      </c>
      <c r="D43" s="2">
        <f t="shared" si="5"/>
        <v>0</v>
      </c>
      <c r="E43" s="2">
        <f t="shared" si="6"/>
        <v>0</v>
      </c>
      <c r="F43" s="2">
        <f t="shared" si="18"/>
        <v>0</v>
      </c>
      <c r="G43" s="2">
        <f t="shared" si="17"/>
        <v>0</v>
      </c>
      <c r="H43" s="2">
        <f t="shared" si="8"/>
        <v>0</v>
      </c>
      <c r="I43" s="2">
        <f t="shared" si="9"/>
        <v>0</v>
      </c>
      <c r="J43" s="2">
        <f t="shared" si="10"/>
        <v>0</v>
      </c>
      <c r="K43" s="2">
        <f t="shared" si="11"/>
        <v>0</v>
      </c>
      <c r="L43" s="2">
        <f t="shared" si="11"/>
        <v>0</v>
      </c>
      <c r="M43" s="2">
        <f t="shared" si="11"/>
        <v>0</v>
      </c>
      <c r="N43" s="2">
        <f t="shared" si="12"/>
        <v>0</v>
      </c>
      <c r="O43" s="2">
        <f t="shared" si="13"/>
        <v>0</v>
      </c>
      <c r="P43" s="2">
        <f t="shared" si="14"/>
        <v>0</v>
      </c>
      <c r="Q43" s="2">
        <f t="shared" si="14"/>
        <v>0</v>
      </c>
      <c r="R43" s="2">
        <f t="shared" si="14"/>
        <v>0</v>
      </c>
      <c r="S43" s="7">
        <f t="shared" si="21"/>
        <v>0</v>
      </c>
      <c r="T43" s="2">
        <f t="shared" si="22"/>
        <v>0</v>
      </c>
    </row>
    <row r="44" spans="1:20" x14ac:dyDescent="0.25">
      <c r="A44" s="1">
        <f t="shared" si="16"/>
        <v>12</v>
      </c>
      <c r="B44" s="1" t="str">
        <f t="shared" si="3"/>
        <v>EBOUKA MALAÏKA</v>
      </c>
      <c r="C44" s="2">
        <f t="shared" si="4"/>
        <v>0</v>
      </c>
      <c r="D44" s="2">
        <f t="shared" si="5"/>
        <v>0</v>
      </c>
      <c r="E44" s="2">
        <f t="shared" si="6"/>
        <v>0</v>
      </c>
      <c r="F44" s="2">
        <f t="shared" si="18"/>
        <v>0</v>
      </c>
      <c r="G44" s="2">
        <f t="shared" si="17"/>
        <v>0</v>
      </c>
      <c r="H44" s="2">
        <f t="shared" si="8"/>
        <v>0</v>
      </c>
      <c r="I44" s="2">
        <f t="shared" si="9"/>
        <v>0</v>
      </c>
      <c r="J44" s="2">
        <f t="shared" si="10"/>
        <v>0</v>
      </c>
      <c r="K44" s="2">
        <f t="shared" si="11"/>
        <v>0</v>
      </c>
      <c r="L44" s="2">
        <f t="shared" si="11"/>
        <v>0</v>
      </c>
      <c r="M44" s="2">
        <f t="shared" si="11"/>
        <v>0</v>
      </c>
      <c r="N44" s="2">
        <f t="shared" si="12"/>
        <v>0</v>
      </c>
      <c r="O44" s="2">
        <f t="shared" si="13"/>
        <v>0</v>
      </c>
      <c r="P44" s="2">
        <f t="shared" si="14"/>
        <v>0</v>
      </c>
      <c r="Q44" s="2">
        <f t="shared" si="14"/>
        <v>0</v>
      </c>
      <c r="R44" s="2">
        <f t="shared" si="14"/>
        <v>0</v>
      </c>
      <c r="S44" s="7">
        <f t="shared" si="21"/>
        <v>0</v>
      </c>
      <c r="T44" s="2">
        <f t="shared" si="22"/>
        <v>0</v>
      </c>
    </row>
    <row r="45" spans="1:20" x14ac:dyDescent="0.25">
      <c r="A45" s="1">
        <f t="shared" si="16"/>
        <v>13</v>
      </c>
      <c r="B45" s="1" t="str">
        <f t="shared" si="3"/>
        <v>NGONO BENGONO</v>
      </c>
      <c r="C45" s="2">
        <f t="shared" si="4"/>
        <v>33</v>
      </c>
      <c r="D45" s="2">
        <f t="shared" si="5"/>
        <v>5</v>
      </c>
      <c r="E45" s="2">
        <f t="shared" si="6"/>
        <v>23</v>
      </c>
      <c r="F45" s="2">
        <f>F17*2</f>
        <v>20</v>
      </c>
      <c r="G45" s="2">
        <f t="shared" ref="F45:G50" si="23">G17*1</f>
        <v>16</v>
      </c>
      <c r="H45" s="2">
        <f t="shared" si="8"/>
        <v>22</v>
      </c>
      <c r="I45" s="2">
        <f t="shared" si="9"/>
        <v>28</v>
      </c>
      <c r="J45" s="2">
        <f t="shared" si="10"/>
        <v>27</v>
      </c>
      <c r="K45" s="2">
        <f t="shared" si="11"/>
        <v>30</v>
      </c>
      <c r="L45" s="2">
        <f t="shared" si="11"/>
        <v>10</v>
      </c>
      <c r="M45" s="2">
        <f t="shared" si="11"/>
        <v>18</v>
      </c>
      <c r="N45" s="2">
        <f t="shared" si="12"/>
        <v>13</v>
      </c>
      <c r="O45" s="2">
        <f t="shared" si="13"/>
        <v>32</v>
      </c>
      <c r="P45" s="2">
        <f t="shared" si="14"/>
        <v>11.5</v>
      </c>
      <c r="Q45" s="2">
        <f t="shared" si="14"/>
        <v>9</v>
      </c>
      <c r="R45" s="2">
        <f t="shared" si="14"/>
        <v>17</v>
      </c>
      <c r="S45" s="7">
        <f t="shared" si="15"/>
        <v>314.5</v>
      </c>
      <c r="T45" s="2">
        <f t="shared" si="2"/>
        <v>10.844827586206897</v>
      </c>
    </row>
    <row r="46" spans="1:20" x14ac:dyDescent="0.25">
      <c r="A46" s="1">
        <f t="shared" si="16"/>
        <v>14</v>
      </c>
      <c r="B46" s="1">
        <f t="shared" si="3"/>
        <v>0</v>
      </c>
      <c r="C46" s="2">
        <f t="shared" si="4"/>
        <v>0</v>
      </c>
      <c r="D46" s="2">
        <f t="shared" si="5"/>
        <v>0</v>
      </c>
      <c r="E46" s="2">
        <f t="shared" si="6"/>
        <v>0</v>
      </c>
      <c r="F46" s="2">
        <f t="shared" si="23"/>
        <v>0</v>
      </c>
      <c r="G46" s="2">
        <f t="shared" si="23"/>
        <v>0</v>
      </c>
      <c r="H46" s="2">
        <f t="shared" si="8"/>
        <v>0</v>
      </c>
      <c r="I46" s="2">
        <f t="shared" si="9"/>
        <v>0</v>
      </c>
      <c r="J46" s="2">
        <f t="shared" si="10"/>
        <v>0</v>
      </c>
      <c r="K46" s="2">
        <f t="shared" si="11"/>
        <v>0</v>
      </c>
      <c r="L46" s="2">
        <f t="shared" si="11"/>
        <v>0</v>
      </c>
      <c r="M46" s="2">
        <f t="shared" si="11"/>
        <v>0</v>
      </c>
      <c r="N46" s="2">
        <f t="shared" si="12"/>
        <v>0</v>
      </c>
      <c r="O46" s="2">
        <f t="shared" si="13"/>
        <v>0</v>
      </c>
      <c r="P46" s="2">
        <f t="shared" si="14"/>
        <v>0</v>
      </c>
      <c r="Q46" s="2">
        <f t="shared" si="14"/>
        <v>0</v>
      </c>
      <c r="R46" s="2">
        <f t="shared" si="14"/>
        <v>0</v>
      </c>
      <c r="S46" s="7">
        <f t="shared" si="15"/>
        <v>0</v>
      </c>
      <c r="T46" s="2">
        <f t="shared" si="2"/>
        <v>0</v>
      </c>
    </row>
    <row r="47" spans="1:20" x14ac:dyDescent="0.25">
      <c r="A47" s="1">
        <f t="shared" si="16"/>
        <v>15</v>
      </c>
      <c r="B47" s="1">
        <f t="shared" si="3"/>
        <v>0</v>
      </c>
      <c r="C47" s="2">
        <f t="shared" si="4"/>
        <v>0</v>
      </c>
      <c r="D47" s="2">
        <f t="shared" si="5"/>
        <v>0</v>
      </c>
      <c r="E47" s="2">
        <f t="shared" si="6"/>
        <v>0</v>
      </c>
      <c r="F47" s="2">
        <f t="shared" si="23"/>
        <v>0</v>
      </c>
      <c r="G47" s="2">
        <f t="shared" si="23"/>
        <v>0</v>
      </c>
      <c r="H47" s="2">
        <f t="shared" si="8"/>
        <v>0</v>
      </c>
      <c r="I47" s="2">
        <f t="shared" si="9"/>
        <v>0</v>
      </c>
      <c r="J47" s="2">
        <f t="shared" si="10"/>
        <v>0</v>
      </c>
      <c r="K47" s="2">
        <f t="shared" si="11"/>
        <v>0</v>
      </c>
      <c r="L47" s="2">
        <f t="shared" si="11"/>
        <v>0</v>
      </c>
      <c r="M47" s="2">
        <f t="shared" si="11"/>
        <v>0</v>
      </c>
      <c r="N47" s="2">
        <f t="shared" si="12"/>
        <v>0</v>
      </c>
      <c r="O47" s="2">
        <f t="shared" si="13"/>
        <v>0</v>
      </c>
      <c r="P47" s="2">
        <f t="shared" si="14"/>
        <v>0</v>
      </c>
      <c r="Q47" s="2">
        <f t="shared" si="14"/>
        <v>0</v>
      </c>
      <c r="R47" s="2">
        <f t="shared" si="14"/>
        <v>0</v>
      </c>
      <c r="S47" s="7">
        <f t="shared" si="15"/>
        <v>0</v>
      </c>
      <c r="T47" s="2">
        <f t="shared" si="2"/>
        <v>0</v>
      </c>
    </row>
    <row r="48" spans="1:20" x14ac:dyDescent="0.25">
      <c r="A48" s="1">
        <f t="shared" si="16"/>
        <v>16</v>
      </c>
      <c r="B48" s="1">
        <f t="shared" si="3"/>
        <v>0</v>
      </c>
      <c r="C48" s="2">
        <f t="shared" si="4"/>
        <v>0</v>
      </c>
      <c r="D48" s="2">
        <f t="shared" si="5"/>
        <v>0</v>
      </c>
      <c r="E48" s="2">
        <f t="shared" si="6"/>
        <v>0</v>
      </c>
      <c r="F48" s="2">
        <f t="shared" si="23"/>
        <v>0</v>
      </c>
      <c r="G48" s="2">
        <f t="shared" si="23"/>
        <v>0</v>
      </c>
      <c r="H48" s="2">
        <f t="shared" si="8"/>
        <v>0</v>
      </c>
      <c r="I48" s="2">
        <f t="shared" si="9"/>
        <v>0</v>
      </c>
      <c r="J48" s="2">
        <f t="shared" si="10"/>
        <v>0</v>
      </c>
      <c r="K48" s="2">
        <f t="shared" si="11"/>
        <v>0</v>
      </c>
      <c r="L48" s="2">
        <f t="shared" si="11"/>
        <v>0</v>
      </c>
      <c r="M48" s="2">
        <f t="shared" si="11"/>
        <v>0</v>
      </c>
      <c r="N48" s="2">
        <f t="shared" si="12"/>
        <v>0</v>
      </c>
      <c r="O48" s="2">
        <f t="shared" si="13"/>
        <v>0</v>
      </c>
      <c r="P48" s="2">
        <f t="shared" si="14"/>
        <v>0</v>
      </c>
      <c r="Q48" s="2">
        <v>0</v>
      </c>
      <c r="R48" s="2">
        <v>0</v>
      </c>
      <c r="S48" s="7">
        <f t="shared" si="15"/>
        <v>0</v>
      </c>
      <c r="T48" s="2">
        <f t="shared" si="2"/>
        <v>0</v>
      </c>
    </row>
    <row r="49" spans="1:20" x14ac:dyDescent="0.25">
      <c r="A49" s="1">
        <f t="shared" si="16"/>
        <v>17</v>
      </c>
      <c r="B49" s="1">
        <f t="shared" si="3"/>
        <v>0</v>
      </c>
      <c r="C49" s="2">
        <f t="shared" si="4"/>
        <v>0</v>
      </c>
      <c r="D49" s="2">
        <f t="shared" si="5"/>
        <v>0</v>
      </c>
      <c r="E49" s="2">
        <f t="shared" si="6"/>
        <v>0</v>
      </c>
      <c r="F49" s="2">
        <f t="shared" si="23"/>
        <v>0</v>
      </c>
      <c r="G49" s="2">
        <f t="shared" si="23"/>
        <v>0</v>
      </c>
      <c r="H49" s="2">
        <f t="shared" si="8"/>
        <v>0</v>
      </c>
      <c r="I49" s="2">
        <f t="shared" si="9"/>
        <v>0</v>
      </c>
      <c r="J49" s="2">
        <f t="shared" si="10"/>
        <v>0</v>
      </c>
      <c r="K49" s="2">
        <f t="shared" si="11"/>
        <v>0</v>
      </c>
      <c r="L49" s="2">
        <f t="shared" si="11"/>
        <v>0</v>
      </c>
      <c r="M49" s="2">
        <f t="shared" si="11"/>
        <v>0</v>
      </c>
      <c r="N49" s="2">
        <f t="shared" si="12"/>
        <v>0</v>
      </c>
      <c r="O49" s="2">
        <f t="shared" si="13"/>
        <v>0</v>
      </c>
      <c r="P49" s="2">
        <f t="shared" si="14"/>
        <v>0</v>
      </c>
      <c r="Q49" s="2">
        <v>0</v>
      </c>
      <c r="R49" s="2">
        <v>0</v>
      </c>
      <c r="S49" s="7">
        <v>0</v>
      </c>
      <c r="T49" s="2">
        <f t="shared" si="2"/>
        <v>0</v>
      </c>
    </row>
    <row r="50" spans="1:20" x14ac:dyDescent="0.25">
      <c r="A50" s="1">
        <f t="shared" si="16"/>
        <v>18</v>
      </c>
      <c r="B50" s="1">
        <f t="shared" si="3"/>
        <v>0</v>
      </c>
      <c r="C50" s="2">
        <f t="shared" si="4"/>
        <v>0</v>
      </c>
      <c r="D50" s="2">
        <f t="shared" si="5"/>
        <v>0</v>
      </c>
      <c r="E50" s="2">
        <f t="shared" si="6"/>
        <v>0</v>
      </c>
      <c r="F50" s="2">
        <f t="shared" si="23"/>
        <v>0</v>
      </c>
      <c r="G50" s="2">
        <f t="shared" si="23"/>
        <v>0</v>
      </c>
      <c r="H50" s="2">
        <f t="shared" si="8"/>
        <v>0</v>
      </c>
      <c r="I50" s="2">
        <f t="shared" si="9"/>
        <v>0</v>
      </c>
      <c r="J50" s="2">
        <f t="shared" si="10"/>
        <v>0</v>
      </c>
      <c r="K50" s="2">
        <f t="shared" si="11"/>
        <v>0</v>
      </c>
      <c r="L50" s="2">
        <f t="shared" si="11"/>
        <v>0</v>
      </c>
      <c r="M50" s="2">
        <f t="shared" si="11"/>
        <v>0</v>
      </c>
      <c r="N50" s="2">
        <f t="shared" si="12"/>
        <v>0</v>
      </c>
      <c r="O50" s="2">
        <f t="shared" si="13"/>
        <v>0</v>
      </c>
      <c r="P50" s="2">
        <f t="shared" ref="P50:R50" si="24">P22*1</f>
        <v>0</v>
      </c>
      <c r="Q50" s="2">
        <f t="shared" si="24"/>
        <v>0</v>
      </c>
      <c r="R50" s="2">
        <f t="shared" si="24"/>
        <v>0</v>
      </c>
      <c r="S50" s="7">
        <f t="shared" si="15"/>
        <v>0</v>
      </c>
      <c r="T50" s="2">
        <f t="shared" si="2"/>
        <v>0</v>
      </c>
    </row>
    <row r="51" spans="1:20" x14ac:dyDescent="0.25">
      <c r="A51" s="1">
        <f t="shared" si="16"/>
        <v>19</v>
      </c>
      <c r="B51" s="1" t="e">
        <f t="shared" si="3"/>
        <v>#REF!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7"/>
      <c r="T51" s="2"/>
    </row>
    <row r="52" spans="1:20" x14ac:dyDescent="0.25">
      <c r="A52" s="1">
        <f t="shared" si="16"/>
        <v>20</v>
      </c>
      <c r="B52" s="1" t="e">
        <f t="shared" si="3"/>
        <v>#REF!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7"/>
      <c r="T52" s="2"/>
    </row>
    <row r="53" spans="1:20" x14ac:dyDescent="0.25">
      <c r="A53" s="1">
        <f t="shared" si="16"/>
        <v>21</v>
      </c>
      <c r="B53" s="1" t="e">
        <f t="shared" si="3"/>
        <v>#REF!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7"/>
      <c r="T53" s="2"/>
    </row>
    <row r="54" spans="1:20" x14ac:dyDescent="0.25">
      <c r="A54" s="1">
        <f t="shared" si="16"/>
        <v>22</v>
      </c>
      <c r="B54" s="1" t="e">
        <f t="shared" si="3"/>
        <v>#REF!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7"/>
      <c r="T54" s="2"/>
    </row>
    <row r="55" spans="1:20" x14ac:dyDescent="0.25">
      <c r="A55" s="1">
        <f t="shared" si="16"/>
        <v>23</v>
      </c>
      <c r="B55" s="1" t="e">
        <f t="shared" si="3"/>
        <v>#REF!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7"/>
      <c r="T55" s="2"/>
    </row>
    <row r="56" spans="1:20" x14ac:dyDescent="0.25">
      <c r="A56" s="1">
        <f t="shared" si="16"/>
        <v>24</v>
      </c>
      <c r="B56" s="1" t="e">
        <f t="shared" si="3"/>
        <v>#REF!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7"/>
      <c r="T56" s="2"/>
    </row>
    <row r="57" spans="1:20" x14ac:dyDescent="0.25">
      <c r="A57" s="1">
        <f t="shared" si="16"/>
        <v>25</v>
      </c>
      <c r="B57" s="1" t="e">
        <f t="shared" si="3"/>
        <v>#REF!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7"/>
      <c r="T57" s="2"/>
    </row>
    <row r="58" spans="1:20" x14ac:dyDescent="0.25">
      <c r="T58" s="3">
        <f>AVERAGE(T33:T39)</f>
        <v>5.1551724137931032</v>
      </c>
    </row>
    <row r="60" spans="1:20" x14ac:dyDescent="0.25">
      <c r="B60" s="5" t="s">
        <v>0</v>
      </c>
      <c r="C60" s="1" t="s">
        <v>62</v>
      </c>
      <c r="D60" s="1" t="s">
        <v>63</v>
      </c>
      <c r="E60" s="1" t="s">
        <v>64</v>
      </c>
      <c r="F60" s="1" t="s">
        <v>65</v>
      </c>
      <c r="G60" s="1" t="s">
        <v>66</v>
      </c>
      <c r="H60" s="1" t="s">
        <v>67</v>
      </c>
      <c r="I60" s="1" t="s">
        <v>68</v>
      </c>
    </row>
    <row r="61" spans="1:20" x14ac:dyDescent="0.25">
      <c r="B61" s="5" t="s">
        <v>1</v>
      </c>
      <c r="C61" s="2">
        <v>11.5</v>
      </c>
      <c r="D61" s="2">
        <v>15.25</v>
      </c>
      <c r="E61" s="2">
        <v>14.5</v>
      </c>
      <c r="F61" s="2">
        <v>11.75</v>
      </c>
      <c r="G61" s="2"/>
      <c r="H61" s="2">
        <v>9.6199999999999992</v>
      </c>
      <c r="I61" s="2">
        <v>13.75</v>
      </c>
    </row>
    <row r="62" spans="1:20" x14ac:dyDescent="0.25">
      <c r="B62" s="5" t="s">
        <v>16</v>
      </c>
      <c r="C62" s="2">
        <v>6</v>
      </c>
      <c r="D62" s="2">
        <v>12.5</v>
      </c>
      <c r="E62" s="2">
        <v>8</v>
      </c>
      <c r="F62" s="2">
        <v>12</v>
      </c>
      <c r="G62" s="2"/>
      <c r="H62" s="2">
        <v>7.5</v>
      </c>
      <c r="I62" s="2">
        <v>11</v>
      </c>
    </row>
    <row r="63" spans="1:20" x14ac:dyDescent="0.25">
      <c r="B63" s="5" t="s">
        <v>17</v>
      </c>
      <c r="C63" s="2">
        <v>7.5</v>
      </c>
      <c r="D63" s="2">
        <v>14.5</v>
      </c>
      <c r="E63" s="2">
        <v>13.5</v>
      </c>
      <c r="F63" s="2">
        <v>14</v>
      </c>
      <c r="G63" s="2"/>
      <c r="H63" s="2">
        <v>3</v>
      </c>
      <c r="I63" s="2">
        <v>7.5</v>
      </c>
    </row>
    <row r="64" spans="1:20" x14ac:dyDescent="0.25">
      <c r="B64" s="5" t="s">
        <v>9</v>
      </c>
      <c r="C64" s="2">
        <v>11.5</v>
      </c>
      <c r="D64" s="2">
        <v>15.5</v>
      </c>
      <c r="E64" s="2">
        <v>11.5</v>
      </c>
      <c r="F64" s="2">
        <v>16.5</v>
      </c>
      <c r="G64" s="2"/>
      <c r="H64" s="2">
        <v>17</v>
      </c>
      <c r="I64" s="2">
        <v>11</v>
      </c>
    </row>
    <row r="65" spans="2:9" x14ac:dyDescent="0.25">
      <c r="B65" s="5" t="s">
        <v>15</v>
      </c>
      <c r="C65" s="2">
        <v>13</v>
      </c>
      <c r="D65" s="2">
        <v>14</v>
      </c>
      <c r="E65" s="2">
        <v>19</v>
      </c>
      <c r="F65" s="2">
        <v>15</v>
      </c>
      <c r="G65" s="2"/>
      <c r="H65" s="2">
        <v>15</v>
      </c>
      <c r="I65" s="2">
        <v>13</v>
      </c>
    </row>
    <row r="66" spans="2:9" x14ac:dyDescent="0.25">
      <c r="B66" s="5" t="s">
        <v>10</v>
      </c>
      <c r="C66" s="2">
        <v>11.5</v>
      </c>
      <c r="D66" s="2">
        <v>13</v>
      </c>
      <c r="E66" s="2">
        <v>13.5</v>
      </c>
      <c r="F66" s="2">
        <v>11.5</v>
      </c>
      <c r="G66" s="2"/>
      <c r="H66" s="2">
        <v>8</v>
      </c>
      <c r="I66" s="2">
        <v>10</v>
      </c>
    </row>
    <row r="67" spans="2:9" x14ac:dyDescent="0.25">
      <c r="B67" s="5" t="s">
        <v>11</v>
      </c>
      <c r="C67" s="2">
        <v>7</v>
      </c>
      <c r="D67" s="2">
        <v>8.5</v>
      </c>
      <c r="E67" s="2">
        <v>10</v>
      </c>
      <c r="F67" s="2">
        <v>9</v>
      </c>
      <c r="G67" s="2"/>
      <c r="H67" s="2">
        <v>5</v>
      </c>
      <c r="I67" s="2">
        <v>8.5</v>
      </c>
    </row>
    <row r="68" spans="2:9" x14ac:dyDescent="0.25">
      <c r="B68" s="5" t="s">
        <v>3</v>
      </c>
      <c r="C68" s="2">
        <v>8</v>
      </c>
      <c r="D68" s="2">
        <v>12.15</v>
      </c>
      <c r="E68" s="2">
        <v>11.27</v>
      </c>
      <c r="F68" s="2">
        <v>10.130000000000001</v>
      </c>
      <c r="G68" s="2"/>
      <c r="H68" s="2">
        <v>4</v>
      </c>
      <c r="I68" s="2">
        <v>8.17</v>
      </c>
    </row>
    <row r="69" spans="2:9" x14ac:dyDescent="0.25">
      <c r="B69" s="5" t="s">
        <v>4</v>
      </c>
      <c r="C69" s="2">
        <v>11.5</v>
      </c>
      <c r="D69" s="2">
        <v>13.5</v>
      </c>
      <c r="E69" s="2">
        <v>14.5</v>
      </c>
      <c r="F69" s="2">
        <v>13</v>
      </c>
      <c r="G69" s="2"/>
      <c r="H69" s="2">
        <v>12</v>
      </c>
      <c r="I69" s="2">
        <v>13.5</v>
      </c>
    </row>
    <row r="70" spans="2:9" x14ac:dyDescent="0.25">
      <c r="B70" s="5" t="s">
        <v>12</v>
      </c>
      <c r="C70" s="2">
        <v>11.5</v>
      </c>
      <c r="D70" s="2">
        <v>14.5</v>
      </c>
      <c r="E70" s="2">
        <v>14</v>
      </c>
      <c r="F70" s="2">
        <v>11.5</v>
      </c>
      <c r="G70" s="2"/>
      <c r="H70" s="2">
        <v>8.5</v>
      </c>
      <c r="I70" s="2">
        <v>11.5</v>
      </c>
    </row>
    <row r="71" spans="2:9" x14ac:dyDescent="0.25">
      <c r="B71" s="5" t="s">
        <v>13</v>
      </c>
      <c r="C71" s="2">
        <v>6</v>
      </c>
      <c r="D71" s="2">
        <v>15.5</v>
      </c>
      <c r="E71" s="2">
        <v>16</v>
      </c>
      <c r="F71" s="2">
        <v>15.5</v>
      </c>
      <c r="G71" s="2"/>
      <c r="H71" s="2">
        <v>6</v>
      </c>
      <c r="I71" s="2">
        <v>9.5</v>
      </c>
    </row>
    <row r="72" spans="2:9" x14ac:dyDescent="0.25">
      <c r="B72" s="5" t="s">
        <v>5</v>
      </c>
      <c r="C72" s="2">
        <v>16</v>
      </c>
      <c r="D72" s="2">
        <v>18</v>
      </c>
      <c r="E72" s="2">
        <v>15</v>
      </c>
      <c r="F72" s="2">
        <v>17</v>
      </c>
      <c r="G72" s="2"/>
      <c r="H72" s="2">
        <v>15</v>
      </c>
      <c r="I72" s="2">
        <v>16</v>
      </c>
    </row>
    <row r="73" spans="2:9" x14ac:dyDescent="0.25">
      <c r="B73" s="5" t="s">
        <v>6</v>
      </c>
      <c r="C73" s="2">
        <v>15</v>
      </c>
      <c r="D73" s="2">
        <v>16</v>
      </c>
      <c r="E73" s="2">
        <v>18</v>
      </c>
      <c r="F73" s="2">
        <v>15</v>
      </c>
      <c r="G73" s="2"/>
      <c r="H73" s="2">
        <v>17</v>
      </c>
      <c r="I73" s="2">
        <v>16</v>
      </c>
    </row>
    <row r="74" spans="2:9" x14ac:dyDescent="0.25">
      <c r="B74" s="5" t="s">
        <v>7</v>
      </c>
      <c r="C74" s="2">
        <v>7.5</v>
      </c>
      <c r="D74" s="2">
        <v>12.5</v>
      </c>
      <c r="E74" s="2">
        <v>14</v>
      </c>
      <c r="F74" s="2">
        <v>10</v>
      </c>
      <c r="G74" s="2"/>
      <c r="H74" s="2">
        <v>6</v>
      </c>
      <c r="I74" s="2">
        <v>14</v>
      </c>
    </row>
    <row r="75" spans="2:9" x14ac:dyDescent="0.25">
      <c r="B75" s="5" t="s">
        <v>8</v>
      </c>
      <c r="C75" s="2">
        <v>18</v>
      </c>
      <c r="D75" s="2">
        <v>16</v>
      </c>
      <c r="E75" s="2">
        <v>16</v>
      </c>
      <c r="F75" s="2">
        <v>16</v>
      </c>
      <c r="G75" s="2"/>
      <c r="H75" s="2">
        <v>18</v>
      </c>
      <c r="I75" s="2">
        <v>16</v>
      </c>
    </row>
    <row r="76" spans="2:9" x14ac:dyDescent="0.25">
      <c r="B76" s="5" t="s">
        <v>14</v>
      </c>
      <c r="C76" s="2">
        <v>18</v>
      </c>
      <c r="D76" s="2">
        <v>16</v>
      </c>
      <c r="E76" s="2">
        <v>16</v>
      </c>
      <c r="F76" s="2">
        <v>16</v>
      </c>
      <c r="G76" s="2"/>
      <c r="H76" s="2">
        <v>16</v>
      </c>
      <c r="I76" s="2">
        <v>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W119"/>
  <sheetViews>
    <sheetView topLeftCell="A37" zoomScale="70" zoomScaleNormal="70" workbookViewId="0">
      <selection activeCell="W54" sqref="W54"/>
    </sheetView>
  </sheetViews>
  <sheetFormatPr baseColWidth="10" defaultRowHeight="15" x14ac:dyDescent="0.25"/>
  <cols>
    <col min="1" max="1" width="9.28515625" customWidth="1"/>
    <col min="2" max="2" width="40" customWidth="1"/>
    <col min="3" max="3" width="9.140625" customWidth="1"/>
    <col min="4" max="4" width="13.42578125" customWidth="1"/>
    <col min="5" max="5" width="8.42578125" customWidth="1"/>
    <col min="6" max="6" width="10.28515625" customWidth="1"/>
    <col min="7" max="7" width="9.28515625" customWidth="1"/>
    <col min="8" max="8" width="40.85546875" customWidth="1"/>
    <col min="9" max="9" width="9.28515625" customWidth="1"/>
    <col min="10" max="10" width="14.7109375" customWidth="1"/>
    <col min="11" max="11" width="7.140625" customWidth="1"/>
    <col min="12" max="12" width="8.85546875" customWidth="1"/>
    <col min="13" max="13" width="7.7109375" customWidth="1"/>
    <col min="14" max="14" width="9.85546875" customWidth="1"/>
    <col min="15" max="15" width="30.42578125" customWidth="1"/>
    <col min="16" max="16" width="15.85546875" customWidth="1"/>
    <col min="17" max="17" width="22" customWidth="1"/>
    <col min="18" max="18" width="7.140625" customWidth="1"/>
    <col min="19" max="19" width="10.28515625" customWidth="1"/>
    <col min="20" max="20" width="9.28515625" customWidth="1"/>
    <col min="21" max="21" width="12.85546875" customWidth="1"/>
    <col min="22" max="22" width="7.42578125" bestFit="1" customWidth="1"/>
    <col min="23" max="23" width="14.42578125" customWidth="1"/>
    <col min="24" max="24" width="12.28515625" customWidth="1"/>
  </cols>
  <sheetData>
    <row r="4" spans="1:21" ht="18.75" x14ac:dyDescent="0.3">
      <c r="A4" s="57" t="s">
        <v>21</v>
      </c>
      <c r="B4" s="58" t="s">
        <v>0</v>
      </c>
      <c r="C4" s="58" t="s">
        <v>104</v>
      </c>
      <c r="D4" s="58" t="s">
        <v>105</v>
      </c>
      <c r="E4" s="59" t="s">
        <v>1</v>
      </c>
      <c r="F4" s="59" t="s">
        <v>16</v>
      </c>
      <c r="G4" s="59" t="s">
        <v>17</v>
      </c>
      <c r="H4" s="59" t="s">
        <v>9</v>
      </c>
      <c r="I4" s="59" t="s">
        <v>15</v>
      </c>
      <c r="J4" s="59" t="s">
        <v>10</v>
      </c>
      <c r="K4" s="59" t="s">
        <v>11</v>
      </c>
      <c r="L4" s="59" t="s">
        <v>23</v>
      </c>
      <c r="M4" s="59" t="s">
        <v>4</v>
      </c>
      <c r="N4" s="59" t="s">
        <v>12</v>
      </c>
      <c r="O4" s="59" t="s">
        <v>13</v>
      </c>
      <c r="P4" s="59" t="s">
        <v>100</v>
      </c>
      <c r="Q4" s="59" t="s">
        <v>6</v>
      </c>
      <c r="R4" s="59" t="s">
        <v>7</v>
      </c>
      <c r="S4" s="59" t="s">
        <v>99</v>
      </c>
      <c r="T4" s="59" t="s">
        <v>14</v>
      </c>
      <c r="U4" s="76" t="s">
        <v>19</v>
      </c>
    </row>
    <row r="5" spans="1:21" ht="18.75" x14ac:dyDescent="0.3">
      <c r="A5" s="52" t="e">
        <f>CONCATENATE(RANK(U5:U17,U$5:$U$17)," ",IF(RANK(U5:U17,U$5:$U$17)=1,"er/ère","ème"))</f>
        <v>#N/A</v>
      </c>
      <c r="B5" s="47" t="s">
        <v>88</v>
      </c>
      <c r="C5" s="51" t="s">
        <v>117</v>
      </c>
      <c r="D5" s="56">
        <v>250330609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78"/>
    </row>
    <row r="6" spans="1:21" ht="18.75" x14ac:dyDescent="0.3">
      <c r="A6" s="52" t="e">
        <f>CONCATENATE(RANK(U6:U18,U$5:$U$17)," ",IF(RANK(U6:U18,U$5:$U$17)=1,"er/ère","ème"))</f>
        <v>#N/A</v>
      </c>
      <c r="B6" s="47" t="s">
        <v>95</v>
      </c>
      <c r="C6" s="51" t="s">
        <v>118</v>
      </c>
      <c r="D6" s="56">
        <v>250330718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78"/>
    </row>
    <row r="7" spans="1:21" ht="18.75" x14ac:dyDescent="0.3">
      <c r="A7" s="52" t="str">
        <f>CONCATENATE(RANK(U7:U19,U$5:$U$17)," ",IF(RANK(U7:U19,U$5:$U$17)=1,"er/ère","ème"))</f>
        <v>6 ème</v>
      </c>
      <c r="B7" s="47" t="s">
        <v>89</v>
      </c>
      <c r="C7" s="51" t="s">
        <v>117</v>
      </c>
      <c r="D7" s="56">
        <v>250323861</v>
      </c>
      <c r="E7" s="2">
        <v>10</v>
      </c>
      <c r="F7" s="2">
        <v>7</v>
      </c>
      <c r="G7" s="2">
        <v>10</v>
      </c>
      <c r="H7" s="2">
        <v>11.5</v>
      </c>
      <c r="I7" s="2">
        <v>15</v>
      </c>
      <c r="J7" s="2">
        <v>8</v>
      </c>
      <c r="K7" s="2">
        <v>10</v>
      </c>
      <c r="L7" s="2">
        <v>10</v>
      </c>
      <c r="M7" s="2">
        <v>9</v>
      </c>
      <c r="N7" s="2">
        <v>12</v>
      </c>
      <c r="O7" s="2">
        <v>8</v>
      </c>
      <c r="P7" s="2">
        <v>11</v>
      </c>
      <c r="Q7" s="2">
        <v>15</v>
      </c>
      <c r="R7" s="2">
        <v>14</v>
      </c>
      <c r="S7" s="2">
        <v>11</v>
      </c>
      <c r="T7" s="2">
        <v>16</v>
      </c>
      <c r="U7" s="78">
        <v>10.724137931034482</v>
      </c>
    </row>
    <row r="8" spans="1:21" ht="18.75" x14ac:dyDescent="0.3">
      <c r="A8" s="52" t="e">
        <f>CONCATENATE(RANK(U8:U19,U$5:$U$17)," ",IF(RANK(U8:U19,U$5:$U$17)=1,"er/ère","ème"))</f>
        <v>#N/A</v>
      </c>
      <c r="B8" s="47" t="s">
        <v>90</v>
      </c>
      <c r="C8" s="51" t="s">
        <v>117</v>
      </c>
      <c r="D8" s="56">
        <v>250269442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78"/>
    </row>
    <row r="9" spans="1:21" ht="18.75" x14ac:dyDescent="0.3">
      <c r="A9" s="52" t="e">
        <f>CONCATENATE(RANK(U9:U19,U$5:$U$17)," ",IF(RANK(U9:U19,U$5:$U$17)=1,"er/ère","ème"))</f>
        <v>#N/A</v>
      </c>
      <c r="B9" s="47" t="s">
        <v>94</v>
      </c>
      <c r="C9" s="51" t="s">
        <v>117</v>
      </c>
      <c r="D9" s="56">
        <v>250330584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78"/>
    </row>
    <row r="10" spans="1:21" ht="18.75" x14ac:dyDescent="0.3">
      <c r="A10" s="52" t="str">
        <f>CONCATENATE(RANK(U10:U19,U$5:$U$17)," ",IF(RANK(U10:U19,U$5:$U$17)=1,"er/ère","ème"))</f>
        <v>3 ème</v>
      </c>
      <c r="B10" s="47" t="s">
        <v>91</v>
      </c>
      <c r="C10" s="51" t="s">
        <v>117</v>
      </c>
      <c r="D10" s="56">
        <v>250048896</v>
      </c>
      <c r="E10" s="2">
        <v>12</v>
      </c>
      <c r="F10" s="2">
        <v>10</v>
      </c>
      <c r="G10" s="2">
        <v>10</v>
      </c>
      <c r="H10" s="2">
        <v>9</v>
      </c>
      <c r="I10" s="2">
        <v>15</v>
      </c>
      <c r="J10" s="2">
        <v>11</v>
      </c>
      <c r="K10" s="2">
        <v>8</v>
      </c>
      <c r="L10" s="2">
        <v>12</v>
      </c>
      <c r="M10" s="2">
        <v>16</v>
      </c>
      <c r="N10" s="2">
        <v>11</v>
      </c>
      <c r="O10" s="2">
        <v>12</v>
      </c>
      <c r="P10" s="2">
        <v>13</v>
      </c>
      <c r="Q10" s="2">
        <v>15.5</v>
      </c>
      <c r="R10" s="2">
        <v>15</v>
      </c>
      <c r="S10" s="2">
        <v>11</v>
      </c>
      <c r="T10" s="2">
        <v>16</v>
      </c>
      <c r="U10" s="78">
        <v>11.758620689655173</v>
      </c>
    </row>
    <row r="11" spans="1:21" ht="18.75" x14ac:dyDescent="0.3">
      <c r="A11" s="52" t="str">
        <f>CONCATENATE(RANK(U11:U20,U$5:$U$17)," ",IF(RANK(U11:U20,U$5:$U$17)=1,"er/ère","ème"))</f>
        <v>5 ème</v>
      </c>
      <c r="B11" s="47" t="s">
        <v>92</v>
      </c>
      <c r="C11" s="51" t="s">
        <v>118</v>
      </c>
      <c r="D11" s="56">
        <v>250323949</v>
      </c>
      <c r="E11" s="2">
        <v>11</v>
      </c>
      <c r="F11" s="2">
        <v>13</v>
      </c>
      <c r="G11" s="2">
        <v>9.5</v>
      </c>
      <c r="H11" s="2">
        <v>9</v>
      </c>
      <c r="I11" s="2">
        <v>15</v>
      </c>
      <c r="J11" s="2">
        <v>12</v>
      </c>
      <c r="K11" s="2">
        <v>8.5</v>
      </c>
      <c r="L11" s="2">
        <v>9</v>
      </c>
      <c r="M11" s="2">
        <v>12</v>
      </c>
      <c r="N11" s="2">
        <v>11</v>
      </c>
      <c r="O11" s="2">
        <v>7</v>
      </c>
      <c r="P11" s="2">
        <v>12</v>
      </c>
      <c r="Q11" s="2">
        <v>15</v>
      </c>
      <c r="R11" s="2">
        <v>14</v>
      </c>
      <c r="S11" s="2">
        <v>6</v>
      </c>
      <c r="T11" s="2">
        <v>16</v>
      </c>
      <c r="U11" s="78">
        <v>10.758620689655173</v>
      </c>
    </row>
    <row r="12" spans="1:21" ht="18.75" x14ac:dyDescent="0.3">
      <c r="A12" s="52" t="e">
        <f>CONCATENATE(RANK(U12:U21,U$5:$U$17)," ",IF(RANK(U12:U21,U$5:$U$17)=1,"er/ère","ème"))</f>
        <v>#N/A</v>
      </c>
      <c r="B12" s="47" t="s">
        <v>93</v>
      </c>
      <c r="C12" s="51" t="s">
        <v>118</v>
      </c>
      <c r="D12" s="56">
        <v>250330566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78"/>
    </row>
    <row r="13" spans="1:21" ht="18.75" x14ac:dyDescent="0.3">
      <c r="A13" s="52" t="str">
        <f>CONCATENATE(RANK(U13:U22,U$5:$U$17)," ",IF(RANK(U13:U22,U$5:$U$17)=1,"er/ère","ème"))</f>
        <v>1 er/ère</v>
      </c>
      <c r="B13" s="47" t="s">
        <v>96</v>
      </c>
      <c r="C13" s="51" t="s">
        <v>117</v>
      </c>
      <c r="D13" s="56">
        <v>250324012</v>
      </c>
      <c r="E13" s="2">
        <v>16</v>
      </c>
      <c r="F13" s="2">
        <v>8</v>
      </c>
      <c r="G13" s="2">
        <v>12</v>
      </c>
      <c r="H13" s="2">
        <v>14</v>
      </c>
      <c r="I13" s="2">
        <v>15</v>
      </c>
      <c r="J13" s="2">
        <v>12</v>
      </c>
      <c r="K13" s="2">
        <v>15</v>
      </c>
      <c r="L13" s="2">
        <v>12</v>
      </c>
      <c r="M13" s="2">
        <v>13</v>
      </c>
      <c r="N13" s="2">
        <v>13.5</v>
      </c>
      <c r="O13" s="2">
        <v>12</v>
      </c>
      <c r="P13" s="2">
        <v>14</v>
      </c>
      <c r="Q13" s="2">
        <v>16.5</v>
      </c>
      <c r="R13" s="2">
        <v>10</v>
      </c>
      <c r="S13" s="2">
        <v>14</v>
      </c>
      <c r="T13" s="2">
        <v>16</v>
      </c>
      <c r="U13" s="78">
        <v>13.620689655172415</v>
      </c>
    </row>
    <row r="14" spans="1:21" ht="18.75" x14ac:dyDescent="0.3">
      <c r="A14" s="52" t="str">
        <f>CONCATENATE(RANK(U14:U23,U$5:$U$17)," ",IF(RANK(U14:U23,U$5:$U$17)=1,"er/ère","ème"))</f>
        <v>2 ème</v>
      </c>
      <c r="B14" s="47" t="s">
        <v>97</v>
      </c>
      <c r="C14" s="51" t="s">
        <v>117</v>
      </c>
      <c r="D14" s="56">
        <v>250324055</v>
      </c>
      <c r="E14" s="2">
        <v>14.5</v>
      </c>
      <c r="F14" s="2">
        <v>13</v>
      </c>
      <c r="G14" s="2">
        <v>9.5</v>
      </c>
      <c r="H14" s="2">
        <v>18</v>
      </c>
      <c r="I14" s="2">
        <v>15</v>
      </c>
      <c r="J14" s="2">
        <v>10</v>
      </c>
      <c r="K14" s="2">
        <v>10.5</v>
      </c>
      <c r="L14" s="2">
        <v>10</v>
      </c>
      <c r="M14" s="2">
        <v>14</v>
      </c>
      <c r="N14" s="2">
        <v>10</v>
      </c>
      <c r="O14" s="2">
        <v>14</v>
      </c>
      <c r="P14" s="2">
        <v>13</v>
      </c>
      <c r="Q14" s="2">
        <v>15</v>
      </c>
      <c r="R14" s="2">
        <v>10</v>
      </c>
      <c r="S14" s="2">
        <v>15</v>
      </c>
      <c r="T14" s="2">
        <v>16</v>
      </c>
      <c r="U14" s="78">
        <v>12.706896551724139</v>
      </c>
    </row>
    <row r="15" spans="1:21" ht="18.75" x14ac:dyDescent="0.3">
      <c r="A15" s="52" t="e">
        <f>CONCATENATE(RANK(U15:U24,U$5:$U$17)," ",IF(RANK(U15:U24,U$5:$U$17)=1,"er/ère","ème"))</f>
        <v>#N/A</v>
      </c>
      <c r="B15" s="47" t="s">
        <v>98</v>
      </c>
      <c r="C15" s="51" t="s">
        <v>118</v>
      </c>
      <c r="D15" s="56">
        <v>250269410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78"/>
    </row>
    <row r="16" spans="1:21" ht="18.75" x14ac:dyDescent="0.3">
      <c r="A16" s="52" t="str">
        <f>CONCATENATE(RANK(U16:U25,U$5:$U$17)," ",IF(RANK(U16:U25,U$5:$U$17)=1,"er/ère","ème"))</f>
        <v>7 ème</v>
      </c>
      <c r="B16" s="47" t="s">
        <v>119</v>
      </c>
      <c r="C16" s="51" t="s">
        <v>118</v>
      </c>
      <c r="D16" s="56">
        <v>250323775</v>
      </c>
      <c r="E16" s="2">
        <v>9</v>
      </c>
      <c r="F16" s="2">
        <v>10</v>
      </c>
      <c r="G16" s="2">
        <v>9.5</v>
      </c>
      <c r="H16" s="2">
        <v>6</v>
      </c>
      <c r="I16" s="2">
        <v>15</v>
      </c>
      <c r="J16" s="2">
        <v>6</v>
      </c>
      <c r="K16" s="2">
        <v>8</v>
      </c>
      <c r="L16" s="2">
        <v>9</v>
      </c>
      <c r="M16" s="2">
        <v>6</v>
      </c>
      <c r="N16" s="2">
        <v>10</v>
      </c>
      <c r="O16" s="2">
        <v>7</v>
      </c>
      <c r="P16" s="2">
        <v>11</v>
      </c>
      <c r="Q16" s="2">
        <v>15</v>
      </c>
      <c r="R16" s="2">
        <v>16</v>
      </c>
      <c r="S16" s="2">
        <v>4</v>
      </c>
      <c r="T16" s="2">
        <v>16</v>
      </c>
      <c r="U16" s="78">
        <v>9.2413793103448274</v>
      </c>
    </row>
    <row r="17" spans="1:21" ht="18.75" x14ac:dyDescent="0.3">
      <c r="A17" s="52" t="str">
        <f>CONCATENATE(RANK(U17:U26,U$5:$U$17)," ",IF(RANK(U17:U26,U$5:$U$17)=1,"er/ère","ème"))</f>
        <v>4 ème</v>
      </c>
      <c r="B17" s="47" t="s">
        <v>146</v>
      </c>
      <c r="C17" s="51" t="s">
        <v>117</v>
      </c>
      <c r="D17" s="56" t="s">
        <v>151</v>
      </c>
      <c r="E17" s="2">
        <v>10</v>
      </c>
      <c r="F17" s="2">
        <v>7</v>
      </c>
      <c r="G17" s="2">
        <v>9</v>
      </c>
      <c r="H17" s="2">
        <v>12</v>
      </c>
      <c r="I17" s="2">
        <v>15</v>
      </c>
      <c r="J17" s="2">
        <v>8</v>
      </c>
      <c r="K17" s="2">
        <v>9</v>
      </c>
      <c r="L17" s="2">
        <v>8.5</v>
      </c>
      <c r="M17" s="2">
        <v>13</v>
      </c>
      <c r="N17" s="2">
        <v>15.5</v>
      </c>
      <c r="O17" s="2">
        <v>9</v>
      </c>
      <c r="P17" s="2">
        <v>13</v>
      </c>
      <c r="Q17" s="2">
        <v>14.5</v>
      </c>
      <c r="R17" s="2">
        <v>11</v>
      </c>
      <c r="S17" s="2">
        <v>7</v>
      </c>
      <c r="T17" s="2">
        <v>16</v>
      </c>
      <c r="U17" s="78">
        <v>10.827586206896552</v>
      </c>
    </row>
    <row r="18" spans="1:21" ht="18.75" x14ac:dyDescent="0.3">
      <c r="A18" s="1"/>
      <c r="B18" s="15" t="s">
        <v>22</v>
      </c>
      <c r="C18" s="53"/>
      <c r="D18" s="1"/>
      <c r="E18" s="9">
        <f t="shared" ref="E18:U18" si="0">AVERAGE(E5:E11)</f>
        <v>11</v>
      </c>
      <c r="F18" s="9">
        <f t="shared" si="0"/>
        <v>10</v>
      </c>
      <c r="G18" s="9">
        <f t="shared" si="0"/>
        <v>9.8333333333333339</v>
      </c>
      <c r="H18" s="9">
        <f t="shared" si="0"/>
        <v>9.8333333333333339</v>
      </c>
      <c r="I18" s="9">
        <f t="shared" si="0"/>
        <v>15</v>
      </c>
      <c r="J18" s="9">
        <f t="shared" si="0"/>
        <v>10.333333333333334</v>
      </c>
      <c r="K18" s="9">
        <f t="shared" si="0"/>
        <v>8.8333333333333339</v>
      </c>
      <c r="L18" s="9">
        <f t="shared" si="0"/>
        <v>10.333333333333334</v>
      </c>
      <c r="M18" s="9">
        <f t="shared" si="0"/>
        <v>12.333333333333334</v>
      </c>
      <c r="N18" s="9">
        <f t="shared" si="0"/>
        <v>11.333333333333334</v>
      </c>
      <c r="O18" s="9">
        <f t="shared" si="0"/>
        <v>9</v>
      </c>
      <c r="P18" s="9">
        <f t="shared" si="0"/>
        <v>12</v>
      </c>
      <c r="Q18" s="9">
        <f t="shared" si="0"/>
        <v>15.166666666666666</v>
      </c>
      <c r="R18" s="9">
        <f t="shared" si="0"/>
        <v>14.333333333333334</v>
      </c>
      <c r="S18" s="9">
        <f t="shared" si="0"/>
        <v>9.3333333333333339</v>
      </c>
      <c r="T18" s="9">
        <f t="shared" si="0"/>
        <v>16</v>
      </c>
      <c r="U18" s="77">
        <f t="shared" si="0"/>
        <v>11.080459770114942</v>
      </c>
    </row>
    <row r="20" spans="1:21" x14ac:dyDescent="0.25">
      <c r="A20" s="61" t="s">
        <v>2</v>
      </c>
      <c r="B20" s="61" t="s">
        <v>0</v>
      </c>
      <c r="C20" s="61" t="str">
        <f>C4</f>
        <v>Sexe</v>
      </c>
      <c r="D20" s="61" t="str">
        <f>D4</f>
        <v>Matricule</v>
      </c>
      <c r="E20" s="61" t="s">
        <v>1</v>
      </c>
      <c r="F20" s="61" t="s">
        <v>16</v>
      </c>
      <c r="G20" s="61" t="s">
        <v>17</v>
      </c>
      <c r="H20" s="61" t="s">
        <v>9</v>
      </c>
      <c r="I20" s="61" t="s">
        <v>15</v>
      </c>
      <c r="J20" s="61" t="s">
        <v>10</v>
      </c>
      <c r="K20" s="61" t="s">
        <v>11</v>
      </c>
      <c r="L20" s="61" t="s">
        <v>23</v>
      </c>
      <c r="M20" s="61" t="s">
        <v>4</v>
      </c>
      <c r="N20" s="61" t="s">
        <v>12</v>
      </c>
      <c r="O20" s="61" t="s">
        <v>13</v>
      </c>
      <c r="P20" s="61" t="s">
        <v>100</v>
      </c>
      <c r="Q20" s="61" t="s">
        <v>6</v>
      </c>
      <c r="R20" s="61" t="s">
        <v>7</v>
      </c>
      <c r="S20" s="61" t="s">
        <v>99</v>
      </c>
      <c r="T20" s="61" t="s">
        <v>14</v>
      </c>
      <c r="U20" s="61" t="s">
        <v>20</v>
      </c>
    </row>
    <row r="21" spans="1:21" ht="15.75" x14ac:dyDescent="0.25">
      <c r="A21" s="52" t="e">
        <f>CONCATENATE(RANK(U21:U32,U$21:$U$32)," ",IF(RANK(U21:U32,U$21:$U$32)=1,"er/ère","ème"))</f>
        <v>#N/A</v>
      </c>
      <c r="B21" s="47" t="s">
        <v>88</v>
      </c>
      <c r="C21" s="51" t="s">
        <v>117</v>
      </c>
      <c r="D21" s="56">
        <v>250330609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1"/>
    </row>
    <row r="22" spans="1:21" ht="15.75" x14ac:dyDescent="0.25">
      <c r="A22" s="52" t="e">
        <f>CONCATENATE(RANK(U22:U35,U$21:$U$32)," ",IF(RANK(U22:U35,U$21:$U$32)=1,"er/ère","ème"))</f>
        <v>#N/A</v>
      </c>
      <c r="B22" s="47" t="s">
        <v>95</v>
      </c>
      <c r="C22" s="51" t="s">
        <v>118</v>
      </c>
      <c r="D22" s="56">
        <v>250330718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1"/>
    </row>
    <row r="23" spans="1:21" ht="15.75" x14ac:dyDescent="0.25">
      <c r="A23" s="52" t="str">
        <f>CONCATENATE(RANK(U10:U23,U$21:$U$34)," ",IF(RANK(U10:U23,U$21:$U$34)=1,"er/ère","ème"))</f>
        <v>1 er/ère</v>
      </c>
      <c r="B23" s="47" t="s">
        <v>89</v>
      </c>
      <c r="C23" s="51" t="s">
        <v>117</v>
      </c>
      <c r="D23" s="56">
        <v>250323861</v>
      </c>
      <c r="E23" s="2">
        <v>13</v>
      </c>
      <c r="F23" s="2">
        <v>11</v>
      </c>
      <c r="G23" s="2">
        <v>15</v>
      </c>
      <c r="H23" s="2">
        <v>15</v>
      </c>
      <c r="I23" s="2">
        <v>16</v>
      </c>
      <c r="J23" s="2">
        <v>16.5</v>
      </c>
      <c r="K23" s="2">
        <v>7</v>
      </c>
      <c r="L23" s="2">
        <v>14</v>
      </c>
      <c r="M23" s="2">
        <v>16</v>
      </c>
      <c r="N23" s="2">
        <v>14</v>
      </c>
      <c r="O23" s="2">
        <v>11</v>
      </c>
      <c r="P23" s="2">
        <v>11</v>
      </c>
      <c r="Q23" s="2">
        <v>16</v>
      </c>
      <c r="R23" s="2">
        <v>18.5</v>
      </c>
      <c r="S23" s="2">
        <v>8</v>
      </c>
      <c r="T23" s="2">
        <v>17</v>
      </c>
      <c r="U23" s="11">
        <v>13.224137931034482</v>
      </c>
    </row>
    <row r="24" spans="1:21" ht="15.75" x14ac:dyDescent="0.25">
      <c r="A24" s="52" t="e">
        <f>CONCATENATE(RANK(U24:U37,U$21:$U$32)," ",IF(RANK(U24:U37,U$21:$U$32)=1,"er/ère","ème"))</f>
        <v>#N/A</v>
      </c>
      <c r="B24" s="47" t="s">
        <v>90</v>
      </c>
      <c r="C24" s="51" t="s">
        <v>117</v>
      </c>
      <c r="D24" s="56">
        <v>250269442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1"/>
    </row>
    <row r="25" spans="1:21" ht="15.75" x14ac:dyDescent="0.25">
      <c r="A25" s="52" t="e">
        <f>CONCATENATE(RANK(U25:U38,U$21:$U$32)," ",IF(RANK(U25:U38,U$21:$U$32)=1,"er/ère","ème"))</f>
        <v>#N/A</v>
      </c>
      <c r="B25" s="47" t="s">
        <v>94</v>
      </c>
      <c r="C25" s="51" t="s">
        <v>117</v>
      </c>
      <c r="D25" s="56">
        <v>250330584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1"/>
    </row>
    <row r="26" spans="1:21" ht="15.75" x14ac:dyDescent="0.25">
      <c r="A26" s="52" t="str">
        <f>CONCATENATE(RANK(U13:U26,U$21:$U$34)," ",IF(RANK(U13:U26,U$21:$U$34)=1,"er/ère","ème"))</f>
        <v>5 ème</v>
      </c>
      <c r="B26" s="47" t="s">
        <v>91</v>
      </c>
      <c r="C26" s="51" t="s">
        <v>117</v>
      </c>
      <c r="D26" s="56">
        <v>250048896</v>
      </c>
      <c r="E26" s="2">
        <v>15</v>
      </c>
      <c r="F26" s="2">
        <v>7</v>
      </c>
      <c r="G26" s="2">
        <v>11.5</v>
      </c>
      <c r="H26" s="2">
        <v>14</v>
      </c>
      <c r="I26" s="2">
        <v>16</v>
      </c>
      <c r="J26" s="2">
        <v>14.5</v>
      </c>
      <c r="K26" s="2">
        <v>6</v>
      </c>
      <c r="L26" s="2">
        <v>13.5</v>
      </c>
      <c r="M26" s="2">
        <v>20</v>
      </c>
      <c r="N26" s="2">
        <v>10</v>
      </c>
      <c r="O26" s="2">
        <v>11</v>
      </c>
      <c r="P26" s="2">
        <v>13</v>
      </c>
      <c r="Q26" s="2">
        <v>16</v>
      </c>
      <c r="R26" s="2">
        <v>10.5</v>
      </c>
      <c r="S26" s="2">
        <v>8</v>
      </c>
      <c r="T26" s="2">
        <v>17</v>
      </c>
      <c r="U26" s="11">
        <v>12.46551724137931</v>
      </c>
    </row>
    <row r="27" spans="1:21" ht="15.75" x14ac:dyDescent="0.25">
      <c r="A27" s="52" t="str">
        <f>CONCATENATE(RANK(U14:U27,U$21:$U$34)," ",IF(RANK(U14:U27,U$21:$U$34)=1,"er/ère","ème"))</f>
        <v>7 ème</v>
      </c>
      <c r="B27" s="47" t="s">
        <v>92</v>
      </c>
      <c r="C27" s="51" t="s">
        <v>118</v>
      </c>
      <c r="D27" s="56">
        <v>250323949</v>
      </c>
      <c r="E27" s="2">
        <v>11</v>
      </c>
      <c r="F27" s="2">
        <v>9</v>
      </c>
      <c r="G27" s="2">
        <v>5.5</v>
      </c>
      <c r="H27" s="2">
        <v>10</v>
      </c>
      <c r="I27" s="2">
        <v>16</v>
      </c>
      <c r="J27" s="2">
        <v>12.5</v>
      </c>
      <c r="K27" s="2">
        <v>5</v>
      </c>
      <c r="L27" s="2">
        <v>15</v>
      </c>
      <c r="M27" s="2">
        <v>11</v>
      </c>
      <c r="N27" s="2">
        <v>10</v>
      </c>
      <c r="O27" s="2">
        <v>10</v>
      </c>
      <c r="P27" s="2">
        <v>12</v>
      </c>
      <c r="Q27" s="2">
        <v>16</v>
      </c>
      <c r="R27" s="2">
        <v>7.5</v>
      </c>
      <c r="S27" s="2">
        <v>7</v>
      </c>
      <c r="T27" s="2">
        <v>17</v>
      </c>
      <c r="U27" s="11">
        <v>10.396551724137931</v>
      </c>
    </row>
    <row r="28" spans="1:21" ht="15.75" x14ac:dyDescent="0.25">
      <c r="A28" s="52" t="str">
        <f>CONCATENATE(RANK(U15:U28,U$21:$U$34)," ",IF(RANK(U15:U28,U$21:$U$34)=1,"er/ère","ème"))</f>
        <v>2 ème</v>
      </c>
      <c r="B28" s="47" t="s">
        <v>93</v>
      </c>
      <c r="C28" s="51" t="s">
        <v>118</v>
      </c>
      <c r="D28" s="56">
        <v>250330566</v>
      </c>
      <c r="E28" s="2">
        <v>17</v>
      </c>
      <c r="F28" s="2">
        <v>4</v>
      </c>
      <c r="G28" s="2">
        <v>13.5</v>
      </c>
      <c r="H28" s="2">
        <v>11</v>
      </c>
      <c r="I28" s="2">
        <v>16</v>
      </c>
      <c r="J28" s="2">
        <v>15.5</v>
      </c>
      <c r="K28" s="2">
        <v>4</v>
      </c>
      <c r="L28" s="2">
        <v>15</v>
      </c>
      <c r="M28" s="2">
        <v>20</v>
      </c>
      <c r="N28" s="2">
        <v>13</v>
      </c>
      <c r="O28" s="2">
        <v>15</v>
      </c>
      <c r="P28" s="2">
        <v>14</v>
      </c>
      <c r="Q28" s="2">
        <v>16</v>
      </c>
      <c r="R28" s="2">
        <v>17</v>
      </c>
      <c r="S28" s="2">
        <v>8</v>
      </c>
      <c r="T28" s="2">
        <v>17</v>
      </c>
      <c r="U28" s="11">
        <v>13.137931034482758</v>
      </c>
    </row>
    <row r="29" spans="1:21" ht="15.75" x14ac:dyDescent="0.25">
      <c r="A29" s="52" t="str">
        <f>CONCATENATE(RANK(U16:U29,U$21:$U$34)," ",IF(RANK(U16:U29,U$21:$U$34)=1,"er/ère","ème"))</f>
        <v>3 ème</v>
      </c>
      <c r="B29" s="47" t="s">
        <v>96</v>
      </c>
      <c r="C29" s="51" t="s">
        <v>117</v>
      </c>
      <c r="D29" s="56">
        <v>250324012</v>
      </c>
      <c r="E29" s="2">
        <v>13</v>
      </c>
      <c r="F29" s="2">
        <v>4</v>
      </c>
      <c r="G29" s="2">
        <v>12</v>
      </c>
      <c r="H29" s="2">
        <v>12</v>
      </c>
      <c r="I29" s="2">
        <v>16</v>
      </c>
      <c r="J29" s="2">
        <v>16</v>
      </c>
      <c r="K29" s="2">
        <v>9</v>
      </c>
      <c r="L29" s="2">
        <v>11.5</v>
      </c>
      <c r="M29" s="2">
        <v>17</v>
      </c>
      <c r="N29" s="2">
        <v>12</v>
      </c>
      <c r="O29" s="2">
        <v>15</v>
      </c>
      <c r="P29" s="2">
        <v>14</v>
      </c>
      <c r="Q29" s="2">
        <v>16.5</v>
      </c>
      <c r="R29" s="2">
        <v>12.5</v>
      </c>
      <c r="S29" s="2">
        <v>9</v>
      </c>
      <c r="T29" s="2">
        <v>17</v>
      </c>
      <c r="U29" s="11">
        <v>12.810344827586206</v>
      </c>
    </row>
    <row r="30" spans="1:21" ht="15.75" x14ac:dyDescent="0.25">
      <c r="A30" s="52" t="str">
        <f>CONCATENATE(RANK(U17:U30,U$21:$U$34)," ",IF(RANK(U17:U30,U$21:$U$34)=1,"er/ère","ème"))</f>
        <v>4 ème</v>
      </c>
      <c r="B30" s="47" t="s">
        <v>97</v>
      </c>
      <c r="C30" s="51" t="s">
        <v>117</v>
      </c>
      <c r="D30" s="56">
        <v>250324055</v>
      </c>
      <c r="E30" s="2">
        <v>13</v>
      </c>
      <c r="F30" s="2">
        <v>8</v>
      </c>
      <c r="G30" s="2">
        <v>12</v>
      </c>
      <c r="H30" s="2">
        <v>14</v>
      </c>
      <c r="I30" s="2">
        <v>16</v>
      </c>
      <c r="J30" s="2">
        <v>18</v>
      </c>
      <c r="K30" s="2">
        <v>8</v>
      </c>
      <c r="L30" s="2">
        <v>11</v>
      </c>
      <c r="M30" s="2">
        <v>17</v>
      </c>
      <c r="N30" s="2">
        <v>11</v>
      </c>
      <c r="O30" s="2">
        <v>12</v>
      </c>
      <c r="P30" s="2">
        <v>13</v>
      </c>
      <c r="Q30" s="2">
        <v>16</v>
      </c>
      <c r="R30" s="2">
        <v>13.5</v>
      </c>
      <c r="S30" s="2">
        <v>5</v>
      </c>
      <c r="T30" s="2">
        <v>17</v>
      </c>
      <c r="U30" s="11">
        <v>12.603448275862069</v>
      </c>
    </row>
    <row r="31" spans="1:21" ht="15.75" x14ac:dyDescent="0.25">
      <c r="A31" s="52" t="e">
        <f>CONCATENATE(RANK(U31:U44,U$21:$U$32)," ",IF(RANK(U31:U44,U$21:$U$32)=1,"er/ère","ème"))</f>
        <v>#N/A</v>
      </c>
      <c r="B31" s="47" t="s">
        <v>98</v>
      </c>
      <c r="C31" s="51" t="s">
        <v>118</v>
      </c>
      <c r="D31" s="56">
        <v>250269410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1"/>
    </row>
    <row r="32" spans="1:21" ht="15.75" x14ac:dyDescent="0.25">
      <c r="A32" s="52" t="e">
        <f>CONCATENATE(RANK(U32:U45,U$21:$U$32)," ",IF(RANK(U32:U45,U$21:$U$32)=1,"er/ère","ème"))</f>
        <v>#N/A</v>
      </c>
      <c r="B32" s="47" t="s">
        <v>119</v>
      </c>
      <c r="C32" s="51" t="s">
        <v>118</v>
      </c>
      <c r="D32" s="56">
        <v>250323775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11"/>
    </row>
    <row r="33" spans="1:23" ht="15.75" x14ac:dyDescent="0.25">
      <c r="A33" s="52" t="e">
        <f>CONCATENATE(RANK(U21:U33,U$21:$U$33)," ",IF(RANK(U21:U33,U$21:$U$33)=1,"er/ère","ème"))</f>
        <v>#N/A</v>
      </c>
      <c r="B33" s="47" t="s">
        <v>146</v>
      </c>
      <c r="C33" s="51" t="s">
        <v>117</v>
      </c>
      <c r="D33" s="56" t="s">
        <v>151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11"/>
    </row>
    <row r="34" spans="1:23" ht="15.75" x14ac:dyDescent="0.25">
      <c r="A34" s="52" t="str">
        <f>CONCATENATE(RANK(U21:U34,U$21:$U$34)," ",IF(RANK(U21:U34,U$21:$U$34)=1,"er/ère","ème"))</f>
        <v>6 ème</v>
      </c>
      <c r="B34" s="47" t="s">
        <v>152</v>
      </c>
      <c r="C34" s="51" t="s">
        <v>117</v>
      </c>
      <c r="D34" s="56" t="s">
        <v>151</v>
      </c>
      <c r="E34" s="2">
        <v>11</v>
      </c>
      <c r="F34" s="2">
        <v>5</v>
      </c>
      <c r="G34" s="2">
        <v>11.5</v>
      </c>
      <c r="H34" s="2">
        <v>10</v>
      </c>
      <c r="I34" s="2">
        <v>16</v>
      </c>
      <c r="J34" s="2">
        <v>11</v>
      </c>
      <c r="K34" s="2">
        <v>7</v>
      </c>
      <c r="L34" s="2">
        <v>13.5</v>
      </c>
      <c r="M34" s="2">
        <v>15</v>
      </c>
      <c r="N34" s="2">
        <v>5</v>
      </c>
      <c r="O34" s="2">
        <v>9</v>
      </c>
      <c r="P34" s="2">
        <v>13</v>
      </c>
      <c r="Q34" s="2">
        <v>16</v>
      </c>
      <c r="R34" s="2">
        <v>11.5</v>
      </c>
      <c r="S34" s="2">
        <v>9</v>
      </c>
      <c r="T34" s="2">
        <v>17</v>
      </c>
      <c r="U34" s="11">
        <v>10.844827586206897</v>
      </c>
    </row>
    <row r="35" spans="1:23" ht="15.75" x14ac:dyDescent="0.25">
      <c r="A35" s="8"/>
      <c r="B35" s="8" t="s">
        <v>19</v>
      </c>
      <c r="C35" s="8"/>
      <c r="D35" s="60"/>
      <c r="E35" s="9">
        <f>AVERAGE(E21:E27)</f>
        <v>13</v>
      </c>
      <c r="F35" s="9">
        <f>AVERAGE(F21:F27)</f>
        <v>9</v>
      </c>
      <c r="G35" s="9">
        <f>AVERAGE(G21:G27)</f>
        <v>10.666666666666666</v>
      </c>
      <c r="H35" s="9">
        <f>AVERAGE(H21:H27)</f>
        <v>13</v>
      </c>
      <c r="I35" s="9">
        <f>AVERAGE(I21:I27)</f>
        <v>16</v>
      </c>
      <c r="J35" s="9">
        <f>AVERAGE(J21:J27)</f>
        <v>14.5</v>
      </c>
      <c r="K35" s="9">
        <f>AVERAGE(K21:K27)</f>
        <v>6</v>
      </c>
      <c r="L35" s="9">
        <f>AVERAGE(L21:L27)</f>
        <v>14.166666666666666</v>
      </c>
      <c r="M35" s="9">
        <f>AVERAGE(M21:M27)</f>
        <v>15.666666666666666</v>
      </c>
      <c r="N35" s="9">
        <f>AVERAGE(N21:N27)</f>
        <v>11.333333333333334</v>
      </c>
      <c r="O35" s="9">
        <f>AVERAGE(O21:O27)</f>
        <v>10.666666666666666</v>
      </c>
      <c r="P35" s="9">
        <f>AVERAGE(P21:P27)</f>
        <v>12</v>
      </c>
      <c r="Q35" s="9">
        <f>AVERAGE(Q21:Q27)</f>
        <v>16</v>
      </c>
      <c r="R35" s="9">
        <f>AVERAGE(R21:R27)</f>
        <v>12.166666666666666</v>
      </c>
      <c r="S35" s="9">
        <f>AVERAGE(S21:S27)</f>
        <v>7.666666666666667</v>
      </c>
      <c r="T35" s="9">
        <f>AVERAGE(T21:T27)</f>
        <v>17</v>
      </c>
      <c r="U35" s="9">
        <f>AVERAGE(U21:U32)</f>
        <v>12.439655172413792</v>
      </c>
    </row>
    <row r="38" spans="1:23" x14ac:dyDescent="0.25">
      <c r="E38" s="3">
        <f>(E18+E35)/2</f>
        <v>12</v>
      </c>
      <c r="F38" s="3">
        <f>(F18+F35)/2</f>
        <v>9.5</v>
      </c>
      <c r="G38" s="3">
        <f>(G18+G35)/2</f>
        <v>10.25</v>
      </c>
      <c r="H38" s="3">
        <f>(H18+H35)/2</f>
        <v>11.416666666666668</v>
      </c>
      <c r="I38" s="3">
        <f>(I18+I35)/2</f>
        <v>15.5</v>
      </c>
      <c r="J38" s="3">
        <f>(J18+J35)/2</f>
        <v>12.416666666666668</v>
      </c>
      <c r="K38" s="3">
        <f>(K18+K35)/2</f>
        <v>7.416666666666667</v>
      </c>
      <c r="L38" s="3">
        <f>(L18+L35)/2</f>
        <v>12.25</v>
      </c>
      <c r="M38" s="3">
        <f>(M18+M35)/2</f>
        <v>14</v>
      </c>
      <c r="N38" s="3">
        <f>(N18+N35)/2</f>
        <v>11.333333333333334</v>
      </c>
      <c r="O38" s="3">
        <f>(O18+O35)/2</f>
        <v>9.8333333333333321</v>
      </c>
      <c r="P38" s="3">
        <f>(P18+P35)/2</f>
        <v>12</v>
      </c>
      <c r="Q38" s="3">
        <f>(Q18+Q35)/2</f>
        <v>15.583333333333332</v>
      </c>
      <c r="R38" s="3">
        <f>(R18+R35)/2</f>
        <v>13.25</v>
      </c>
      <c r="S38" s="3">
        <f>(S18+S35)/2</f>
        <v>8.5</v>
      </c>
      <c r="T38" s="3">
        <f>(T18+T35)/2</f>
        <v>16.5</v>
      </c>
      <c r="U38" s="3">
        <f>(U18+U35)/2</f>
        <v>11.760057471264368</v>
      </c>
    </row>
    <row r="43" spans="1:23" x14ac:dyDescent="0.25">
      <c r="B43" s="12" t="s">
        <v>0</v>
      </c>
      <c r="C43" s="12" t="str">
        <f>C4</f>
        <v>Sexe</v>
      </c>
      <c r="D43" s="12" t="str">
        <f>D4</f>
        <v>Matricule</v>
      </c>
      <c r="E43" s="12" t="s">
        <v>1</v>
      </c>
      <c r="F43" s="12" t="s">
        <v>16</v>
      </c>
      <c r="G43" s="12" t="s">
        <v>17</v>
      </c>
      <c r="H43" s="12" t="s">
        <v>9</v>
      </c>
      <c r="I43" s="12" t="s">
        <v>15</v>
      </c>
      <c r="J43" s="12" t="s">
        <v>10</v>
      </c>
      <c r="K43" s="12" t="s">
        <v>11</v>
      </c>
      <c r="L43" s="12" t="s">
        <v>23</v>
      </c>
      <c r="M43" s="12" t="s">
        <v>4</v>
      </c>
      <c r="N43" s="12" t="s">
        <v>12</v>
      </c>
      <c r="O43" s="12" t="s">
        <v>13</v>
      </c>
      <c r="P43" s="12" t="s">
        <v>100</v>
      </c>
      <c r="Q43" s="12" t="s">
        <v>6</v>
      </c>
      <c r="R43" s="12" t="s">
        <v>7</v>
      </c>
      <c r="S43" s="12" t="s">
        <v>99</v>
      </c>
      <c r="T43" s="12" t="s">
        <v>14</v>
      </c>
      <c r="U43" s="12" t="s">
        <v>20</v>
      </c>
    </row>
    <row r="44" spans="1:23" ht="15.75" x14ac:dyDescent="0.25">
      <c r="A44" s="52" t="e">
        <f>CONCATENATE(RANK(U44:U55,U$44:$U$55)," ",IF(RANK(U44:U55,U$44:$U$55)=1,"er/ère","ème"))</f>
        <v>#N/A</v>
      </c>
      <c r="B44" s="47" t="s">
        <v>88</v>
      </c>
      <c r="C44" s="51" t="s">
        <v>117</v>
      </c>
      <c r="D44" s="56">
        <v>250330609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62"/>
      <c r="W44" s="3"/>
    </row>
    <row r="45" spans="1:23" ht="15.75" x14ac:dyDescent="0.25">
      <c r="A45" s="52" t="e">
        <f>CONCATENATE(RANK(U45:U58,U$44:$U$55)," ",IF(RANK(U45:U58,U$44:$U$55)=1,"er/ère","ème"))</f>
        <v>#N/A</v>
      </c>
      <c r="B45" s="47" t="s">
        <v>95</v>
      </c>
      <c r="C45" s="51" t="s">
        <v>118</v>
      </c>
      <c r="D45" s="56">
        <v>250330718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62"/>
    </row>
    <row r="46" spans="1:23" ht="15.75" x14ac:dyDescent="0.25">
      <c r="A46" s="52" t="str">
        <f>CONCATENATE(RANK(U33:U46,U$44:$U$57)," ",IF(RANK(U33:U46,U$44:$U$57)=1,"er/ère","ème"))</f>
        <v>5 ème</v>
      </c>
      <c r="B46" s="47" t="s">
        <v>89</v>
      </c>
      <c r="C46" s="51" t="s">
        <v>117</v>
      </c>
      <c r="D46" s="56">
        <v>250323861</v>
      </c>
      <c r="E46" s="2">
        <f>(E7+E23)/2</f>
        <v>11.5</v>
      </c>
      <c r="F46" s="2">
        <f>(F7+F23)/2</f>
        <v>9</v>
      </c>
      <c r="G46" s="2">
        <f>(G7+G23)/2</f>
        <v>12.5</v>
      </c>
      <c r="H46" s="2">
        <f>(H7+H23)/2</f>
        <v>13.25</v>
      </c>
      <c r="I46" s="2">
        <f>(I7+I23)/2</f>
        <v>15.5</v>
      </c>
      <c r="J46" s="2">
        <f>(J7+J23)/2</f>
        <v>12.25</v>
      </c>
      <c r="K46" s="2">
        <f>(K7+K23)/2</f>
        <v>8.5</v>
      </c>
      <c r="L46" s="2">
        <f>(L7+L23)/2</f>
        <v>12</v>
      </c>
      <c r="M46" s="2">
        <f>(M7+M23)/2</f>
        <v>12.5</v>
      </c>
      <c r="N46" s="2">
        <f>(N7+N23)/2</f>
        <v>13</v>
      </c>
      <c r="O46" s="2">
        <f>(O7+O23)/2</f>
        <v>9.5</v>
      </c>
      <c r="P46" s="2">
        <f>(P7+P23)/2</f>
        <v>11</v>
      </c>
      <c r="Q46" s="2">
        <f>(Q7+Q23)/2</f>
        <v>15.5</v>
      </c>
      <c r="R46" s="2">
        <f>(R7+R23)/2</f>
        <v>16.25</v>
      </c>
      <c r="S46" s="2">
        <f>(S7+S23)/2</f>
        <v>9.5</v>
      </c>
      <c r="T46" s="2">
        <f>(T7+T23)/2</f>
        <v>16.5</v>
      </c>
      <c r="U46" s="62">
        <f>(U7+U23)/2</f>
        <v>11.974137931034482</v>
      </c>
    </row>
    <row r="47" spans="1:23" ht="15.75" x14ac:dyDescent="0.25">
      <c r="A47" s="52" t="e">
        <f>CONCATENATE(RANK(U47:U60,U$44:$U$55)," ",IF(RANK(U47:U60,U$44:$U$55)=1,"er/ère","ème"))</f>
        <v>#N/A</v>
      </c>
      <c r="B47" s="47" t="s">
        <v>90</v>
      </c>
      <c r="C47" s="51" t="s">
        <v>117</v>
      </c>
      <c r="D47" s="56">
        <v>250269442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62"/>
    </row>
    <row r="48" spans="1:23" ht="15.75" x14ac:dyDescent="0.25">
      <c r="A48" s="52" t="e">
        <f>CONCATENATE(RANK(U48:U61,U$44:$U$55)," ",IF(RANK(U48:U61,U$44:$U$55)=1,"er/ère","ème"))</f>
        <v>#N/A</v>
      </c>
      <c r="B48" s="47" t="s">
        <v>94</v>
      </c>
      <c r="C48" s="51" t="s">
        <v>117</v>
      </c>
      <c r="D48" s="56">
        <v>250330584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62"/>
    </row>
    <row r="49" spans="1:21" ht="15.75" x14ac:dyDescent="0.25">
      <c r="A49" s="52" t="str">
        <f>CONCATENATE(RANK(U36:U49,U$44:$U$57)," ",IF(RANK(U36:U49,U$44:$U$57)=1,"er/ère","ème"))</f>
        <v>4 ème</v>
      </c>
      <c r="B49" s="47" t="s">
        <v>91</v>
      </c>
      <c r="C49" s="51" t="s">
        <v>117</v>
      </c>
      <c r="D49" s="56">
        <v>250048896</v>
      </c>
      <c r="E49" s="2">
        <f>(E10+E26)/2</f>
        <v>13.5</v>
      </c>
      <c r="F49" s="2">
        <f>(F10+F26)/2</f>
        <v>8.5</v>
      </c>
      <c r="G49" s="2">
        <f>(G10+G26)/2</f>
        <v>10.75</v>
      </c>
      <c r="H49" s="2">
        <f>(H10+H26)/2</f>
        <v>11.5</v>
      </c>
      <c r="I49" s="2">
        <f>(I10+I26)/2</f>
        <v>15.5</v>
      </c>
      <c r="J49" s="2">
        <f>(J10+J26)/2</f>
        <v>12.75</v>
      </c>
      <c r="K49" s="2">
        <f>(K10+K26)/2</f>
        <v>7</v>
      </c>
      <c r="L49" s="2">
        <f>(L10+L26)/2</f>
        <v>12.75</v>
      </c>
      <c r="M49" s="2">
        <f>(M10+M26)/2</f>
        <v>18</v>
      </c>
      <c r="N49" s="2">
        <f>(N10+N26)/2</f>
        <v>10.5</v>
      </c>
      <c r="O49" s="2">
        <f>(O10+O26)/2</f>
        <v>11.5</v>
      </c>
      <c r="P49" s="2">
        <f>(P10+P26)/2</f>
        <v>13</v>
      </c>
      <c r="Q49" s="2">
        <f>(Q10+Q26)/2</f>
        <v>15.75</v>
      </c>
      <c r="R49" s="2">
        <f>(R10+R26)/2</f>
        <v>12.75</v>
      </c>
      <c r="S49" s="2">
        <f>(S10+S26)/2</f>
        <v>9.5</v>
      </c>
      <c r="T49" s="2">
        <f>(T10+T26)/2</f>
        <v>16.5</v>
      </c>
      <c r="U49" s="62">
        <f>(U10+U26)/2</f>
        <v>12.112068965517242</v>
      </c>
    </row>
    <row r="50" spans="1:21" ht="15.75" x14ac:dyDescent="0.25">
      <c r="A50" s="52" t="str">
        <f>CONCATENATE(RANK(U37:U50,U$44:$U$57)," ",IF(RANK(U37:U50,U$44:$U$57)=1,"er/ère","ème"))</f>
        <v>8 ème</v>
      </c>
      <c r="B50" s="47" t="s">
        <v>92</v>
      </c>
      <c r="C50" s="51" t="s">
        <v>118</v>
      </c>
      <c r="D50" s="56">
        <v>250323949</v>
      </c>
      <c r="E50" s="2">
        <f>(E11+E27)/2</f>
        <v>11</v>
      </c>
      <c r="F50" s="2">
        <f>(F11+F27)/2</f>
        <v>11</v>
      </c>
      <c r="G50" s="2">
        <f>(G11+G27)/2</f>
        <v>7.5</v>
      </c>
      <c r="H50" s="2">
        <f>(H11+H27)/2</f>
        <v>9.5</v>
      </c>
      <c r="I50" s="2">
        <f>(I11+I27)/2</f>
        <v>15.5</v>
      </c>
      <c r="J50" s="2">
        <f>(J11+J27)/2</f>
        <v>12.25</v>
      </c>
      <c r="K50" s="2">
        <f>(K11+K27)/2</f>
        <v>6.75</v>
      </c>
      <c r="L50" s="2">
        <f>(L11+L27)/2</f>
        <v>12</v>
      </c>
      <c r="M50" s="2">
        <f>(M11+M27)/2</f>
        <v>11.5</v>
      </c>
      <c r="N50" s="2">
        <f>(N11+N27)/2</f>
        <v>10.5</v>
      </c>
      <c r="O50" s="2">
        <f>(O11+O27)/2</f>
        <v>8.5</v>
      </c>
      <c r="P50" s="2">
        <f>(P11+P27)/2</f>
        <v>12</v>
      </c>
      <c r="Q50" s="2">
        <f>(Q11+Q27)/2</f>
        <v>15.5</v>
      </c>
      <c r="R50" s="2">
        <f>(R11+R27)/2</f>
        <v>10.75</v>
      </c>
      <c r="S50" s="2">
        <f>(S11+S27)/2</f>
        <v>6.5</v>
      </c>
      <c r="T50" s="2">
        <f>(T11+T27)/2</f>
        <v>16.5</v>
      </c>
      <c r="U50" s="62">
        <f>(U11+U27)/2</f>
        <v>10.577586206896552</v>
      </c>
    </row>
    <row r="51" spans="1:21" ht="15.75" x14ac:dyDescent="0.25">
      <c r="A51" s="52" t="str">
        <f>CONCATENATE(RANK(U38:U51,U$44:$U$57)," ",IF(RANK(U38:U51,U$44:$U$57)=1,"er/ère","ème"))</f>
        <v>2 ème</v>
      </c>
      <c r="B51" s="47" t="s">
        <v>93</v>
      </c>
      <c r="C51" s="51" t="s">
        <v>118</v>
      </c>
      <c r="D51" s="56">
        <v>250330566</v>
      </c>
      <c r="E51" s="2">
        <v>17</v>
      </c>
      <c r="F51" s="2">
        <v>4</v>
      </c>
      <c r="G51" s="2">
        <v>13.5</v>
      </c>
      <c r="H51" s="2">
        <v>11</v>
      </c>
      <c r="I51" s="2">
        <v>16</v>
      </c>
      <c r="J51" s="2">
        <v>15.5</v>
      </c>
      <c r="K51" s="2">
        <v>4</v>
      </c>
      <c r="L51" s="2">
        <v>15</v>
      </c>
      <c r="M51" s="2">
        <v>20</v>
      </c>
      <c r="N51" s="2">
        <v>13</v>
      </c>
      <c r="O51" s="2">
        <v>15</v>
      </c>
      <c r="P51" s="2">
        <v>14</v>
      </c>
      <c r="Q51" s="2">
        <v>16</v>
      </c>
      <c r="R51" s="2">
        <v>17</v>
      </c>
      <c r="S51" s="2">
        <v>8</v>
      </c>
      <c r="T51" s="2">
        <v>17</v>
      </c>
      <c r="U51" s="11">
        <v>13.137931034482758</v>
      </c>
    </row>
    <row r="52" spans="1:21" ht="15.75" x14ac:dyDescent="0.25">
      <c r="A52" s="52" t="str">
        <f>CONCATENATE(RANK(U39:U52,U$44:$U$57)," ",IF(RANK(U39:U52,U$44:$U$57)=1,"er/ère","ème"))</f>
        <v>1 er/ère</v>
      </c>
      <c r="B52" s="47" t="s">
        <v>96</v>
      </c>
      <c r="C52" s="51" t="s">
        <v>117</v>
      </c>
      <c r="D52" s="56">
        <v>250324012</v>
      </c>
      <c r="E52" s="2">
        <f>(E13+E29)/2</f>
        <v>14.5</v>
      </c>
      <c r="F52" s="2">
        <f>(F13+F29)/2</f>
        <v>6</v>
      </c>
      <c r="G52" s="2">
        <f>(G13+G29)/2</f>
        <v>12</v>
      </c>
      <c r="H52" s="2">
        <f>(H13+H29)/2</f>
        <v>13</v>
      </c>
      <c r="I52" s="2">
        <f>(I13+I29)/2</f>
        <v>15.5</v>
      </c>
      <c r="J52" s="2">
        <f>(J13+J29)/2</f>
        <v>14</v>
      </c>
      <c r="K52" s="2">
        <f>(K13+K29)/2</f>
        <v>12</v>
      </c>
      <c r="L52" s="2">
        <f>(L13+L29)/2</f>
        <v>11.75</v>
      </c>
      <c r="M52" s="2">
        <f>(M13+M29)/2</f>
        <v>15</v>
      </c>
      <c r="N52" s="2">
        <f>(N13+N29)/2</f>
        <v>12.75</v>
      </c>
      <c r="O52" s="2">
        <f>(O13+O29)/2</f>
        <v>13.5</v>
      </c>
      <c r="P52" s="2">
        <f>(P13+P29)/2</f>
        <v>14</v>
      </c>
      <c r="Q52" s="2">
        <f>(Q13+Q29)/2</f>
        <v>16.5</v>
      </c>
      <c r="R52" s="2">
        <f>(R13+R29)/2</f>
        <v>11.25</v>
      </c>
      <c r="S52" s="2">
        <f>(S13+S29)/2</f>
        <v>11.5</v>
      </c>
      <c r="T52" s="2">
        <f>(T13+T29)/2</f>
        <v>16.5</v>
      </c>
      <c r="U52" s="62">
        <f>(U13+U29)/2</f>
        <v>13.21551724137931</v>
      </c>
    </row>
    <row r="53" spans="1:21" ht="15.75" x14ac:dyDescent="0.25">
      <c r="A53" s="52" t="str">
        <f>CONCATENATE(RANK(U40:U53,U$44:$U$57)," ",IF(RANK(U40:U53,U$44:$U$57)=1,"er/ère","ème"))</f>
        <v>3 ème</v>
      </c>
      <c r="B53" s="47" t="s">
        <v>97</v>
      </c>
      <c r="C53" s="51" t="s">
        <v>117</v>
      </c>
      <c r="D53" s="56">
        <v>250324055</v>
      </c>
      <c r="E53" s="2">
        <f>(E14+E30)/2</f>
        <v>13.75</v>
      </c>
      <c r="F53" s="2">
        <f>(F14+F30)/2</f>
        <v>10.5</v>
      </c>
      <c r="G53" s="2">
        <f>(G14+G30)/2</f>
        <v>10.75</v>
      </c>
      <c r="H53" s="2">
        <f>(H14+H30)/2</f>
        <v>16</v>
      </c>
      <c r="I53" s="2">
        <f>(I14+I30)/2</f>
        <v>15.5</v>
      </c>
      <c r="J53" s="2">
        <f>(J14+J30)/2</f>
        <v>14</v>
      </c>
      <c r="K53" s="2">
        <f>(K14+K30)/2</f>
        <v>9.25</v>
      </c>
      <c r="L53" s="2">
        <f>(L14+L30)/2</f>
        <v>10.5</v>
      </c>
      <c r="M53" s="2">
        <f>(M14+M30)/2</f>
        <v>15.5</v>
      </c>
      <c r="N53" s="2">
        <f>(N14+N30)/2</f>
        <v>10.5</v>
      </c>
      <c r="O53" s="2">
        <f>(O14+O30)/2</f>
        <v>13</v>
      </c>
      <c r="P53" s="2">
        <f>(P14+P30)/2</f>
        <v>13</v>
      </c>
      <c r="Q53" s="2">
        <f>(Q14+Q30)/2</f>
        <v>15.5</v>
      </c>
      <c r="R53" s="2">
        <f>(R14+R30)/2</f>
        <v>11.75</v>
      </c>
      <c r="S53" s="2">
        <f>(S14+S30)/2</f>
        <v>10</v>
      </c>
      <c r="T53" s="2">
        <f>(T14+T30)/2</f>
        <v>16.5</v>
      </c>
      <c r="U53" s="62">
        <f>(U14+U30)/2</f>
        <v>12.655172413793103</v>
      </c>
    </row>
    <row r="54" spans="1:21" ht="15.75" x14ac:dyDescent="0.25">
      <c r="A54" s="52" t="e">
        <f>CONCATENATE(RANK(U41:U54,U$44:$U$57)," ",IF(RANK(U41:U54,U$44:$U$57)=1,"er/ère","ème"))</f>
        <v>#N/A</v>
      </c>
      <c r="B54" s="47" t="s">
        <v>98</v>
      </c>
      <c r="C54" s="51" t="s">
        <v>118</v>
      </c>
      <c r="D54" s="56">
        <v>250269410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62"/>
    </row>
    <row r="55" spans="1:21" ht="15.75" x14ac:dyDescent="0.25">
      <c r="A55" s="52" t="str">
        <f>CONCATENATE(RANK(U42:U55,U$44:$U$57)," ",IF(RANK(U42:U55,U$44:$U$57)=1,"er/ère","ème"))</f>
        <v>9 ème</v>
      </c>
      <c r="B55" s="47" t="s">
        <v>119</v>
      </c>
      <c r="C55" s="51" t="s">
        <v>118</v>
      </c>
      <c r="D55" s="56">
        <v>250323775</v>
      </c>
      <c r="E55" s="2">
        <v>9</v>
      </c>
      <c r="F55" s="2">
        <v>10</v>
      </c>
      <c r="G55" s="2">
        <v>9.5</v>
      </c>
      <c r="H55" s="2">
        <v>6</v>
      </c>
      <c r="I55" s="2">
        <v>15</v>
      </c>
      <c r="J55" s="2">
        <v>6</v>
      </c>
      <c r="K55" s="2">
        <v>8</v>
      </c>
      <c r="L55" s="2">
        <v>9</v>
      </c>
      <c r="M55" s="2">
        <v>6</v>
      </c>
      <c r="N55" s="2">
        <v>10</v>
      </c>
      <c r="O55" s="2">
        <v>7</v>
      </c>
      <c r="P55" s="2">
        <v>11</v>
      </c>
      <c r="Q55" s="2">
        <v>15</v>
      </c>
      <c r="R55" s="2">
        <v>16</v>
      </c>
      <c r="S55" s="2">
        <v>4</v>
      </c>
      <c r="T55" s="2">
        <v>16</v>
      </c>
      <c r="U55" s="62">
        <v>9.2413793103448274</v>
      </c>
    </row>
    <row r="56" spans="1:21" ht="15.75" x14ac:dyDescent="0.25">
      <c r="A56" s="52" t="str">
        <f>CONCATENATE(RANK(U43:U56,U$44:$U$57)," ",IF(RANK(U43:U56,U$44:$U$57)=1,"er/ère","ème"))</f>
        <v>7 ème</v>
      </c>
      <c r="B56" s="47" t="s">
        <v>146</v>
      </c>
      <c r="C56" s="51" t="s">
        <v>117</v>
      </c>
      <c r="D56" s="56" t="s">
        <v>151</v>
      </c>
      <c r="E56" s="2">
        <v>10</v>
      </c>
      <c r="F56" s="2">
        <v>7</v>
      </c>
      <c r="G56" s="2">
        <v>9</v>
      </c>
      <c r="H56" s="2">
        <v>12</v>
      </c>
      <c r="I56" s="2">
        <v>15</v>
      </c>
      <c r="J56" s="2">
        <v>8</v>
      </c>
      <c r="K56" s="2">
        <v>9</v>
      </c>
      <c r="L56" s="2">
        <v>8.5</v>
      </c>
      <c r="M56" s="2">
        <v>13</v>
      </c>
      <c r="N56" s="2">
        <v>15.5</v>
      </c>
      <c r="O56" s="2">
        <v>9</v>
      </c>
      <c r="P56" s="2">
        <v>13</v>
      </c>
      <c r="Q56" s="2">
        <v>14.5</v>
      </c>
      <c r="R56" s="2">
        <v>11</v>
      </c>
      <c r="S56" s="2">
        <v>7</v>
      </c>
      <c r="T56" s="2">
        <v>16</v>
      </c>
      <c r="U56" s="62">
        <v>10.827586206896552</v>
      </c>
    </row>
    <row r="57" spans="1:21" ht="15.75" x14ac:dyDescent="0.25">
      <c r="A57" s="52" t="str">
        <f>CONCATENATE(RANK(U44:U57,U$44:$U$57)," ",IF(RANK(U44:U57,U$44:$U$57)=1,"er/ère","ème"))</f>
        <v>6 ème</v>
      </c>
      <c r="B57" s="47" t="s">
        <v>152</v>
      </c>
      <c r="C57" s="51" t="s">
        <v>117</v>
      </c>
      <c r="D57" s="56" t="s">
        <v>151</v>
      </c>
      <c r="E57" s="2">
        <v>11</v>
      </c>
      <c r="F57" s="2">
        <v>5</v>
      </c>
      <c r="G57" s="2">
        <v>11.5</v>
      </c>
      <c r="H57" s="2">
        <v>10</v>
      </c>
      <c r="I57" s="2">
        <v>16</v>
      </c>
      <c r="J57" s="2">
        <v>11</v>
      </c>
      <c r="K57" s="2">
        <v>7</v>
      </c>
      <c r="L57" s="2">
        <v>13.5</v>
      </c>
      <c r="M57" s="2">
        <v>15</v>
      </c>
      <c r="N57" s="2">
        <v>5</v>
      </c>
      <c r="O57" s="2">
        <v>9</v>
      </c>
      <c r="P57" s="2">
        <v>13</v>
      </c>
      <c r="Q57" s="2">
        <v>16</v>
      </c>
      <c r="R57" s="2">
        <v>11.5</v>
      </c>
      <c r="S57" s="2">
        <v>9</v>
      </c>
      <c r="T57" s="2">
        <v>17</v>
      </c>
      <c r="U57" s="62">
        <v>10.844827586206897</v>
      </c>
    </row>
    <row r="58" spans="1:21" ht="15.75" x14ac:dyDescent="0.25">
      <c r="B58" s="13" t="s">
        <v>22</v>
      </c>
      <c r="C58" s="13"/>
      <c r="D58" s="13"/>
      <c r="E58" s="14">
        <f t="shared" ref="E58:T58" si="1">AVERAGE(E44:E50)</f>
        <v>12</v>
      </c>
      <c r="F58" s="14">
        <f t="shared" si="1"/>
        <v>9.5</v>
      </c>
      <c r="G58" s="14">
        <f t="shared" si="1"/>
        <v>10.25</v>
      </c>
      <c r="H58" s="14">
        <f t="shared" si="1"/>
        <v>11.416666666666666</v>
      </c>
      <c r="I58" s="14">
        <f t="shared" si="1"/>
        <v>15.5</v>
      </c>
      <c r="J58" s="14">
        <f t="shared" si="1"/>
        <v>12.416666666666666</v>
      </c>
      <c r="K58" s="14">
        <f t="shared" si="1"/>
        <v>7.416666666666667</v>
      </c>
      <c r="L58" s="14">
        <f t="shared" si="1"/>
        <v>12.25</v>
      </c>
      <c r="M58" s="14">
        <f t="shared" si="1"/>
        <v>14</v>
      </c>
      <c r="N58" s="14">
        <f t="shared" si="1"/>
        <v>11.333333333333334</v>
      </c>
      <c r="O58" s="14">
        <f t="shared" si="1"/>
        <v>9.8333333333333339</v>
      </c>
      <c r="P58" s="14">
        <f t="shared" si="1"/>
        <v>12</v>
      </c>
      <c r="Q58" s="14">
        <f t="shared" si="1"/>
        <v>15.583333333333334</v>
      </c>
      <c r="R58" s="14">
        <f t="shared" si="1"/>
        <v>13.25</v>
      </c>
      <c r="S58" s="14">
        <f t="shared" si="1"/>
        <v>8.5</v>
      </c>
      <c r="T58" s="14">
        <f t="shared" si="1"/>
        <v>16.5</v>
      </c>
      <c r="U58" s="63">
        <f>AVERAGE(U44:U55)</f>
        <v>11.844827586206895</v>
      </c>
    </row>
    <row r="60" spans="1:21" s="10" customFormat="1" x14ac:dyDescent="0.25">
      <c r="A60"/>
      <c r="B60"/>
      <c r="C60"/>
      <c r="D60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25">
      <c r="B61" s="92" t="s">
        <v>148</v>
      </c>
      <c r="C61" s="92"/>
      <c r="D61" s="92"/>
      <c r="F61" s="94"/>
      <c r="G61" s="94"/>
      <c r="H61" s="94"/>
      <c r="J61" s="92" t="s">
        <v>149</v>
      </c>
      <c r="K61" s="92"/>
      <c r="L61" s="92"/>
      <c r="M61" s="94"/>
      <c r="Q61" s="92" t="s">
        <v>150</v>
      </c>
      <c r="R61" s="92"/>
      <c r="S61" s="92"/>
      <c r="T61" s="50"/>
      <c r="U61" s="50"/>
    </row>
    <row r="62" spans="1:21" x14ac:dyDescent="0.25">
      <c r="A62" s="48" t="s">
        <v>21</v>
      </c>
      <c r="B62" s="48" t="s">
        <v>0</v>
      </c>
      <c r="C62" s="48" t="s">
        <v>102</v>
      </c>
      <c r="D62" s="48" t="s">
        <v>101</v>
      </c>
      <c r="E62" s="48" t="s">
        <v>19</v>
      </c>
      <c r="F62" s="93"/>
      <c r="G62" s="49" t="s">
        <v>21</v>
      </c>
      <c r="H62" s="49" t="s">
        <v>0</v>
      </c>
      <c r="I62" s="49" t="s">
        <v>102</v>
      </c>
      <c r="J62" s="49" t="s">
        <v>101</v>
      </c>
      <c r="K62" s="104" t="s">
        <v>19</v>
      </c>
      <c r="L62" s="105"/>
      <c r="M62" s="94"/>
      <c r="N62" s="64" t="s">
        <v>21</v>
      </c>
      <c r="O62" s="64" t="s">
        <v>0</v>
      </c>
      <c r="P62" s="64" t="s">
        <v>102</v>
      </c>
      <c r="Q62" s="64" t="s">
        <v>101</v>
      </c>
      <c r="R62" s="106" t="s">
        <v>19</v>
      </c>
      <c r="S62" s="107"/>
    </row>
    <row r="63" spans="1:21" ht="15.75" x14ac:dyDescent="0.25">
      <c r="A63" s="54" t="s">
        <v>106</v>
      </c>
      <c r="B63" s="55" t="str">
        <f>INDEX(B5:B15,MATCH(A63:A73,A5:A15,0))</f>
        <v>ONANINA LANDRY JAMES</v>
      </c>
      <c r="C63" s="55" t="str">
        <f>INDEX(C5:C15,MATCH(B63:B73,B5:B15,0))</f>
        <v>M</v>
      </c>
      <c r="D63" s="56">
        <f>INDEX(D5:D15,MATCH(B63:B73,B5:B15,0))</f>
        <v>250324012</v>
      </c>
      <c r="E63" s="55">
        <f>INDEX(U5:U17,MATCH(D63:D75,D5:D17,0))</f>
        <v>13.620689655172415</v>
      </c>
      <c r="F63" s="93"/>
      <c r="G63" s="54" t="s">
        <v>106</v>
      </c>
      <c r="H63" s="55" t="str">
        <f>INDEX(B21:B32,MATCH(G63:G73,A21:A32,0))</f>
        <v>AYANGMA RODNEY JOHAN</v>
      </c>
      <c r="I63" s="55" t="str">
        <f>INDEX(C21:C32,MATCH(H63:H73,B21:B32,0))</f>
        <v>M</v>
      </c>
      <c r="J63" s="56">
        <f>INDEX(D21:D32,MATCH(H63:H74,B21:B32,0))</f>
        <v>250323861</v>
      </c>
      <c r="K63" s="88">
        <f>INDEX(U21:U33,MATCH(J63:J75,D21:D33,0))</f>
        <v>13.224137931034482</v>
      </c>
      <c r="L63" s="89" t="e">
        <f>INDEX(F21:F32,MATCH(K63:K73,E21:E32,0))</f>
        <v>#N/A</v>
      </c>
      <c r="M63" s="94"/>
      <c r="N63" s="54" t="s">
        <v>106</v>
      </c>
      <c r="O63" s="55" t="str">
        <f>INDEX(B44:B55,MATCH(N63:N74,A44:A55,0))</f>
        <v>ONANINA LANDRY JAMES</v>
      </c>
      <c r="P63" s="55" t="str">
        <f>INDEX(C44:C55,MATCH(O63:O74,B44:B55,0))</f>
        <v>M</v>
      </c>
      <c r="Q63" s="56">
        <f>INDEX(D44:D55,MATCH(O63:O74,B44:B55,0))</f>
        <v>250324012</v>
      </c>
      <c r="R63" s="90">
        <f>INDEX(U44:U55,MATCH(Q63:Q74,D44:D55,0))</f>
        <v>13.21551724137931</v>
      </c>
      <c r="S63" s="91" t="e">
        <f>INDEX(M21:M32,MATCH(R63:R73,L21:L32,0))</f>
        <v>#N/A</v>
      </c>
    </row>
    <row r="64" spans="1:21" ht="15.75" x14ac:dyDescent="0.25">
      <c r="A64" s="54" t="s">
        <v>107</v>
      </c>
      <c r="B64" s="55" t="str">
        <f>INDEX(B6:B18,MATCH(A64:A76,A6:A18,0))</f>
        <v>POUABE HENRY PRINCE</v>
      </c>
      <c r="C64" s="55" t="str">
        <f>INDEX(C6:C16,MATCH(B64:B74,B6:B16,0))</f>
        <v>M</v>
      </c>
      <c r="D64" s="56">
        <f>INDEX(D6:D16,MATCH(B64:B74,B6:B16,0))</f>
        <v>250324055</v>
      </c>
      <c r="E64" s="55">
        <f>INDEX(U6:U18,MATCH(D64:D76,D6:D18,0))</f>
        <v>12.706896551724139</v>
      </c>
      <c r="F64" s="93"/>
      <c r="G64" s="54" t="s">
        <v>107</v>
      </c>
      <c r="H64" s="55" t="str">
        <f>INDEX(B21:B32,MATCH(G64:G74,A21:A32,0))</f>
        <v>MBOUE MINLO SANDRINE</v>
      </c>
      <c r="I64" s="55" t="str">
        <f>INDEX(C22:C35,MATCH(H64:H74,B22:B35,0))</f>
        <v>F</v>
      </c>
      <c r="J64" s="56">
        <f>INDEX(D22:D35,MATCH(H64:H76,B22:B35,0))</f>
        <v>250330566</v>
      </c>
      <c r="K64" s="88">
        <f>INDEX(U22:U35,MATCH(J64:J76,D22:D35,0))</f>
        <v>13.137931034482758</v>
      </c>
      <c r="L64" s="89" t="e">
        <f>INDEX(F22:F35,MATCH(K64:K74,E22:E35,0))</f>
        <v>#N/A</v>
      </c>
      <c r="M64" s="94"/>
      <c r="N64" s="54" t="s">
        <v>107</v>
      </c>
      <c r="O64" s="55" t="str">
        <f>INDEX(B45:B58,MATCH(N64:N76,A45:A58,0))</f>
        <v>MBOUE MINLO SANDRINE</v>
      </c>
      <c r="P64" s="55" t="str">
        <f>INDEX(C45:C58,MATCH(O64:O76,B45:B58,0))</f>
        <v>F</v>
      </c>
      <c r="Q64" s="56">
        <f>INDEX(D45:D58,MATCH(O64:O76,B45:B58,0))</f>
        <v>250330566</v>
      </c>
      <c r="R64" s="90">
        <f>INDEX(U45:U58,MATCH(Q64:Q76,D45:D58,0))</f>
        <v>13.137931034482758</v>
      </c>
      <c r="S64" s="91" t="e">
        <f>INDEX(M22:M35,MATCH(R64:R74,L22:L35,0))</f>
        <v>#N/A</v>
      </c>
    </row>
    <row r="65" spans="1:20" ht="15.75" x14ac:dyDescent="0.25">
      <c r="A65" s="54" t="s">
        <v>108</v>
      </c>
      <c r="B65" s="55" t="str">
        <f>INDEX(B7:B19,MATCH(A65:A77,A7:A19,0))</f>
        <v>BENGONO PAUL MAGLOIRE</v>
      </c>
      <c r="C65" s="55" t="str">
        <f>INDEX(C7:C17,MATCH(B65:B75,B7:B17,0))</f>
        <v>M</v>
      </c>
      <c r="D65" s="56">
        <f>INDEX(D7:D17,MATCH(B65:B75,B7:B17,0))</f>
        <v>250048896</v>
      </c>
      <c r="E65" s="55">
        <f>INDEX(U7:U19,MATCH(D65:D77,D7:D19,0))</f>
        <v>11.758620689655173</v>
      </c>
      <c r="F65" s="93"/>
      <c r="G65" s="54" t="s">
        <v>108</v>
      </c>
      <c r="H65" s="55" t="str">
        <f>INDEX(B23:B36,MATCH(G65:G76,A23:A36,0))</f>
        <v>ONANINA LANDRY JAMES</v>
      </c>
      <c r="I65" s="55" t="str">
        <f>INDEX(C23:C36,MATCH(H65:H76,B23:B36,0))</f>
        <v>M</v>
      </c>
      <c r="J65" s="56">
        <f>INDEX(D23:D36,MATCH(H65:H77,B23:B36,0))</f>
        <v>250324012</v>
      </c>
      <c r="K65" s="88">
        <f>INDEX(U23:U36,MATCH(J65:J77,D23:D36,0))</f>
        <v>12.810344827586206</v>
      </c>
      <c r="L65" s="89" t="e">
        <f>INDEX(F23:F36,MATCH(K65:K76,E23:E36,0))</f>
        <v>#N/A</v>
      </c>
      <c r="M65" s="94"/>
      <c r="N65" s="54" t="s">
        <v>108</v>
      </c>
      <c r="O65" s="55" t="str">
        <f>INDEX(B46:B59,MATCH(N65:N77,A46:A59,0))</f>
        <v>POUABE HENRY PRINCE</v>
      </c>
      <c r="P65" s="55" t="str">
        <f>INDEX(C46:C59,MATCH(O65:O77,B46:B59,0))</f>
        <v>M</v>
      </c>
      <c r="Q65" s="56">
        <f>INDEX(D46:D59,MATCH(O65:O77,B46:B59,0))</f>
        <v>250324055</v>
      </c>
      <c r="R65" s="90">
        <f>INDEX(U46:U59,MATCH(Q65:Q77,D46:D59,0))</f>
        <v>12.655172413793103</v>
      </c>
      <c r="S65" s="91" t="e">
        <f>INDEX(M23:M36,MATCH(R65:R76,L23:L36,0))</f>
        <v>#N/A</v>
      </c>
    </row>
    <row r="66" spans="1:20" ht="15.75" x14ac:dyDescent="0.25">
      <c r="A66" s="54" t="s">
        <v>109</v>
      </c>
      <c r="B66" s="55" t="str">
        <f>INDEX(B8:B19,MATCH(A66:A78,A8:A19,0))</f>
        <v>FONSSO ELOUNDOU ALEX</v>
      </c>
      <c r="C66" s="55" t="str">
        <f>INDEX(C8:C18,MATCH(B66:B76,B8:B18,0))</f>
        <v>M</v>
      </c>
      <c r="D66" s="56" t="str">
        <f>INDEX(D8:D18,MATCH(B66:B76,B8:B18,0))</f>
        <v>PAS</v>
      </c>
      <c r="E66" s="55">
        <f>INDEX(U8:U19,MATCH(D66:D78,D8:D19,0))</f>
        <v>10.827586206896552</v>
      </c>
      <c r="F66" s="93"/>
      <c r="G66" s="54" t="s">
        <v>109</v>
      </c>
      <c r="H66" s="55" t="str">
        <f>INDEX(B21:B32,MATCH(G66:G78,A21:A32,0))</f>
        <v>POUABE HENRY PRINCE</v>
      </c>
      <c r="I66" s="55" t="str">
        <f>INDEX(C24:C37,MATCH(H66:H77,B24:B37,0))</f>
        <v>M</v>
      </c>
      <c r="J66" s="56">
        <f>INDEX(D24:D37,MATCH(H66:H78,B24:B37,0))</f>
        <v>250324055</v>
      </c>
      <c r="K66" s="88">
        <f>INDEX(U24:U37,MATCH(J66:J78,D24:D37,0))</f>
        <v>12.603448275862069</v>
      </c>
      <c r="L66" s="89" t="e">
        <f>INDEX(F24:F37,MATCH(K66:K77,E24:E37,0))</f>
        <v>#N/A</v>
      </c>
      <c r="M66" s="94"/>
      <c r="N66" s="54" t="s">
        <v>109</v>
      </c>
      <c r="O66" s="55" t="str">
        <f>INDEX(B47:B60,MATCH(N66:N78,A47:A60,0))</f>
        <v>BENGONO PAUL MAGLOIRE</v>
      </c>
      <c r="P66" s="55" t="str">
        <f>INDEX(C47:C60,MATCH(O66:O78,B47:B60,0))</f>
        <v>M</v>
      </c>
      <c r="Q66" s="56">
        <f>INDEX(D47:D60,MATCH(O66:O78,B47:B60,0))</f>
        <v>250048896</v>
      </c>
      <c r="R66" s="90">
        <f>INDEX(U47:U60,MATCH(Q66:Q78,D47:D60,0))</f>
        <v>12.112068965517242</v>
      </c>
      <c r="S66" s="91" t="e">
        <f>INDEX(M24:M37,MATCH(R66:R77,L24:L37,0))</f>
        <v>#N/A</v>
      </c>
    </row>
    <row r="67" spans="1:20" ht="15.75" x14ac:dyDescent="0.25">
      <c r="A67" s="54" t="s">
        <v>110</v>
      </c>
      <c r="B67" s="55" t="str">
        <f>INDEX(B5:B17,MATCH(A67:A79,A5:A17,0))</f>
        <v>LOMA JEANNE MELANIE</v>
      </c>
      <c r="C67" s="55" t="str">
        <f>INDEX(C5:C17,MATCH(B67:B77,B5:B17,0))</f>
        <v>F</v>
      </c>
      <c r="D67" s="56">
        <f>INDEX(D5:D17,MATCH(B67:B77,B5:B17,0))</f>
        <v>250323949</v>
      </c>
      <c r="E67" s="55">
        <f>INDEX(U5:U17,MATCH(D67:D79,D5:D17,0))</f>
        <v>10.758620689655173</v>
      </c>
      <c r="F67" s="93"/>
      <c r="G67" s="54" t="s">
        <v>110</v>
      </c>
      <c r="H67" s="55" t="str">
        <f>INDEX(B21:B32,MATCH(G67:G78,A21:A32,0))</f>
        <v>BENGONO PAUL MAGLOIRE</v>
      </c>
      <c r="I67" s="55" t="str">
        <f>INDEX(C21:C32,MATCH(H67:H78,B21:B32,0))</f>
        <v>M</v>
      </c>
      <c r="J67" s="56">
        <f>INDEX(D21:D32,MATCH(H63:H74,B21:B32,0))</f>
        <v>250048896</v>
      </c>
      <c r="K67" s="88">
        <f>INDEX(U20:U30,MATCH(J61:J72,D20:D30,0))</f>
        <v>12.46551724137931</v>
      </c>
      <c r="L67" s="89" t="e">
        <f>INDEX(F25:F38,MATCH(K67:K78,E25:E38,0))</f>
        <v>#N/A</v>
      </c>
      <c r="M67" s="94"/>
      <c r="N67" s="54" t="s">
        <v>110</v>
      </c>
      <c r="O67" s="55" t="str">
        <f>INDEX(B44:B56,MATCH(N67:N79,A44:A56,0))</f>
        <v>AYANGMA RODNEY JOHAN</v>
      </c>
      <c r="P67" s="55" t="str">
        <f>INDEX(C44:C56,MATCH(O67:O79,B44:B56,0))</f>
        <v>M</v>
      </c>
      <c r="Q67" s="56">
        <f>INDEX(D44:D56,MATCH(O67:O79,B44:B56,0))</f>
        <v>250323861</v>
      </c>
      <c r="R67" s="90">
        <f>INDEX(U44:U56,MATCH(Q67:Q79,D44:D56,0))</f>
        <v>11.974137931034482</v>
      </c>
      <c r="S67" s="91" t="e">
        <f>INDEX(M25:M38,MATCH(R67:R78,L25:L38,0))</f>
        <v>#N/A</v>
      </c>
    </row>
    <row r="68" spans="1:20" ht="15.75" x14ac:dyDescent="0.25">
      <c r="A68" s="54" t="s">
        <v>111</v>
      </c>
      <c r="B68" s="55" t="str">
        <f>INDEX(B7:B19,MATCH(A68:A73,A7:A19,0))</f>
        <v>AYANGMA RODNEY JOHAN</v>
      </c>
      <c r="C68" s="55" t="e">
        <f>INDEX(C10:C19,MATCH(B68:B78,B10:B19,0))</f>
        <v>#N/A</v>
      </c>
      <c r="D68" s="56" t="e">
        <f>INDEX(D10:D19,MATCH(B68:B78,B10:B19,0))</f>
        <v>#N/A</v>
      </c>
      <c r="E68" s="55" t="e">
        <f>INDEX(U5:U17,MATCH(D68:D80,D5:D17,0))</f>
        <v>#N/A</v>
      </c>
      <c r="F68" s="93"/>
      <c r="G68" s="54" t="s">
        <v>111</v>
      </c>
      <c r="H68" s="55" t="str">
        <f>INDEX(B22:B35,MATCH(G68:G79,A22:A35,0))</f>
        <v>NGONO BENGONO</v>
      </c>
      <c r="I68" s="55" t="str">
        <f>INDEX(C22:C35,MATCH(H68:H79,B22:B35,0))</f>
        <v>M</v>
      </c>
      <c r="J68" s="56" t="str">
        <f>INDEX(D22:D35,MATCH(H64:H76,B22:B35,0))</f>
        <v>PAS</v>
      </c>
      <c r="K68" s="88">
        <f>INDEX(U26:U39,MATCH(J68:J80,D26:D39,0))</f>
        <v>0</v>
      </c>
      <c r="L68" s="89" t="e">
        <f>INDEX(F26:F39,MATCH(K68:K79,E26:E39,0))</f>
        <v>#N/A</v>
      </c>
      <c r="M68" s="94"/>
      <c r="N68" s="54" t="s">
        <v>111</v>
      </c>
      <c r="O68" s="55" t="e">
        <f>INDEX(B44:B55,MATCH(N63:N74,A44:A55,0))</f>
        <v>#N/A</v>
      </c>
      <c r="P68" s="55" t="e">
        <f>INDEX(C44:C55,MATCH(O63:O74,B44:B55,0))</f>
        <v>#N/A</v>
      </c>
      <c r="Q68" s="56" t="e">
        <f>INDEX(D44:D55,MATCH(O63:O74,B44:B55,0))</f>
        <v>#N/A</v>
      </c>
      <c r="R68" s="90" t="e">
        <f>INDEX(U44:U55,MATCH(Q63:Q74,D44:D55,0))</f>
        <v>#N/A</v>
      </c>
      <c r="S68" s="91" t="e">
        <f>INDEX(M26:M39,MATCH(R68:R79,L26:L39,0))</f>
        <v>#N/A</v>
      </c>
    </row>
    <row r="69" spans="1:20" ht="15.75" x14ac:dyDescent="0.25">
      <c r="A69" s="54" t="s">
        <v>112</v>
      </c>
      <c r="B69" s="55" t="str">
        <f>INDEX(B11:B20,MATCH(A69:A81,A11:A20,0))</f>
        <v>EBOUKA MALAÏKA</v>
      </c>
      <c r="C69" s="55" t="str">
        <f>INDEX(C11:C19,MATCH(B69:B79,B11:B19,0))</f>
        <v>F</v>
      </c>
      <c r="D69" s="56">
        <f>INDEX(D11:D19,MATCH(B69:B79,B11:B19,0))</f>
        <v>250323775</v>
      </c>
      <c r="E69" s="55">
        <f>INDEX(U11:U20,MATCH(D69:D81,D11:D20,0))</f>
        <v>9.2413793103448274</v>
      </c>
      <c r="F69" s="93"/>
      <c r="G69" s="54" t="s">
        <v>112</v>
      </c>
      <c r="H69" s="55" t="str">
        <f>INDEX(B21:B32,MATCH(G69:G80,A21:A32,0))</f>
        <v>LOMA JEANNE MELANIE</v>
      </c>
      <c r="I69" s="55" t="str">
        <f>INDEX(C21:C32,MATCH(H69:H80,B21:B32,0))</f>
        <v>F</v>
      </c>
      <c r="J69" s="56">
        <f>INDEX(D21:D32,MATCH(H63:H74,B21:B32,0))</f>
        <v>250323949</v>
      </c>
      <c r="K69" s="88">
        <f>INDEX(U21:U32,MATCH(J63:J74,D21:D32,0))</f>
        <v>10.396551724137931</v>
      </c>
      <c r="L69" s="89" t="e">
        <f>INDEX(F27:F40,MATCH(K69:K80,E27:E40,0))</f>
        <v>#N/A</v>
      </c>
      <c r="M69" s="94"/>
      <c r="N69" s="54" t="s">
        <v>112</v>
      </c>
      <c r="O69" s="55" t="str">
        <f>INDEX(B45:B58,MATCH(N64:N76,A45:A58,0))</f>
        <v>FONSSO ELOUNDOU ALEX</v>
      </c>
      <c r="P69" s="55" t="str">
        <f>INDEX(C45:C58,MATCH(O64:O76,B45:B58,0))</f>
        <v>M</v>
      </c>
      <c r="Q69" s="56" t="str">
        <f>INDEX(D45:D58,MATCH(O64:O76,B45:B58,0))</f>
        <v>PAS</v>
      </c>
      <c r="R69" s="90">
        <f>INDEX(U45:U58,MATCH(Q64:Q76,D45:D58,0))</f>
        <v>10.827586206896552</v>
      </c>
      <c r="S69" s="91" t="e">
        <f>INDEX(M27:M40,MATCH(R69:R80,L27:L40,0))</f>
        <v>#N/A</v>
      </c>
    </row>
    <row r="70" spans="1:20" ht="15.75" x14ac:dyDescent="0.25">
      <c r="A70" s="54" t="s">
        <v>113</v>
      </c>
      <c r="B70" s="55" t="e">
        <f>INDEX(B9:B21,MATCH(A70:A82,A9:A21,0))</f>
        <v>#N/A</v>
      </c>
      <c r="C70" s="55" t="e">
        <f>INDEX(C12:C19,MATCH(B70:B80,B12:B19,0))</f>
        <v>#N/A</v>
      </c>
      <c r="D70" s="56" t="e">
        <f>INDEX(D12:D19,MATCH(B70:B80,B12:B19,0))</f>
        <v>#N/A</v>
      </c>
      <c r="E70" s="55" t="e">
        <f>INDEX(U12:U21,MATCH(D70:D82,D12:D21,0))</f>
        <v>#N/A</v>
      </c>
      <c r="F70" s="93"/>
      <c r="G70" s="54" t="s">
        <v>113</v>
      </c>
      <c r="H70" s="55" t="e">
        <f>INDEX(B21:B32,MATCH(G70:G81,A21:A32,0))</f>
        <v>#N/A</v>
      </c>
      <c r="I70" s="55" t="e">
        <f>INDEX(C22:C35,MATCH(H70:H81,B22:B35,0))</f>
        <v>#N/A</v>
      </c>
      <c r="J70" s="56" t="e">
        <f>INDEX(D22:D35,MATCH(H64:H76,B22:B35,0))</f>
        <v>#N/A</v>
      </c>
      <c r="K70" s="88" t="e">
        <f>INDEX(U22:U35,MATCH(J64:J76,D22:D35,0))</f>
        <v>#N/A</v>
      </c>
      <c r="L70" s="89" t="e">
        <f>INDEX(F28:F41,MATCH(K70:K81,E28:E41,0))</f>
        <v>#N/A</v>
      </c>
      <c r="M70" s="94"/>
      <c r="N70" s="54" t="s">
        <v>113</v>
      </c>
      <c r="O70" s="55" t="str">
        <f>INDEX(B46:B59,MATCH(N65:N77,A46:A59,0))</f>
        <v>LOMA JEANNE MELANIE</v>
      </c>
      <c r="P70" s="55" t="str">
        <f>INDEX(C46:C59,MATCH(O65:O77,B46:B59,0))</f>
        <v>F</v>
      </c>
      <c r="Q70" s="56">
        <f>INDEX(D46:D59,MATCH(O65:O77,B46:B59,0))</f>
        <v>250323949</v>
      </c>
      <c r="R70" s="90">
        <f>INDEX(U46:U59,MATCH(Q65:Q77,D46:D59,0))</f>
        <v>10.577586206896552</v>
      </c>
      <c r="S70" s="91" t="e">
        <f>INDEX(M28:M41,MATCH(R70:R81,L28:L41,0))</f>
        <v>#N/A</v>
      </c>
    </row>
    <row r="71" spans="1:20" ht="15.75" x14ac:dyDescent="0.25">
      <c r="A71" s="54" t="s">
        <v>114</v>
      </c>
      <c r="B71" s="55" t="e">
        <f>INDEX(B5:B22,MATCH(A71:A83,A5:A22,0))</f>
        <v>#N/A</v>
      </c>
      <c r="C71" s="55" t="e">
        <f>INDEX(C13:C20,MATCH(B71:B81,B13:B20,0))</f>
        <v>#N/A</v>
      </c>
      <c r="D71" s="56" t="e">
        <f>INDEX(D13:D20,MATCH(B71:B81,B13:B20,0))</f>
        <v>#N/A</v>
      </c>
      <c r="E71" s="55" t="e">
        <f>INDEX(U13:U22,MATCH(D71:D83,D13:D22,0))</f>
        <v>#N/A</v>
      </c>
      <c r="F71" s="93"/>
      <c r="G71" s="54" t="s">
        <v>114</v>
      </c>
      <c r="H71" s="55" t="e">
        <f>INDEX(B22:B35,MATCH(G71:G82,A22:A35,0))</f>
        <v>#N/A</v>
      </c>
      <c r="I71" s="55" t="e">
        <f>INDEX(C23:C36,MATCH(H71:H82,B23:B36,0))</f>
        <v>#N/A</v>
      </c>
      <c r="J71" s="56" t="e">
        <f>INDEX(D23:D36,MATCH(H65:H77,B23:B36,0))</f>
        <v>#N/A</v>
      </c>
      <c r="K71" s="88" t="e">
        <f>INDEX(U29:U42,MATCH(J71:J83,D29:D42,0))</f>
        <v>#N/A</v>
      </c>
      <c r="L71" s="89" t="e">
        <f>INDEX(F29:F42,MATCH(K71:K82,E29:E42,0))</f>
        <v>#N/A</v>
      </c>
      <c r="M71" s="94"/>
      <c r="N71" s="54" t="s">
        <v>114</v>
      </c>
      <c r="O71" s="55" t="str">
        <f>INDEX(B44:B55,MATCH(N66:N78,A44:A55,0))</f>
        <v>EBOUKA MALAÏKA</v>
      </c>
      <c r="P71" s="55" t="str">
        <f>INDEX(C44:C55,MATCH(O66:O78,B44:B55,0))</f>
        <v>F</v>
      </c>
      <c r="Q71" s="56">
        <f>INDEX(D44:D55,MATCH(O63:O74,B44:B55,0))</f>
        <v>250323775</v>
      </c>
      <c r="R71" s="90">
        <f>INDEX(U44:U55,MATCH(Q63:Q74,D44:D55,0))</f>
        <v>9.2413793103448274</v>
      </c>
      <c r="S71" s="91" t="e">
        <f>INDEX(M29:M42,MATCH(R71:R82,L29:L42,0))</f>
        <v>#N/A</v>
      </c>
    </row>
    <row r="72" spans="1:20" ht="15.75" x14ac:dyDescent="0.25">
      <c r="A72" s="54" t="s">
        <v>115</v>
      </c>
      <c r="B72" s="55" t="e">
        <f>INDEX(B6:B23,MATCH(A72:A84,A6:A23,0))</f>
        <v>#N/A</v>
      </c>
      <c r="C72" s="55" t="e">
        <f>INDEX(C14:C21,MATCH(B72:B82,B14:B21,0))</f>
        <v>#N/A</v>
      </c>
      <c r="D72" s="56" t="e">
        <f>INDEX(D14:D21,MATCH(B72:B82,B14:B21,0))</f>
        <v>#N/A</v>
      </c>
      <c r="E72" s="55" t="e">
        <f>INDEX(U14:U23,MATCH(D72:D84,D14:D23,0))</f>
        <v>#N/A</v>
      </c>
      <c r="F72" s="93"/>
      <c r="G72" s="54" t="s">
        <v>115</v>
      </c>
      <c r="H72" s="55" t="e">
        <f>INDEX(B23:B36,MATCH(G72:G83,A23:A36,0))</f>
        <v>#N/A</v>
      </c>
      <c r="I72" s="55" t="e">
        <f>INDEX(C24:C37,MATCH(H72:H83,B24:B37,0))</f>
        <v>#N/A</v>
      </c>
      <c r="J72" s="56" t="e">
        <f>INDEX(D24:D37,MATCH(H66:H78,B24:B37,0))</f>
        <v>#N/A</v>
      </c>
      <c r="K72" s="88" t="e">
        <f>INDEX(U24:U37,MATCH(J66:J78,D24:D37,0))</f>
        <v>#N/A</v>
      </c>
      <c r="L72" s="89" t="e">
        <f>INDEX(F30:F43,MATCH(K72:K83,E30:E43,0))</f>
        <v>#N/A</v>
      </c>
      <c r="M72" s="94"/>
      <c r="N72" s="54" t="s">
        <v>115</v>
      </c>
      <c r="O72" s="55" t="e">
        <f>INDEX(B44:B55,MATCH(N63:N74,A44:A55,0))</f>
        <v>#N/A</v>
      </c>
      <c r="P72" s="55" t="e">
        <f>INDEX(C44:C55,MATCH(O63:O74,B44:B55,0))</f>
        <v>#N/A</v>
      </c>
      <c r="Q72" s="56" t="e">
        <f>INDEX(D44:D55,MATCH(O63:O74,B44:B55,0))</f>
        <v>#N/A</v>
      </c>
      <c r="R72" s="90" t="e">
        <f>INDEX(U44:U55,MATCH(Q63:Q74,D44:D55,0))</f>
        <v>#N/A</v>
      </c>
      <c r="S72" s="91" t="e">
        <f>INDEX(M30:M43,MATCH(R72:R83,L30:L43,0))</f>
        <v>#N/A</v>
      </c>
    </row>
    <row r="73" spans="1:20" ht="15.75" x14ac:dyDescent="0.25">
      <c r="A73" s="54" t="s">
        <v>116</v>
      </c>
      <c r="B73" s="55" t="e">
        <f>INDEX(B15:B24,MATCH(A73:A85,A15:A24,0))</f>
        <v>#N/A</v>
      </c>
      <c r="C73" s="55" t="e">
        <f>INDEX(C15:C22,MATCH(B73:B83,B15:B22,0))</f>
        <v>#N/A</v>
      </c>
      <c r="D73" s="56" t="e">
        <f>INDEX(D15:D22,MATCH(B73:B83,B15:B22,0))</f>
        <v>#N/A</v>
      </c>
      <c r="E73" s="55" t="e">
        <f>INDEX(U15:U24,MATCH(D73:D85,D15:D24,0))</f>
        <v>#N/A</v>
      </c>
      <c r="F73" s="93"/>
      <c r="G73" s="54" t="s">
        <v>116</v>
      </c>
      <c r="H73" s="55" t="e">
        <f>INDEX(B21:B32,MATCH(G73:G84,A21:A32,0))</f>
        <v>#N/A</v>
      </c>
      <c r="I73" s="55" t="e">
        <f>INDEX(C21:C32,MATCH(H73:H84,B21:B32,0))</f>
        <v>#N/A</v>
      </c>
      <c r="J73" s="56" t="e">
        <f>INDEX(D21:D32,MATCH(H63:H74,B21:B32,0))</f>
        <v>#N/A</v>
      </c>
      <c r="K73" s="88" t="e">
        <f>INDEX(U31:U44,MATCH(J73:J85,D31:D44,0))</f>
        <v>#N/A</v>
      </c>
      <c r="L73" s="89" t="e">
        <f>INDEX(F31:F44,MATCH(K73:K84,E31:E44,0))</f>
        <v>#N/A</v>
      </c>
      <c r="M73" s="94"/>
      <c r="N73" s="54" t="s">
        <v>116</v>
      </c>
      <c r="O73" s="55" t="e">
        <f>INDEX(B44:B55,MATCH(N68:N80,A44:A55,0))</f>
        <v>#N/A</v>
      </c>
      <c r="P73" s="55" t="e">
        <f>INDEX(C44:C55,MATCH(O68:O80,B44:B55,0))</f>
        <v>#N/A</v>
      </c>
      <c r="Q73" s="56" t="e">
        <f>INDEX(D44:D55,MATCH(O64:O76,B44:B55,0))</f>
        <v>#N/A</v>
      </c>
      <c r="R73" s="90" t="e">
        <f>INDEX(U44:U55,MATCH(Q73:Q85,D44:D55,0))</f>
        <v>#N/A</v>
      </c>
      <c r="S73" s="91" t="e">
        <f>INDEX(M31:M44,MATCH(R73:R84,L31:L44,0))</f>
        <v>#N/A</v>
      </c>
    </row>
    <row r="74" spans="1:20" ht="15.75" x14ac:dyDescent="0.25">
      <c r="A74" s="54" t="s">
        <v>120</v>
      </c>
      <c r="B74" s="55" t="e">
        <f>INDEX(B16:B25,MATCH(A74:A86,A16:A25,0))</f>
        <v>#N/A</v>
      </c>
      <c r="C74" s="55" t="e">
        <f>INDEX(C16:C23,MATCH(B74:B84,B16:B23,0))</f>
        <v>#N/A</v>
      </c>
      <c r="D74" s="56" t="e">
        <f>INDEX(D16:D23,MATCH(B74:B84,B16:B23,0))</f>
        <v>#N/A</v>
      </c>
      <c r="E74" s="55" t="e">
        <f>INDEX(U16:U25,MATCH(D74:D86,D16:D25,0))</f>
        <v>#N/A</v>
      </c>
      <c r="F74" s="93"/>
      <c r="G74" s="54" t="s">
        <v>120</v>
      </c>
      <c r="H74" s="55" t="e">
        <f>INDEX(B22:B35,MATCH(G74:G85,A22:A35,0))</f>
        <v>#N/A</v>
      </c>
      <c r="I74" s="55" t="e">
        <f>INDEX(C22:C35,MATCH(H74:H85,B22:B35,0))</f>
        <v>#N/A</v>
      </c>
      <c r="J74" s="56" t="e">
        <f>INDEX(D22:D35,MATCH(H64:H76,B22:B35,0))</f>
        <v>#N/A</v>
      </c>
      <c r="K74" s="88" t="e">
        <f>INDEX(U32:U45,MATCH(J74:J86,D32:D45,0))</f>
        <v>#N/A</v>
      </c>
      <c r="L74" s="89" t="e">
        <f>INDEX(F32:F45,MATCH(K74:K85,E32:E45,0))</f>
        <v>#N/A</v>
      </c>
      <c r="M74" s="94"/>
      <c r="N74" s="54" t="s">
        <v>120</v>
      </c>
      <c r="O74" s="55" t="e">
        <f>INDEX(B50:B63,MATCH(N69:N81,A50:A63,0))</f>
        <v>#N/A</v>
      </c>
      <c r="P74" s="55" t="e">
        <f>INDEX(C46:C59,MATCH(O65:O77,B46:B59,0))</f>
        <v>#N/A</v>
      </c>
      <c r="Q74" s="56" t="e">
        <f>INDEX(D47:D60,MATCH(O66:O78,B47:B60,0))</f>
        <v>#N/A</v>
      </c>
      <c r="R74" s="90" t="e">
        <f>INDEX(U55:U68,MATCH(Q74:Q86,D55:D68,0))</f>
        <v>#N/A</v>
      </c>
      <c r="S74" s="91" t="e">
        <f>INDEX(M32:M45,MATCH(R74:R85,L32:L45,0))</f>
        <v>#N/A</v>
      </c>
    </row>
    <row r="75" spans="1:20" ht="15.75" x14ac:dyDescent="0.25">
      <c r="A75" s="79" t="s">
        <v>147</v>
      </c>
      <c r="B75" s="55" t="e">
        <f>INDEX(B17:B26,MATCH(A75:A87,A17:A26,0))</f>
        <v>#N/A</v>
      </c>
      <c r="C75" s="55" t="e">
        <f>INDEX(C17:C24,MATCH(B75:B85,B17:B24,0))</f>
        <v>#N/A</v>
      </c>
      <c r="D75" s="56" t="e">
        <f>INDEX(D17:D24,MATCH(B75:B85,B17:B24,0))</f>
        <v>#N/A</v>
      </c>
      <c r="E75" s="55" t="e">
        <f>INDEX(U17:U26,MATCH(D75:D87,D17:D26,0))</f>
        <v>#N/A</v>
      </c>
      <c r="F75" s="93"/>
      <c r="G75" s="79" t="s">
        <v>147</v>
      </c>
      <c r="H75" s="55" t="e">
        <f>INDEX(B23:B36,MATCH(G75:G86,A23:A36,0))</f>
        <v>#N/A</v>
      </c>
      <c r="I75" s="55" t="e">
        <f>INDEX(C23:C36,MATCH(H75:H86,B23:B36,0))</f>
        <v>#N/A</v>
      </c>
      <c r="J75" s="56" t="e">
        <f>INDEX(D23:D36,MATCH(H65:H77,B23:B36,0))</f>
        <v>#N/A</v>
      </c>
      <c r="K75" s="88" t="e">
        <f>INDEX(U33:U46,MATCH(J75:J87,D33:D46,0))</f>
        <v>#N/A</v>
      </c>
      <c r="L75" s="89" t="e">
        <f t="shared" ref="L75" si="2">INDEX(F33:F46,MATCH(K75:K86,E33:E46,0))</f>
        <v>#N/A</v>
      </c>
      <c r="M75" s="94"/>
      <c r="N75" s="79" t="s">
        <v>147</v>
      </c>
      <c r="O75" s="55" t="e">
        <f>INDEX(B51:B64,MATCH(N70:N82,A51:A64,0))</f>
        <v>#N/A</v>
      </c>
      <c r="P75" s="55" t="e">
        <f>INDEX(C47:C60,MATCH(O66:O78,B47:B60,0))</f>
        <v>#N/A</v>
      </c>
      <c r="Q75" s="56" t="e">
        <f>INDEX(D48:D61,MATCH(O67:O79,B48:B61,0))</f>
        <v>#N/A</v>
      </c>
      <c r="R75" s="90" t="e">
        <f>INDEX(U56:U69,MATCH(Q75:Q87,D56:D69,0))</f>
        <v>#N/A</v>
      </c>
      <c r="S75" s="91" t="e">
        <f t="shared" ref="S75" si="3">INDEX(M33:M46,MATCH(R75:R86,L33:L46,0))</f>
        <v>#N/A</v>
      </c>
    </row>
    <row r="76" spans="1:20" ht="15.75" x14ac:dyDescent="0.25">
      <c r="A76" s="98" t="s">
        <v>103</v>
      </c>
      <c r="B76" s="99"/>
      <c r="C76" s="99"/>
      <c r="D76" s="100"/>
      <c r="E76" s="80">
        <f>U18</f>
        <v>11.080459770114942</v>
      </c>
      <c r="F76" s="93"/>
      <c r="G76" s="95" t="s">
        <v>103</v>
      </c>
      <c r="H76" s="96"/>
      <c r="I76" s="96"/>
      <c r="J76" s="96"/>
      <c r="K76" s="97"/>
      <c r="L76" s="86">
        <f>U35</f>
        <v>12.439655172413792</v>
      </c>
      <c r="M76" s="94"/>
      <c r="O76" s="101" t="s">
        <v>103</v>
      </c>
      <c r="P76" s="102"/>
      <c r="Q76" s="102"/>
      <c r="R76" s="103"/>
      <c r="S76" s="87">
        <f>U58</f>
        <v>11.844827586206895</v>
      </c>
    </row>
    <row r="80" spans="1:20" x14ac:dyDescent="0.25">
      <c r="G80" s="58" t="s">
        <v>0</v>
      </c>
      <c r="H80" s="47" t="s">
        <v>88</v>
      </c>
      <c r="I80" s="47" t="s">
        <v>95</v>
      </c>
      <c r="J80" s="47" t="s">
        <v>89</v>
      </c>
      <c r="K80" s="47" t="s">
        <v>90</v>
      </c>
      <c r="L80" s="47" t="s">
        <v>94</v>
      </c>
      <c r="M80" s="47" t="s">
        <v>91</v>
      </c>
      <c r="N80" s="47" t="s">
        <v>92</v>
      </c>
      <c r="O80" s="47" t="s">
        <v>93</v>
      </c>
      <c r="P80" s="47" t="s">
        <v>96</v>
      </c>
      <c r="Q80" s="47" t="s">
        <v>97</v>
      </c>
      <c r="R80" s="47" t="s">
        <v>98</v>
      </c>
      <c r="S80" s="47" t="s">
        <v>119</v>
      </c>
      <c r="T80" s="47" t="s">
        <v>146</v>
      </c>
    </row>
    <row r="81" spans="7:20" x14ac:dyDescent="0.25">
      <c r="G81" s="58" t="s">
        <v>104</v>
      </c>
      <c r="H81" s="51" t="s">
        <v>117</v>
      </c>
      <c r="I81" s="51" t="s">
        <v>118</v>
      </c>
      <c r="J81" s="51" t="s">
        <v>117</v>
      </c>
      <c r="K81" s="51" t="s">
        <v>117</v>
      </c>
      <c r="L81" s="51" t="s">
        <v>117</v>
      </c>
      <c r="M81" s="51" t="s">
        <v>117</v>
      </c>
      <c r="N81" s="51" t="s">
        <v>118</v>
      </c>
      <c r="O81" s="51" t="s">
        <v>118</v>
      </c>
      <c r="P81" s="51" t="s">
        <v>117</v>
      </c>
      <c r="Q81" s="51" t="s">
        <v>117</v>
      </c>
      <c r="R81" s="51" t="s">
        <v>118</v>
      </c>
      <c r="S81" s="51" t="s">
        <v>118</v>
      </c>
      <c r="T81" s="51" t="s">
        <v>117</v>
      </c>
    </row>
    <row r="82" spans="7:20" ht="15.75" x14ac:dyDescent="0.25">
      <c r="G82" s="58" t="s">
        <v>105</v>
      </c>
      <c r="H82" s="56">
        <v>250330609</v>
      </c>
      <c r="I82" s="56">
        <v>250330718</v>
      </c>
      <c r="J82" s="56">
        <v>250323861</v>
      </c>
      <c r="K82" s="56">
        <v>250269442</v>
      </c>
      <c r="L82" s="56">
        <v>250330584</v>
      </c>
      <c r="M82" s="56">
        <v>250048896</v>
      </c>
      <c r="N82" s="56">
        <v>250323949</v>
      </c>
      <c r="O82" s="56">
        <v>250330566</v>
      </c>
      <c r="P82" s="56">
        <v>250324012</v>
      </c>
      <c r="Q82" s="56">
        <v>250324055</v>
      </c>
      <c r="R82" s="56">
        <v>250269410</v>
      </c>
      <c r="S82" s="56">
        <v>250323775</v>
      </c>
      <c r="T82" s="56" t="s">
        <v>151</v>
      </c>
    </row>
    <row r="83" spans="7:20" x14ac:dyDescent="0.25">
      <c r="G83" s="59" t="s">
        <v>1</v>
      </c>
      <c r="H83" s="2"/>
      <c r="I83" s="2"/>
      <c r="J83" s="2">
        <v>10</v>
      </c>
      <c r="K83" s="2"/>
      <c r="L83" s="2"/>
      <c r="M83" s="2">
        <v>12</v>
      </c>
      <c r="N83" s="2">
        <v>11</v>
      </c>
      <c r="O83" s="2"/>
      <c r="P83" s="2">
        <v>16</v>
      </c>
      <c r="Q83" s="2">
        <v>14.5</v>
      </c>
      <c r="R83" s="2"/>
      <c r="S83" s="2">
        <v>9</v>
      </c>
      <c r="T83" s="2">
        <v>10</v>
      </c>
    </row>
    <row r="84" spans="7:20" x14ac:dyDescent="0.25">
      <c r="G84" s="59" t="s">
        <v>16</v>
      </c>
      <c r="H84" s="2"/>
      <c r="I84" s="2"/>
      <c r="J84" s="2">
        <v>7</v>
      </c>
      <c r="K84" s="2"/>
      <c r="L84" s="2"/>
      <c r="M84" s="2">
        <v>10</v>
      </c>
      <c r="N84" s="2">
        <v>13</v>
      </c>
      <c r="O84" s="2"/>
      <c r="P84" s="2">
        <v>8</v>
      </c>
      <c r="Q84" s="2">
        <v>13</v>
      </c>
      <c r="R84" s="2"/>
      <c r="S84" s="2">
        <v>10</v>
      </c>
      <c r="T84" s="2">
        <v>7</v>
      </c>
    </row>
    <row r="85" spans="7:20" x14ac:dyDescent="0.25">
      <c r="G85" s="59" t="s">
        <v>17</v>
      </c>
      <c r="H85" s="2"/>
      <c r="I85" s="2"/>
      <c r="J85" s="2">
        <v>10</v>
      </c>
      <c r="K85" s="2"/>
      <c r="L85" s="2"/>
      <c r="M85" s="2">
        <v>10</v>
      </c>
      <c r="N85" s="2">
        <v>9.5</v>
      </c>
      <c r="O85" s="2"/>
      <c r="P85" s="2">
        <v>12</v>
      </c>
      <c r="Q85" s="2">
        <v>9.5</v>
      </c>
      <c r="R85" s="2"/>
      <c r="S85" s="2">
        <v>9.5</v>
      </c>
      <c r="T85" s="2">
        <v>9</v>
      </c>
    </row>
    <row r="86" spans="7:20" ht="15.75" customHeight="1" x14ac:dyDescent="0.25">
      <c r="G86" s="59" t="s">
        <v>9</v>
      </c>
      <c r="H86" s="2"/>
      <c r="I86" s="2"/>
      <c r="J86" s="2">
        <v>11.5</v>
      </c>
      <c r="K86" s="2"/>
      <c r="L86" s="2"/>
      <c r="M86" s="2">
        <v>9</v>
      </c>
      <c r="N86" s="2">
        <v>9</v>
      </c>
      <c r="O86" s="2"/>
      <c r="P86" s="2">
        <v>14</v>
      </c>
      <c r="Q86" s="2">
        <v>18</v>
      </c>
      <c r="R86" s="2"/>
      <c r="S86" s="2">
        <v>6</v>
      </c>
      <c r="T86" s="2">
        <v>12</v>
      </c>
    </row>
    <row r="87" spans="7:20" x14ac:dyDescent="0.25">
      <c r="G87" s="59" t="s">
        <v>15</v>
      </c>
      <c r="H87" s="2"/>
      <c r="I87" s="2"/>
      <c r="J87" s="2">
        <v>15</v>
      </c>
      <c r="K87" s="2"/>
      <c r="L87" s="2"/>
      <c r="M87" s="2">
        <v>15</v>
      </c>
      <c r="N87" s="2">
        <v>15</v>
      </c>
      <c r="O87" s="2"/>
      <c r="P87" s="2">
        <v>15</v>
      </c>
      <c r="Q87" s="2">
        <v>15</v>
      </c>
      <c r="R87" s="2"/>
      <c r="S87" s="2">
        <v>15</v>
      </c>
      <c r="T87" s="2">
        <v>15</v>
      </c>
    </row>
    <row r="88" spans="7:20" x14ac:dyDescent="0.25">
      <c r="G88" s="59" t="s">
        <v>10</v>
      </c>
      <c r="H88" s="2"/>
      <c r="I88" s="2"/>
      <c r="J88" s="2">
        <v>8</v>
      </c>
      <c r="K88" s="2"/>
      <c r="L88" s="2"/>
      <c r="M88" s="2">
        <v>11</v>
      </c>
      <c r="N88" s="2">
        <v>12</v>
      </c>
      <c r="O88" s="2"/>
      <c r="P88" s="2">
        <v>12</v>
      </c>
      <c r="Q88" s="2">
        <v>10</v>
      </c>
      <c r="R88" s="2"/>
      <c r="S88" s="2">
        <v>6</v>
      </c>
      <c r="T88" s="2">
        <v>8</v>
      </c>
    </row>
    <row r="89" spans="7:20" x14ac:dyDescent="0.25">
      <c r="G89" s="59" t="s">
        <v>11</v>
      </c>
      <c r="H89" s="2"/>
      <c r="I89" s="2"/>
      <c r="J89" s="2">
        <v>10</v>
      </c>
      <c r="K89" s="2"/>
      <c r="L89" s="2"/>
      <c r="M89" s="2">
        <v>8</v>
      </c>
      <c r="N89" s="2">
        <v>8.5</v>
      </c>
      <c r="O89" s="2"/>
      <c r="P89" s="2">
        <v>15</v>
      </c>
      <c r="Q89" s="2">
        <v>10.5</v>
      </c>
      <c r="R89" s="2"/>
      <c r="S89" s="2">
        <v>8</v>
      </c>
      <c r="T89" s="2">
        <v>9</v>
      </c>
    </row>
    <row r="90" spans="7:20" x14ac:dyDescent="0.25">
      <c r="G90" s="59" t="s">
        <v>23</v>
      </c>
      <c r="H90" s="2"/>
      <c r="I90" s="2"/>
      <c r="J90" s="2">
        <v>10</v>
      </c>
      <c r="K90" s="2"/>
      <c r="L90" s="2"/>
      <c r="M90" s="2">
        <v>12</v>
      </c>
      <c r="N90" s="2">
        <v>9</v>
      </c>
      <c r="O90" s="2"/>
      <c r="P90" s="2">
        <v>12</v>
      </c>
      <c r="Q90" s="2">
        <v>10</v>
      </c>
      <c r="R90" s="2"/>
      <c r="S90" s="2">
        <v>9</v>
      </c>
      <c r="T90" s="2">
        <v>8.5</v>
      </c>
    </row>
    <row r="91" spans="7:20" x14ac:dyDescent="0.25">
      <c r="G91" s="59" t="s">
        <v>4</v>
      </c>
      <c r="H91" s="2"/>
      <c r="I91" s="2"/>
      <c r="J91" s="2">
        <v>9</v>
      </c>
      <c r="K91" s="2"/>
      <c r="L91" s="2"/>
      <c r="M91" s="2">
        <v>16</v>
      </c>
      <c r="N91" s="2">
        <v>12</v>
      </c>
      <c r="O91" s="2"/>
      <c r="P91" s="2">
        <v>13</v>
      </c>
      <c r="Q91" s="2">
        <v>14</v>
      </c>
      <c r="R91" s="2"/>
      <c r="S91" s="2">
        <v>6</v>
      </c>
      <c r="T91" s="2">
        <v>13</v>
      </c>
    </row>
    <row r="92" spans="7:20" x14ac:dyDescent="0.25">
      <c r="G92" s="59" t="s">
        <v>12</v>
      </c>
      <c r="H92" s="2"/>
      <c r="I92" s="2"/>
      <c r="J92" s="2">
        <v>12</v>
      </c>
      <c r="K92" s="2"/>
      <c r="L92" s="2"/>
      <c r="M92" s="2">
        <v>11</v>
      </c>
      <c r="N92" s="2">
        <v>11</v>
      </c>
      <c r="O92" s="2"/>
      <c r="P92" s="2">
        <v>13.5</v>
      </c>
      <c r="Q92" s="2">
        <v>10</v>
      </c>
      <c r="R92" s="2"/>
      <c r="S92" s="2">
        <v>10</v>
      </c>
      <c r="T92" s="2">
        <v>15.5</v>
      </c>
    </row>
    <row r="93" spans="7:20" x14ac:dyDescent="0.25">
      <c r="G93" s="59" t="s">
        <v>13</v>
      </c>
      <c r="H93" s="2"/>
      <c r="I93" s="2"/>
      <c r="J93" s="2">
        <v>8</v>
      </c>
      <c r="K93" s="2"/>
      <c r="L93" s="2"/>
      <c r="M93" s="2">
        <v>12</v>
      </c>
      <c r="N93" s="2">
        <v>7</v>
      </c>
      <c r="O93" s="2"/>
      <c r="P93" s="2">
        <v>12</v>
      </c>
      <c r="Q93" s="2">
        <v>14</v>
      </c>
      <c r="R93" s="2"/>
      <c r="S93" s="2">
        <v>7</v>
      </c>
      <c r="T93" s="2">
        <v>9</v>
      </c>
    </row>
    <row r="94" spans="7:20" x14ac:dyDescent="0.25">
      <c r="G94" s="59" t="s">
        <v>100</v>
      </c>
      <c r="H94" s="2"/>
      <c r="I94" s="2"/>
      <c r="J94" s="2">
        <v>11</v>
      </c>
      <c r="K94" s="2"/>
      <c r="L94" s="2"/>
      <c r="M94" s="2">
        <v>13</v>
      </c>
      <c r="N94" s="2">
        <v>12</v>
      </c>
      <c r="O94" s="2"/>
      <c r="P94" s="2">
        <v>14</v>
      </c>
      <c r="Q94" s="2">
        <v>13</v>
      </c>
      <c r="R94" s="2"/>
      <c r="S94" s="2">
        <v>11</v>
      </c>
      <c r="T94" s="2">
        <v>13</v>
      </c>
    </row>
    <row r="95" spans="7:20" x14ac:dyDescent="0.25">
      <c r="G95" s="59" t="s">
        <v>6</v>
      </c>
      <c r="H95" s="2"/>
      <c r="I95" s="2"/>
      <c r="J95" s="2">
        <v>15</v>
      </c>
      <c r="K95" s="2"/>
      <c r="L95" s="2"/>
      <c r="M95" s="2">
        <v>15.5</v>
      </c>
      <c r="N95" s="2">
        <v>15</v>
      </c>
      <c r="O95" s="2"/>
      <c r="P95" s="2">
        <v>16.5</v>
      </c>
      <c r="Q95" s="2">
        <v>15</v>
      </c>
      <c r="R95" s="2"/>
      <c r="S95" s="2">
        <v>15</v>
      </c>
      <c r="T95" s="2">
        <v>14.5</v>
      </c>
    </row>
    <row r="96" spans="7:20" x14ac:dyDescent="0.25">
      <c r="G96" s="59" t="s">
        <v>7</v>
      </c>
      <c r="H96" s="2"/>
      <c r="I96" s="2"/>
      <c r="J96" s="2">
        <v>14</v>
      </c>
      <c r="K96" s="2"/>
      <c r="L96" s="2"/>
      <c r="M96" s="2">
        <v>15</v>
      </c>
      <c r="N96" s="2">
        <v>14</v>
      </c>
      <c r="O96" s="2"/>
      <c r="P96" s="2">
        <v>10</v>
      </c>
      <c r="Q96" s="2">
        <v>10</v>
      </c>
      <c r="R96" s="2"/>
      <c r="S96" s="2">
        <v>16</v>
      </c>
      <c r="T96" s="2">
        <v>11</v>
      </c>
    </row>
    <row r="97" spans="7:22" x14ac:dyDescent="0.25">
      <c r="G97" s="59" t="s">
        <v>99</v>
      </c>
      <c r="H97" s="2"/>
      <c r="I97" s="2"/>
      <c r="J97" s="2">
        <v>11</v>
      </c>
      <c r="K97" s="2"/>
      <c r="L97" s="2"/>
      <c r="M97" s="2">
        <v>11</v>
      </c>
      <c r="N97" s="2">
        <v>6</v>
      </c>
      <c r="O97" s="2"/>
      <c r="P97" s="2">
        <v>14</v>
      </c>
      <c r="Q97" s="2">
        <v>15</v>
      </c>
      <c r="R97" s="2"/>
      <c r="S97" s="2">
        <v>4</v>
      </c>
      <c r="T97" s="2">
        <v>7</v>
      </c>
    </row>
    <row r="98" spans="7:22" x14ac:dyDescent="0.25">
      <c r="G98" s="59" t="s">
        <v>14</v>
      </c>
      <c r="H98" s="2"/>
      <c r="I98" s="2"/>
      <c r="J98" s="2">
        <v>16</v>
      </c>
      <c r="K98" s="2"/>
      <c r="L98" s="2"/>
      <c r="M98" s="2">
        <v>16</v>
      </c>
      <c r="N98" s="2">
        <v>16</v>
      </c>
      <c r="O98" s="2"/>
      <c r="P98" s="2">
        <v>16</v>
      </c>
      <c r="Q98" s="2">
        <v>16</v>
      </c>
      <c r="R98" s="2"/>
      <c r="S98" s="2">
        <v>16</v>
      </c>
      <c r="T98" s="2">
        <v>16</v>
      </c>
    </row>
    <row r="101" spans="7:22" x14ac:dyDescent="0.25">
      <c r="G101" s="61" t="s">
        <v>0</v>
      </c>
      <c r="H101" s="47" t="s">
        <v>88</v>
      </c>
      <c r="I101" s="47" t="s">
        <v>95</v>
      </c>
      <c r="J101" s="47" t="s">
        <v>89</v>
      </c>
      <c r="K101" s="47" t="s">
        <v>90</v>
      </c>
      <c r="L101" s="47" t="s">
        <v>94</v>
      </c>
      <c r="M101" s="47" t="s">
        <v>91</v>
      </c>
      <c r="N101" s="47" t="s">
        <v>92</v>
      </c>
      <c r="O101" s="47" t="s">
        <v>93</v>
      </c>
      <c r="P101" s="47" t="s">
        <v>96</v>
      </c>
      <c r="Q101" s="47" t="s">
        <v>97</v>
      </c>
      <c r="R101" s="47" t="s">
        <v>98</v>
      </c>
      <c r="S101" s="47" t="s">
        <v>119</v>
      </c>
      <c r="T101" s="47" t="s">
        <v>146</v>
      </c>
      <c r="V101" s="183" t="s">
        <v>22</v>
      </c>
    </row>
    <row r="102" spans="7:22" x14ac:dyDescent="0.25">
      <c r="G102" s="61" t="e">
        <f>#REF!</f>
        <v>#REF!</v>
      </c>
      <c r="H102" s="51" t="s">
        <v>117</v>
      </c>
      <c r="I102" s="51" t="s">
        <v>118</v>
      </c>
      <c r="J102" s="51" t="s">
        <v>117</v>
      </c>
      <c r="K102" s="51" t="s">
        <v>117</v>
      </c>
      <c r="L102" s="51" t="s">
        <v>117</v>
      </c>
      <c r="M102" s="51" t="s">
        <v>117</v>
      </c>
      <c r="N102" s="51" t="s">
        <v>118</v>
      </c>
      <c r="O102" s="51" t="s">
        <v>118</v>
      </c>
      <c r="P102" s="51" t="s">
        <v>117</v>
      </c>
      <c r="Q102" s="51" t="s">
        <v>117</v>
      </c>
      <c r="R102" s="51" t="s">
        <v>118</v>
      </c>
      <c r="S102" s="51" t="s">
        <v>118</v>
      </c>
      <c r="T102" s="51" t="s">
        <v>117</v>
      </c>
      <c r="V102" s="183"/>
    </row>
    <row r="103" spans="7:22" ht="15.75" x14ac:dyDescent="0.25">
      <c r="G103" s="61" t="e">
        <f>#REF!</f>
        <v>#REF!</v>
      </c>
      <c r="H103" s="56">
        <v>250330609</v>
      </c>
      <c r="I103" s="56">
        <v>250330718</v>
      </c>
      <c r="J103" s="56">
        <v>250323861</v>
      </c>
      <c r="K103" s="56">
        <v>250269442</v>
      </c>
      <c r="L103" s="56">
        <v>250330584</v>
      </c>
      <c r="M103" s="56">
        <v>250048896</v>
      </c>
      <c r="N103" s="56">
        <v>250323949</v>
      </c>
      <c r="O103" s="56">
        <v>250330566</v>
      </c>
      <c r="P103" s="56">
        <v>250324012</v>
      </c>
      <c r="Q103" s="56">
        <v>250324055</v>
      </c>
      <c r="R103" s="56">
        <v>250269410</v>
      </c>
      <c r="S103" s="56">
        <v>250323775</v>
      </c>
      <c r="T103" s="56" t="s">
        <v>151</v>
      </c>
      <c r="V103" s="183"/>
    </row>
    <row r="104" spans="7:22" x14ac:dyDescent="0.25">
      <c r="G104" s="61" t="s">
        <v>1</v>
      </c>
      <c r="H104" s="2"/>
      <c r="I104" s="2"/>
      <c r="J104" s="2">
        <v>13</v>
      </c>
      <c r="K104" s="2"/>
      <c r="L104" s="2"/>
      <c r="M104" s="2">
        <v>15</v>
      </c>
      <c r="N104" s="2">
        <v>11</v>
      </c>
      <c r="O104" s="2">
        <v>17</v>
      </c>
      <c r="P104" s="2">
        <v>13</v>
      </c>
      <c r="Q104" s="2">
        <v>13</v>
      </c>
      <c r="R104" s="2"/>
      <c r="S104" s="2"/>
      <c r="T104" s="2">
        <v>11</v>
      </c>
      <c r="V104" s="11">
        <f>AVERAGE(I104:O104)</f>
        <v>14</v>
      </c>
    </row>
    <row r="105" spans="7:22" x14ac:dyDescent="0.25">
      <c r="G105" s="61" t="s">
        <v>16</v>
      </c>
      <c r="H105" s="2"/>
      <c r="I105" s="2"/>
      <c r="J105" s="2">
        <v>11</v>
      </c>
      <c r="K105" s="2"/>
      <c r="L105" s="2"/>
      <c r="M105" s="2">
        <v>7</v>
      </c>
      <c r="N105" s="2">
        <v>9</v>
      </c>
      <c r="O105" s="2">
        <v>4</v>
      </c>
      <c r="P105" s="2">
        <v>4</v>
      </c>
      <c r="Q105" s="2">
        <v>8</v>
      </c>
      <c r="R105" s="2"/>
      <c r="S105" s="2"/>
      <c r="T105" s="2">
        <v>5</v>
      </c>
      <c r="V105" s="11">
        <f>AVERAGE(I105:O105)</f>
        <v>7.75</v>
      </c>
    </row>
    <row r="106" spans="7:22" x14ac:dyDescent="0.25">
      <c r="G106" s="61" t="s">
        <v>17</v>
      </c>
      <c r="H106" s="2"/>
      <c r="I106" s="2"/>
      <c r="J106" s="2">
        <v>15</v>
      </c>
      <c r="K106" s="2"/>
      <c r="L106" s="2"/>
      <c r="M106" s="2">
        <v>11.5</v>
      </c>
      <c r="N106" s="2">
        <v>5.5</v>
      </c>
      <c r="O106" s="2">
        <v>13.5</v>
      </c>
      <c r="P106" s="2">
        <v>12</v>
      </c>
      <c r="Q106" s="2">
        <v>12</v>
      </c>
      <c r="R106" s="2"/>
      <c r="S106" s="2"/>
      <c r="T106" s="2">
        <v>11.5</v>
      </c>
      <c r="V106" s="11">
        <f>AVERAGE(I106:O106)</f>
        <v>11.375</v>
      </c>
    </row>
    <row r="107" spans="7:22" x14ac:dyDescent="0.25">
      <c r="G107" s="61" t="s">
        <v>9</v>
      </c>
      <c r="H107" s="2"/>
      <c r="I107" s="2"/>
      <c r="J107" s="2">
        <v>15</v>
      </c>
      <c r="K107" s="2"/>
      <c r="L107" s="2"/>
      <c r="M107" s="2">
        <v>14</v>
      </c>
      <c r="N107" s="2">
        <v>10</v>
      </c>
      <c r="O107" s="2">
        <v>11</v>
      </c>
      <c r="P107" s="2">
        <v>12</v>
      </c>
      <c r="Q107" s="2">
        <v>14</v>
      </c>
      <c r="R107" s="2"/>
      <c r="S107" s="2"/>
      <c r="T107" s="2">
        <v>10</v>
      </c>
      <c r="V107" s="11">
        <f>AVERAGE(I107:O107)</f>
        <v>12.5</v>
      </c>
    </row>
    <row r="108" spans="7:22" x14ac:dyDescent="0.25">
      <c r="G108" s="61" t="s">
        <v>15</v>
      </c>
      <c r="H108" s="2"/>
      <c r="I108" s="2"/>
      <c r="J108" s="2">
        <v>16</v>
      </c>
      <c r="K108" s="2"/>
      <c r="L108" s="2"/>
      <c r="M108" s="2">
        <v>16</v>
      </c>
      <c r="N108" s="2">
        <v>16</v>
      </c>
      <c r="O108" s="2">
        <v>16</v>
      </c>
      <c r="P108" s="2">
        <v>16</v>
      </c>
      <c r="Q108" s="2">
        <v>16</v>
      </c>
      <c r="R108" s="2"/>
      <c r="S108" s="2"/>
      <c r="T108" s="2">
        <v>16</v>
      </c>
      <c r="V108" s="11">
        <f>AVERAGE(I108:O108)</f>
        <v>16</v>
      </c>
    </row>
    <row r="109" spans="7:22" x14ac:dyDescent="0.25">
      <c r="G109" s="61" t="s">
        <v>10</v>
      </c>
      <c r="H109" s="2"/>
      <c r="I109" s="2"/>
      <c r="J109" s="2">
        <v>16.5</v>
      </c>
      <c r="K109" s="2"/>
      <c r="L109" s="2"/>
      <c r="M109" s="2">
        <v>14.5</v>
      </c>
      <c r="N109" s="2">
        <v>12.5</v>
      </c>
      <c r="O109" s="2">
        <v>15.5</v>
      </c>
      <c r="P109" s="2">
        <v>16</v>
      </c>
      <c r="Q109" s="2">
        <v>18</v>
      </c>
      <c r="R109" s="2"/>
      <c r="S109" s="2"/>
      <c r="T109" s="2">
        <v>11</v>
      </c>
      <c r="V109" s="11">
        <f>AVERAGE(I109:O109)</f>
        <v>14.75</v>
      </c>
    </row>
    <row r="110" spans="7:22" x14ac:dyDescent="0.25">
      <c r="G110" s="61" t="s">
        <v>11</v>
      </c>
      <c r="H110" s="2"/>
      <c r="I110" s="2"/>
      <c r="J110" s="2">
        <v>7</v>
      </c>
      <c r="K110" s="2"/>
      <c r="L110" s="2"/>
      <c r="M110" s="2">
        <v>6</v>
      </c>
      <c r="N110" s="2">
        <v>5</v>
      </c>
      <c r="O110" s="2">
        <v>4</v>
      </c>
      <c r="P110" s="2">
        <v>9</v>
      </c>
      <c r="Q110" s="2">
        <v>8</v>
      </c>
      <c r="R110" s="2"/>
      <c r="S110" s="2"/>
      <c r="T110" s="2">
        <v>7</v>
      </c>
      <c r="V110" s="11">
        <f>AVERAGE(I110:O110)</f>
        <v>5.5</v>
      </c>
    </row>
    <row r="111" spans="7:22" x14ac:dyDescent="0.25">
      <c r="G111" s="61" t="s">
        <v>23</v>
      </c>
      <c r="H111" s="2"/>
      <c r="I111" s="2"/>
      <c r="J111" s="2">
        <v>14</v>
      </c>
      <c r="K111" s="2"/>
      <c r="L111" s="2"/>
      <c r="M111" s="2">
        <v>13.5</v>
      </c>
      <c r="N111" s="2">
        <v>15</v>
      </c>
      <c r="O111" s="2">
        <v>15</v>
      </c>
      <c r="P111" s="2">
        <v>11.5</v>
      </c>
      <c r="Q111" s="2">
        <v>11</v>
      </c>
      <c r="R111" s="2"/>
      <c r="S111" s="2"/>
      <c r="T111" s="2">
        <v>13.5</v>
      </c>
      <c r="V111" s="11">
        <f>AVERAGE(I111:O111)</f>
        <v>14.375</v>
      </c>
    </row>
    <row r="112" spans="7:22" x14ac:dyDescent="0.25">
      <c r="G112" s="61" t="s">
        <v>4</v>
      </c>
      <c r="H112" s="2"/>
      <c r="I112" s="2"/>
      <c r="J112" s="2">
        <v>16</v>
      </c>
      <c r="K112" s="2"/>
      <c r="L112" s="2"/>
      <c r="M112" s="2">
        <v>20</v>
      </c>
      <c r="N112" s="2">
        <v>11</v>
      </c>
      <c r="O112" s="2">
        <v>20</v>
      </c>
      <c r="P112" s="2">
        <v>17</v>
      </c>
      <c r="Q112" s="2">
        <v>17</v>
      </c>
      <c r="R112" s="2"/>
      <c r="S112" s="2"/>
      <c r="T112" s="2">
        <v>15</v>
      </c>
      <c r="V112" s="11">
        <f>AVERAGE(I112:O112)</f>
        <v>16.75</v>
      </c>
    </row>
    <row r="113" spans="7:22" x14ac:dyDescent="0.25">
      <c r="G113" s="61" t="s">
        <v>12</v>
      </c>
      <c r="H113" s="2"/>
      <c r="I113" s="2"/>
      <c r="J113" s="2">
        <v>14</v>
      </c>
      <c r="K113" s="2"/>
      <c r="L113" s="2"/>
      <c r="M113" s="2">
        <v>10</v>
      </c>
      <c r="N113" s="2">
        <v>10</v>
      </c>
      <c r="O113" s="2">
        <v>13</v>
      </c>
      <c r="P113" s="2">
        <v>12</v>
      </c>
      <c r="Q113" s="2">
        <v>11</v>
      </c>
      <c r="R113" s="2"/>
      <c r="S113" s="2"/>
      <c r="T113" s="2">
        <v>5</v>
      </c>
      <c r="V113" s="11">
        <f>AVERAGE(I113:O113)</f>
        <v>11.75</v>
      </c>
    </row>
    <row r="114" spans="7:22" x14ac:dyDescent="0.25">
      <c r="G114" s="61" t="s">
        <v>13</v>
      </c>
      <c r="H114" s="2"/>
      <c r="I114" s="2"/>
      <c r="J114" s="2">
        <v>11</v>
      </c>
      <c r="K114" s="2"/>
      <c r="L114" s="2"/>
      <c r="M114" s="2">
        <v>11</v>
      </c>
      <c r="N114" s="2">
        <v>10</v>
      </c>
      <c r="O114" s="2">
        <v>15</v>
      </c>
      <c r="P114" s="2">
        <v>15</v>
      </c>
      <c r="Q114" s="2">
        <v>12</v>
      </c>
      <c r="R114" s="2"/>
      <c r="S114" s="2"/>
      <c r="T114" s="2">
        <v>9</v>
      </c>
      <c r="V114" s="11">
        <f>AVERAGE(I114:O114)</f>
        <v>11.75</v>
      </c>
    </row>
    <row r="115" spans="7:22" x14ac:dyDescent="0.25">
      <c r="G115" s="61" t="s">
        <v>100</v>
      </c>
      <c r="H115" s="2"/>
      <c r="I115" s="2"/>
      <c r="J115" s="2">
        <v>11</v>
      </c>
      <c r="K115" s="2"/>
      <c r="L115" s="2"/>
      <c r="M115" s="2">
        <v>13</v>
      </c>
      <c r="N115" s="2">
        <v>12</v>
      </c>
      <c r="O115" s="2">
        <v>14</v>
      </c>
      <c r="P115" s="2">
        <v>14</v>
      </c>
      <c r="Q115" s="2">
        <v>13</v>
      </c>
      <c r="R115" s="2"/>
      <c r="S115" s="2"/>
      <c r="T115" s="2">
        <v>13</v>
      </c>
      <c r="V115" s="11">
        <f>AVERAGE(I115:O115)</f>
        <v>12.5</v>
      </c>
    </row>
    <row r="116" spans="7:22" x14ac:dyDescent="0.25">
      <c r="G116" s="61" t="s">
        <v>6</v>
      </c>
      <c r="H116" s="2"/>
      <c r="I116" s="2"/>
      <c r="J116" s="2">
        <v>16</v>
      </c>
      <c r="K116" s="2"/>
      <c r="L116" s="2"/>
      <c r="M116" s="2">
        <v>16</v>
      </c>
      <c r="N116" s="2">
        <v>16</v>
      </c>
      <c r="O116" s="2">
        <v>16</v>
      </c>
      <c r="P116" s="2">
        <v>16.5</v>
      </c>
      <c r="Q116" s="2">
        <v>16</v>
      </c>
      <c r="R116" s="2"/>
      <c r="S116" s="2"/>
      <c r="T116" s="2">
        <v>16</v>
      </c>
      <c r="V116" s="11">
        <f>AVERAGE(I116:O116)</f>
        <v>16</v>
      </c>
    </row>
    <row r="117" spans="7:22" x14ac:dyDescent="0.25">
      <c r="G117" s="61" t="s">
        <v>7</v>
      </c>
      <c r="H117" s="2"/>
      <c r="I117" s="2"/>
      <c r="J117" s="2">
        <v>18.5</v>
      </c>
      <c r="K117" s="2"/>
      <c r="L117" s="2"/>
      <c r="M117" s="2">
        <v>10.5</v>
      </c>
      <c r="N117" s="2">
        <v>7.5</v>
      </c>
      <c r="O117" s="2">
        <v>17</v>
      </c>
      <c r="P117" s="2">
        <v>12.5</v>
      </c>
      <c r="Q117" s="2">
        <v>13.5</v>
      </c>
      <c r="R117" s="2"/>
      <c r="S117" s="2"/>
      <c r="T117" s="2">
        <v>11.5</v>
      </c>
      <c r="V117" s="11">
        <f>AVERAGE(I117:O117)</f>
        <v>13.375</v>
      </c>
    </row>
    <row r="118" spans="7:22" x14ac:dyDescent="0.25">
      <c r="G118" s="61" t="s">
        <v>99</v>
      </c>
      <c r="H118" s="2"/>
      <c r="I118" s="2"/>
      <c r="J118" s="2">
        <v>8</v>
      </c>
      <c r="K118" s="2"/>
      <c r="L118" s="2"/>
      <c r="M118" s="2">
        <v>8</v>
      </c>
      <c r="N118" s="2">
        <v>7</v>
      </c>
      <c r="O118" s="2">
        <v>8</v>
      </c>
      <c r="P118" s="2">
        <v>9</v>
      </c>
      <c r="Q118" s="2">
        <v>5</v>
      </c>
      <c r="R118" s="2"/>
      <c r="S118" s="2"/>
      <c r="T118" s="2">
        <v>9</v>
      </c>
      <c r="V118" s="11">
        <f>AVERAGE(I118:O118)</f>
        <v>7.75</v>
      </c>
    </row>
    <row r="119" spans="7:22" x14ac:dyDescent="0.25">
      <c r="G119" s="61" t="s">
        <v>14</v>
      </c>
      <c r="H119" s="2"/>
      <c r="I119" s="2"/>
      <c r="J119" s="2">
        <v>17</v>
      </c>
      <c r="K119" s="2"/>
      <c r="L119" s="2"/>
      <c r="M119" s="2">
        <v>17</v>
      </c>
      <c r="N119" s="2">
        <v>17</v>
      </c>
      <c r="O119" s="2">
        <v>17</v>
      </c>
      <c r="P119" s="2">
        <v>17</v>
      </c>
      <c r="Q119" s="2">
        <v>17</v>
      </c>
      <c r="R119" s="2"/>
      <c r="S119" s="2"/>
      <c r="T119" s="2">
        <v>17</v>
      </c>
      <c r="V119" s="11">
        <f>AVERAGE(I119:O119)</f>
        <v>17</v>
      </c>
    </row>
  </sheetData>
  <mergeCells count="37">
    <mergeCell ref="R62:S62"/>
    <mergeCell ref="R63:S63"/>
    <mergeCell ref="R64:S64"/>
    <mergeCell ref="R65:S65"/>
    <mergeCell ref="R66:S66"/>
    <mergeCell ref="J61:L61"/>
    <mergeCell ref="B61:D61"/>
    <mergeCell ref="Q61:S61"/>
    <mergeCell ref="R67:S67"/>
    <mergeCell ref="R68:S68"/>
    <mergeCell ref="F62:F76"/>
    <mergeCell ref="F61:H61"/>
    <mergeCell ref="M61:M76"/>
    <mergeCell ref="K72:L72"/>
    <mergeCell ref="K73:L73"/>
    <mergeCell ref="K74:L74"/>
    <mergeCell ref="G76:K76"/>
    <mergeCell ref="A76:D76"/>
    <mergeCell ref="O76:R76"/>
    <mergeCell ref="K62:L62"/>
    <mergeCell ref="K63:L63"/>
    <mergeCell ref="K64:L64"/>
    <mergeCell ref="K65:L65"/>
    <mergeCell ref="K66:L66"/>
    <mergeCell ref="K67:L67"/>
    <mergeCell ref="K68:L68"/>
    <mergeCell ref="K75:L75"/>
    <mergeCell ref="R75:S75"/>
    <mergeCell ref="R74:S74"/>
    <mergeCell ref="R69:S69"/>
    <mergeCell ref="K69:L69"/>
    <mergeCell ref="K70:L70"/>
    <mergeCell ref="K71:L71"/>
    <mergeCell ref="R72:S72"/>
    <mergeCell ref="R73:S73"/>
    <mergeCell ref="R70:S70"/>
    <mergeCell ref="R71:S7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zoomScale="90" zoomScaleNormal="90" workbookViewId="0">
      <selection activeCell="D2" sqref="D2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34" t="s">
        <v>24</v>
      </c>
      <c r="C4" s="41" t="s">
        <v>69</v>
      </c>
      <c r="D4" s="35" t="s">
        <v>153</v>
      </c>
      <c r="E4" s="35" t="s">
        <v>154</v>
      </c>
      <c r="F4" s="35" t="s">
        <v>155</v>
      </c>
      <c r="G4" s="35" t="s">
        <v>25</v>
      </c>
      <c r="H4" s="34" t="s">
        <v>26</v>
      </c>
      <c r="I4" s="167" t="s">
        <v>27</v>
      </c>
      <c r="J4" s="168"/>
      <c r="K4" s="35" t="s">
        <v>21</v>
      </c>
      <c r="L4" s="35" t="s">
        <v>28</v>
      </c>
      <c r="M4" s="16"/>
      <c r="N4" s="16"/>
      <c r="O4" s="16"/>
      <c r="P4" s="16"/>
    </row>
    <row r="5" spans="2:16" ht="43.5" customHeight="1" thickBot="1" x14ac:dyDescent="0.3">
      <c r="B5" s="36" t="s">
        <v>70</v>
      </c>
      <c r="C5" s="43" t="s">
        <v>75</v>
      </c>
      <c r="D5" s="17">
        <f>(E5+F5)/2</f>
        <v>0</v>
      </c>
      <c r="E5" s="44"/>
      <c r="F5" s="44"/>
      <c r="G5" s="18">
        <v>3</v>
      </c>
      <c r="H5" s="19">
        <f>D5*G5</f>
        <v>0</v>
      </c>
      <c r="I5" s="153"/>
      <c r="J5" s="154"/>
      <c r="K5" s="46" t="s">
        <v>157</v>
      </c>
      <c r="L5" s="17" t="str">
        <f>IF(D5&lt;10,"D",IF(D5&lt;12,"C",IF(D5&lt;14,"C+",IF(D5&lt;15,"B",IF(D5&lt;16,"B+",IF(D5&lt;18,"A",IF(D5&lt;20,"A+")))))))</f>
        <v>D</v>
      </c>
      <c r="M5" s="16"/>
      <c r="N5" s="16"/>
      <c r="O5" s="20">
        <f>E5*G5</f>
        <v>0</v>
      </c>
      <c r="P5" s="20">
        <f>F5*G5</f>
        <v>0</v>
      </c>
    </row>
    <row r="6" spans="2:16" ht="32.25" thickBot="1" x14ac:dyDescent="0.3">
      <c r="B6" s="36" t="s">
        <v>121</v>
      </c>
      <c r="C6" s="43" t="s">
        <v>76</v>
      </c>
      <c r="D6" s="17">
        <f t="shared" ref="D6:D9" si="0">(E6+F6)/2</f>
        <v>0</v>
      </c>
      <c r="E6" s="44"/>
      <c r="F6" s="44"/>
      <c r="G6" s="18">
        <v>1</v>
      </c>
      <c r="H6" s="19">
        <f t="shared" ref="H6:H9" si="1">D6*G6</f>
        <v>0</v>
      </c>
      <c r="I6" s="153"/>
      <c r="J6" s="154"/>
      <c r="K6" s="46" t="s">
        <v>157</v>
      </c>
      <c r="L6" s="17" t="str">
        <f t="shared" ref="L6:L9" si="2">IF(D6&lt;10,"D",IF(D6&lt;12,"C",IF(D6&lt;14,"C+",IF(D6&lt;15,"B",IF(D6&lt;16,"B+",IF(D6&lt;18,"A",IF(D6&lt;20,"A+")))))))</f>
        <v>D</v>
      </c>
      <c r="M6" s="16"/>
      <c r="N6" s="16"/>
      <c r="O6" s="20">
        <f t="shared" ref="O6:O9" si="3">E6*G6</f>
        <v>0</v>
      </c>
      <c r="P6" s="20">
        <f t="shared" ref="P6:P9" si="4">F6*G6</f>
        <v>0</v>
      </c>
    </row>
    <row r="7" spans="2:16" ht="32.25" thickBot="1" x14ac:dyDescent="0.3">
      <c r="B7" s="36" t="s">
        <v>122</v>
      </c>
      <c r="C7" s="43" t="s">
        <v>77</v>
      </c>
      <c r="D7" s="17">
        <f t="shared" si="0"/>
        <v>0</v>
      </c>
      <c r="E7" s="44"/>
      <c r="F7" s="44"/>
      <c r="G7" s="18">
        <v>2</v>
      </c>
      <c r="H7" s="19">
        <f t="shared" si="1"/>
        <v>0</v>
      </c>
      <c r="I7" s="153"/>
      <c r="J7" s="154"/>
      <c r="K7" s="46" t="s">
        <v>157</v>
      </c>
      <c r="L7" s="17" t="str">
        <f t="shared" si="2"/>
        <v>D</v>
      </c>
      <c r="M7" s="16"/>
      <c r="N7" s="16"/>
      <c r="O7" s="20">
        <f t="shared" si="3"/>
        <v>0</v>
      </c>
      <c r="P7" s="20">
        <f t="shared" si="4"/>
        <v>0</v>
      </c>
    </row>
    <row r="8" spans="2:16" ht="39" thickBot="1" x14ac:dyDescent="0.3">
      <c r="B8" s="36" t="s">
        <v>123</v>
      </c>
      <c r="C8" s="43" t="s">
        <v>78</v>
      </c>
      <c r="D8" s="17">
        <f t="shared" si="0"/>
        <v>0</v>
      </c>
      <c r="E8" s="44"/>
      <c r="F8" s="44"/>
      <c r="G8" s="18">
        <v>2</v>
      </c>
      <c r="H8" s="19">
        <f t="shared" si="1"/>
        <v>0</v>
      </c>
      <c r="I8" s="153"/>
      <c r="J8" s="154"/>
      <c r="K8" s="46" t="s">
        <v>157</v>
      </c>
      <c r="L8" s="17" t="str">
        <f t="shared" si="2"/>
        <v>D</v>
      </c>
      <c r="M8" s="16"/>
      <c r="N8" s="16"/>
      <c r="O8" s="20">
        <f t="shared" si="3"/>
        <v>0</v>
      </c>
      <c r="P8" s="20">
        <f t="shared" si="4"/>
        <v>0</v>
      </c>
    </row>
    <row r="9" spans="2:16" ht="39" thickBot="1" x14ac:dyDescent="0.3">
      <c r="B9" s="36" t="s">
        <v>124</v>
      </c>
      <c r="C9" s="43" t="s">
        <v>78</v>
      </c>
      <c r="D9" s="17">
        <f t="shared" si="0"/>
        <v>0</v>
      </c>
      <c r="E9" s="44"/>
      <c r="F9" s="44"/>
      <c r="G9" s="18">
        <v>1</v>
      </c>
      <c r="H9" s="19">
        <f t="shared" si="1"/>
        <v>0</v>
      </c>
      <c r="I9" s="153"/>
      <c r="J9" s="154"/>
      <c r="K9" s="46" t="s">
        <v>157</v>
      </c>
      <c r="L9" s="17" t="str">
        <f t="shared" si="2"/>
        <v>D</v>
      </c>
      <c r="M9" s="16"/>
      <c r="N9" s="16"/>
      <c r="O9" s="20">
        <f t="shared" si="3"/>
        <v>0</v>
      </c>
      <c r="P9" s="20">
        <f t="shared" si="4"/>
        <v>0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0</v>
      </c>
      <c r="E11" s="158"/>
      <c r="F11" s="158"/>
      <c r="G11" s="159" t="s">
        <v>30</v>
      </c>
      <c r="H11" s="159"/>
      <c r="I11" s="37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36" t="s">
        <v>125</v>
      </c>
      <c r="C13" s="43" t="s">
        <v>79</v>
      </c>
      <c r="D13" s="17">
        <f t="shared" ref="D13:D16" si="5">(E13+F13)/2</f>
        <v>0</v>
      </c>
      <c r="E13" s="44"/>
      <c r="F13" s="44"/>
      <c r="G13" s="18">
        <v>2</v>
      </c>
      <c r="H13" s="19">
        <f t="shared" ref="H13:H16" si="6">D13*G13</f>
        <v>0</v>
      </c>
      <c r="I13" s="153"/>
      <c r="J13" s="154"/>
      <c r="K13" s="46" t="s">
        <v>157</v>
      </c>
      <c r="L13" s="17" t="str">
        <f t="shared" ref="L13:L16" si="7">IF(D13&lt;10,"D",IF(D13&lt;12,"C",IF(D13&lt;14,"C+",IF(D13&lt;15,"B",IF(D13&lt;16,"B+",IF(D13&lt;18,"A",IF(D13&lt;20,"A+")))))))</f>
        <v>D</v>
      </c>
      <c r="M13" s="16"/>
      <c r="N13" s="16"/>
      <c r="O13" s="20">
        <f t="shared" ref="O13:O16" si="8">E13*G13</f>
        <v>0</v>
      </c>
      <c r="P13" s="20">
        <f t="shared" ref="P13:P16" si="9">F13*G13</f>
        <v>0</v>
      </c>
    </row>
    <row r="14" spans="2:16" ht="48" thickBot="1" x14ac:dyDescent="0.3">
      <c r="B14" s="36" t="s">
        <v>126</v>
      </c>
      <c r="C14" s="45" t="s">
        <v>80</v>
      </c>
      <c r="D14" s="17">
        <f t="shared" si="5"/>
        <v>0</v>
      </c>
      <c r="E14" s="44"/>
      <c r="F14" s="44"/>
      <c r="G14" s="18">
        <v>2</v>
      </c>
      <c r="H14" s="19">
        <f t="shared" si="6"/>
        <v>0</v>
      </c>
      <c r="I14" s="153"/>
      <c r="J14" s="154"/>
      <c r="K14" s="46" t="s">
        <v>157</v>
      </c>
      <c r="L14" s="17" t="str">
        <f t="shared" si="7"/>
        <v>D</v>
      </c>
      <c r="M14" s="16"/>
      <c r="N14" s="16"/>
      <c r="O14" s="20">
        <f t="shared" si="8"/>
        <v>0</v>
      </c>
      <c r="P14" s="20">
        <f t="shared" si="9"/>
        <v>0</v>
      </c>
    </row>
    <row r="15" spans="2:16" ht="37.5" customHeight="1" thickBot="1" x14ac:dyDescent="0.3">
      <c r="B15" s="36" t="s">
        <v>127</v>
      </c>
      <c r="C15" s="45" t="s">
        <v>81</v>
      </c>
      <c r="D15" s="17">
        <f t="shared" si="5"/>
        <v>0</v>
      </c>
      <c r="E15" s="44"/>
      <c r="F15" s="44"/>
      <c r="G15" s="18">
        <v>2</v>
      </c>
      <c r="H15" s="19">
        <f t="shared" si="6"/>
        <v>0</v>
      </c>
      <c r="I15" s="153"/>
      <c r="J15" s="154"/>
      <c r="K15" s="46" t="s">
        <v>157</v>
      </c>
      <c r="L15" s="17" t="str">
        <f t="shared" si="7"/>
        <v>D</v>
      </c>
      <c r="M15" s="16"/>
      <c r="N15" s="16"/>
      <c r="O15" s="20">
        <f t="shared" si="8"/>
        <v>0</v>
      </c>
      <c r="P15" s="20">
        <f t="shared" si="9"/>
        <v>0</v>
      </c>
    </row>
    <row r="16" spans="2:16" ht="32.25" thickBot="1" x14ac:dyDescent="0.3">
      <c r="B16" s="36" t="s">
        <v>128</v>
      </c>
      <c r="C16" s="42" t="s">
        <v>73</v>
      </c>
      <c r="D16" s="17">
        <f t="shared" si="5"/>
        <v>0</v>
      </c>
      <c r="E16" s="17"/>
      <c r="F16" s="17"/>
      <c r="G16" s="18">
        <v>1</v>
      </c>
      <c r="H16" s="19">
        <f t="shared" si="6"/>
        <v>0</v>
      </c>
      <c r="I16" s="153"/>
      <c r="J16" s="154"/>
      <c r="K16" s="46" t="s">
        <v>157</v>
      </c>
      <c r="L16" s="17" t="str">
        <f t="shared" si="7"/>
        <v>D</v>
      </c>
      <c r="M16" s="16"/>
      <c r="N16" s="16"/>
      <c r="O16" s="20">
        <f t="shared" si="8"/>
        <v>0</v>
      </c>
      <c r="P16" s="20">
        <f t="shared" si="9"/>
        <v>0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0</v>
      </c>
      <c r="E18" s="158"/>
      <c r="F18" s="158"/>
      <c r="G18" s="159" t="s">
        <v>30</v>
      </c>
      <c r="H18" s="159"/>
      <c r="I18" s="37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36" t="s">
        <v>71</v>
      </c>
      <c r="C20" s="45" t="s">
        <v>82</v>
      </c>
      <c r="D20" s="17">
        <f t="shared" ref="D20:D22" si="10">(E20+F20)/2</f>
        <v>0</v>
      </c>
      <c r="E20" s="44"/>
      <c r="F20" s="44"/>
      <c r="G20" s="18">
        <v>2</v>
      </c>
      <c r="H20" s="19">
        <f t="shared" ref="H20:H22" si="11">D20*G20</f>
        <v>0</v>
      </c>
      <c r="I20" s="153"/>
      <c r="J20" s="154"/>
      <c r="K20" s="46" t="s">
        <v>157</v>
      </c>
      <c r="L20" s="17" t="str">
        <f t="shared" ref="L20:L22" si="12">IF(D20&lt;10,"D",IF(D20&lt;12,"C",IF(D20&lt;14,"C+",IF(D20&lt;15,"B",IF(D20&lt;16,"B+",IF(D20&lt;18,"A",IF(D20&lt;20,"A+")))))))</f>
        <v>D</v>
      </c>
      <c r="M20" s="16"/>
      <c r="N20" s="16"/>
      <c r="O20" s="20">
        <f t="shared" ref="O20:O22" si="13">E20*G20</f>
        <v>0</v>
      </c>
      <c r="P20" s="20">
        <f t="shared" ref="P20:P22" si="14">F20*G20</f>
        <v>0</v>
      </c>
    </row>
    <row r="21" spans="2:16" ht="64.5" thickBot="1" x14ac:dyDescent="0.3">
      <c r="B21" s="36" t="s">
        <v>129</v>
      </c>
      <c r="C21" s="45" t="s">
        <v>83</v>
      </c>
      <c r="D21" s="17">
        <f t="shared" si="10"/>
        <v>0</v>
      </c>
      <c r="E21" s="44"/>
      <c r="F21" s="44"/>
      <c r="G21" s="18">
        <v>4</v>
      </c>
      <c r="H21" s="19">
        <f t="shared" si="11"/>
        <v>0</v>
      </c>
      <c r="I21" s="153"/>
      <c r="J21" s="154"/>
      <c r="K21" s="46" t="s">
        <v>157</v>
      </c>
      <c r="L21" s="17" t="str">
        <f t="shared" si="12"/>
        <v>D</v>
      </c>
      <c r="M21" s="16"/>
      <c r="N21" s="16"/>
      <c r="O21" s="20">
        <f t="shared" si="13"/>
        <v>0</v>
      </c>
      <c r="P21" s="20">
        <f t="shared" si="14"/>
        <v>0</v>
      </c>
    </row>
    <row r="22" spans="2:16" ht="64.5" thickBot="1" x14ac:dyDescent="0.3">
      <c r="B22" s="36" t="s">
        <v>130</v>
      </c>
      <c r="C22" s="45" t="s">
        <v>84</v>
      </c>
      <c r="D22" s="17">
        <f t="shared" si="10"/>
        <v>0</v>
      </c>
      <c r="E22" s="44"/>
      <c r="F22" s="44"/>
      <c r="G22" s="18">
        <v>2</v>
      </c>
      <c r="H22" s="19">
        <f t="shared" si="11"/>
        <v>0</v>
      </c>
      <c r="I22" s="153"/>
      <c r="J22" s="154"/>
      <c r="K22" s="46" t="s">
        <v>157</v>
      </c>
      <c r="L22" s="17" t="str">
        <f t="shared" si="12"/>
        <v>D</v>
      </c>
      <c r="M22" s="16"/>
      <c r="N22" s="16"/>
      <c r="O22" s="20">
        <f t="shared" si="13"/>
        <v>0</v>
      </c>
      <c r="P22" s="20">
        <f t="shared" si="14"/>
        <v>0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0</v>
      </c>
      <c r="E24" s="158"/>
      <c r="F24" s="158"/>
      <c r="G24" s="159" t="s">
        <v>30</v>
      </c>
      <c r="H24" s="159"/>
      <c r="I24" s="37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36" t="s">
        <v>131</v>
      </c>
      <c r="C26" s="43" t="s">
        <v>74</v>
      </c>
      <c r="D26" s="17">
        <f t="shared" ref="D26:D29" si="15">(E26+F26)/2</f>
        <v>0</v>
      </c>
      <c r="E26" s="44"/>
      <c r="F26" s="44"/>
      <c r="G26" s="18">
        <v>1</v>
      </c>
      <c r="H26" s="19">
        <f t="shared" ref="H26:H29" si="16">D26*G26</f>
        <v>0</v>
      </c>
      <c r="I26" s="153"/>
      <c r="J26" s="154"/>
      <c r="K26" s="46" t="s">
        <v>157</v>
      </c>
      <c r="L26" s="17" t="str">
        <f t="shared" ref="L26:L28" si="17">IF(D26&lt;10,"D",IF(D26&lt;12,"C",IF(D26&lt;14,"C+",IF(D26&lt;15,"B",IF(D26&lt;16,"B+",IF(D26&lt;18,"A",IF(D26&lt;20,"A+")))))))</f>
        <v>D</v>
      </c>
      <c r="M26" s="16"/>
      <c r="N26" s="16"/>
      <c r="O26" s="20">
        <f t="shared" ref="O26:O29" si="18">E26*G26</f>
        <v>0</v>
      </c>
      <c r="P26" s="20">
        <f t="shared" ref="P26:P29" si="19">F26*G26</f>
        <v>0</v>
      </c>
    </row>
    <row r="27" spans="2:16" ht="32.25" thickBot="1" x14ac:dyDescent="0.3">
      <c r="B27" s="36" t="s">
        <v>72</v>
      </c>
      <c r="C27" s="45" t="s">
        <v>85</v>
      </c>
      <c r="D27" s="17">
        <f t="shared" si="15"/>
        <v>0</v>
      </c>
      <c r="E27" s="44"/>
      <c r="F27" s="44"/>
      <c r="G27" s="18">
        <v>2</v>
      </c>
      <c r="H27" s="19">
        <f>D27*G27</f>
        <v>0</v>
      </c>
      <c r="I27" s="153"/>
      <c r="J27" s="154"/>
      <c r="K27" s="46" t="s">
        <v>157</v>
      </c>
      <c r="L27" s="17" t="str">
        <f t="shared" si="17"/>
        <v>D</v>
      </c>
      <c r="M27" s="16"/>
      <c r="N27" s="16"/>
      <c r="O27" s="20">
        <f t="shared" si="18"/>
        <v>0</v>
      </c>
      <c r="P27" s="20">
        <f t="shared" si="19"/>
        <v>0</v>
      </c>
    </row>
    <row r="28" spans="2:16" ht="39.75" customHeight="1" thickBot="1" x14ac:dyDescent="0.3">
      <c r="B28" s="36" t="s">
        <v>132</v>
      </c>
      <c r="C28" s="45" t="s">
        <v>86</v>
      </c>
      <c r="D28" s="17">
        <f t="shared" si="15"/>
        <v>0</v>
      </c>
      <c r="E28" s="44"/>
      <c r="F28" s="44"/>
      <c r="G28" s="18">
        <v>1</v>
      </c>
      <c r="H28" s="19">
        <f t="shared" si="16"/>
        <v>0</v>
      </c>
      <c r="I28" s="153"/>
      <c r="J28" s="154"/>
      <c r="K28" s="46" t="s">
        <v>157</v>
      </c>
      <c r="L28" s="17" t="str">
        <f t="shared" si="17"/>
        <v>D</v>
      </c>
      <c r="M28" s="16"/>
      <c r="N28" s="16"/>
      <c r="O28" s="20">
        <f t="shared" si="18"/>
        <v>0</v>
      </c>
      <c r="P28" s="20">
        <f t="shared" si="19"/>
        <v>0</v>
      </c>
    </row>
    <row r="29" spans="2:16" ht="39" thickBot="1" x14ac:dyDescent="0.3">
      <c r="B29" s="36" t="s">
        <v>133</v>
      </c>
      <c r="C29" s="45" t="s">
        <v>87</v>
      </c>
      <c r="D29" s="17">
        <f t="shared" si="15"/>
        <v>0</v>
      </c>
      <c r="E29" s="17"/>
      <c r="F29" s="17"/>
      <c r="G29" s="18">
        <v>1</v>
      </c>
      <c r="H29" s="19">
        <f t="shared" si="16"/>
        <v>0</v>
      </c>
      <c r="I29" s="153"/>
      <c r="J29" s="154"/>
      <c r="K29" s="46" t="s">
        <v>157</v>
      </c>
      <c r="L29" s="17" t="str">
        <f>IF(D29&lt;10,"D",IF(D29&lt;12,"C",IF(D29&lt;14,"C+",IF(D29&lt;15,"B",IF(D29&lt;16,"B+",IF(D29&lt;18,"A",IF(D29&lt;20,"A+")))))))</f>
        <v>D</v>
      </c>
      <c r="M29" s="16"/>
      <c r="N29" s="16"/>
      <c r="O29" s="20">
        <f t="shared" si="18"/>
        <v>0</v>
      </c>
      <c r="P29" s="20">
        <f t="shared" si="19"/>
        <v>0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0</v>
      </c>
      <c r="P30" s="16">
        <f>SUM(P5:P29)</f>
        <v>0</v>
      </c>
    </row>
    <row r="31" spans="2:16" ht="16.5" thickBot="1" x14ac:dyDescent="0.3">
      <c r="B31" s="25" t="s">
        <v>32</v>
      </c>
      <c r="C31" s="40"/>
      <c r="D31" s="158">
        <f>(SUM(H26:H29)/SUM(G26:G29))</f>
        <v>0</v>
      </c>
      <c r="E31" s="158"/>
      <c r="F31" s="158"/>
      <c r="G31" s="182" t="s">
        <v>30</v>
      </c>
      <c r="H31" s="182"/>
      <c r="I31" s="38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0</v>
      </c>
      <c r="P32" s="16">
        <f>P30/P31</f>
        <v>0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>
        <f>O32</f>
        <v>0</v>
      </c>
      <c r="E35" s="73">
        <f>P32</f>
        <v>0</v>
      </c>
      <c r="F35" s="74" t="s">
        <v>156</v>
      </c>
      <c r="G35" s="75">
        <f>(H5+H6+H7+H8+H9+H13+H14+H15+H16+H20+H21+H22+H26+H27+H28+H29)/29</f>
        <v>0</v>
      </c>
      <c r="H35" s="72" t="s">
        <v>40</v>
      </c>
      <c r="I35" s="151" t="s">
        <v>41</v>
      </c>
      <c r="J35" s="152"/>
      <c r="K35" s="30" t="s">
        <v>158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CNA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K44:L44"/>
    <mergeCell ref="B25:L25"/>
    <mergeCell ref="D39:F39"/>
    <mergeCell ref="G39:L40"/>
    <mergeCell ref="D40:F42"/>
    <mergeCell ref="G41:J41"/>
    <mergeCell ref="K41:L41"/>
    <mergeCell ref="G42:J42"/>
    <mergeCell ref="K42:L42"/>
    <mergeCell ref="I26:J26"/>
    <mergeCell ref="I27:J27"/>
    <mergeCell ref="I28:J28"/>
    <mergeCell ref="I29:J29"/>
    <mergeCell ref="D31:F31"/>
    <mergeCell ref="G31:H31"/>
    <mergeCell ref="J31:L31"/>
    <mergeCell ref="B32:L32"/>
    <mergeCell ref="I4:J4"/>
    <mergeCell ref="I5:J5"/>
    <mergeCell ref="I6:J6"/>
    <mergeCell ref="I7:J7"/>
    <mergeCell ref="B17:L17"/>
    <mergeCell ref="I8:J8"/>
    <mergeCell ref="I9:J9"/>
    <mergeCell ref="B10:L10"/>
    <mergeCell ref="D11:F11"/>
    <mergeCell ref="G11:H11"/>
    <mergeCell ref="J11:L11"/>
    <mergeCell ref="B12:L12"/>
    <mergeCell ref="I13:J13"/>
    <mergeCell ref="I14:J14"/>
    <mergeCell ref="I15:J15"/>
    <mergeCell ref="I16:J16"/>
    <mergeCell ref="D18:F18"/>
    <mergeCell ref="G18:H18"/>
    <mergeCell ref="J18:L18"/>
    <mergeCell ref="B19:L19"/>
    <mergeCell ref="I20:J20"/>
    <mergeCell ref="I21:J21"/>
    <mergeCell ref="I22:J22"/>
    <mergeCell ref="B23:L23"/>
    <mergeCell ref="D24:F24"/>
    <mergeCell ref="G24:H24"/>
    <mergeCell ref="J24:L24"/>
    <mergeCell ref="B33:C33"/>
    <mergeCell ref="G33:H33"/>
    <mergeCell ref="J33:K33"/>
    <mergeCell ref="I34:L34"/>
    <mergeCell ref="I35:J35"/>
    <mergeCell ref="C40:C42"/>
    <mergeCell ref="C43:C44"/>
    <mergeCell ref="K46:L48"/>
    <mergeCell ref="B36:H36"/>
    <mergeCell ref="I36:L36"/>
    <mergeCell ref="B37:L37"/>
    <mergeCell ref="B38:L38"/>
    <mergeCell ref="D45:F48"/>
    <mergeCell ref="G45:J48"/>
    <mergeCell ref="K45:L45"/>
    <mergeCell ref="B46:B48"/>
    <mergeCell ref="C45:C48"/>
    <mergeCell ref="D43:F44"/>
    <mergeCell ref="G43:J43"/>
    <mergeCell ref="K43:L43"/>
    <mergeCell ref="G44:J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zoomScale="90" zoomScaleNormal="90" workbookViewId="0">
      <selection sqref="A1:XFD1048576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2" t="s">
        <v>24</v>
      </c>
      <c r="C4" s="41" t="s">
        <v>69</v>
      </c>
      <c r="D4" s="83" t="s">
        <v>153</v>
      </c>
      <c r="E4" s="83" t="s">
        <v>154</v>
      </c>
      <c r="F4" s="83" t="s">
        <v>155</v>
      </c>
      <c r="G4" s="83" t="s">
        <v>25</v>
      </c>
      <c r="H4" s="82" t="s">
        <v>26</v>
      </c>
      <c r="I4" s="167" t="s">
        <v>27</v>
      </c>
      <c r="J4" s="168"/>
      <c r="K4" s="83" t="s">
        <v>21</v>
      </c>
      <c r="L4" s="83" t="s">
        <v>28</v>
      </c>
      <c r="M4" s="16"/>
      <c r="N4" s="16"/>
      <c r="O4" s="16"/>
      <c r="P4" s="16"/>
    </row>
    <row r="5" spans="2:16" ht="43.5" customHeight="1" thickBot="1" x14ac:dyDescent="0.3">
      <c r="B5" s="84" t="s">
        <v>70</v>
      </c>
      <c r="C5" s="43" t="s">
        <v>75</v>
      </c>
      <c r="D5" s="17">
        <f>(E5+F5)/2</f>
        <v>0</v>
      </c>
      <c r="E5" s="44"/>
      <c r="F5" s="44"/>
      <c r="G5" s="18">
        <v>3</v>
      </c>
      <c r="H5" s="19">
        <f>D5*G5</f>
        <v>0</v>
      </c>
      <c r="I5" s="153"/>
      <c r="J5" s="154"/>
      <c r="K5" s="46" t="s">
        <v>157</v>
      </c>
      <c r="L5" s="17" t="str">
        <f>IF(D5&lt;10,"D",IF(D5&lt;12,"C",IF(D5&lt;14,"C+",IF(D5&lt;15,"B",IF(D5&lt;16,"B+",IF(D5&lt;18,"A",IF(D5&lt;20,"A+")))))))</f>
        <v>D</v>
      </c>
      <c r="M5" s="16"/>
      <c r="N5" s="16"/>
      <c r="O5" s="20">
        <f>E5*G5</f>
        <v>0</v>
      </c>
      <c r="P5" s="20">
        <f>F5*G5</f>
        <v>0</v>
      </c>
    </row>
    <row r="6" spans="2:16" ht="32.25" thickBot="1" x14ac:dyDescent="0.3">
      <c r="B6" s="84" t="s">
        <v>121</v>
      </c>
      <c r="C6" s="43" t="s">
        <v>76</v>
      </c>
      <c r="D6" s="17">
        <f t="shared" ref="D6:D9" si="0">(E6+F6)/2</f>
        <v>0</v>
      </c>
      <c r="E6" s="44"/>
      <c r="F6" s="44"/>
      <c r="G6" s="18">
        <v>1</v>
      </c>
      <c r="H6" s="19">
        <f t="shared" ref="H6:H9" si="1">D6*G6</f>
        <v>0</v>
      </c>
      <c r="I6" s="153"/>
      <c r="J6" s="154"/>
      <c r="K6" s="46" t="s">
        <v>157</v>
      </c>
      <c r="L6" s="17" t="str">
        <f t="shared" ref="L6:L9" si="2">IF(D6&lt;10,"D",IF(D6&lt;12,"C",IF(D6&lt;14,"C+",IF(D6&lt;15,"B",IF(D6&lt;16,"B+",IF(D6&lt;18,"A",IF(D6&lt;20,"A+")))))))</f>
        <v>D</v>
      </c>
      <c r="M6" s="16"/>
      <c r="N6" s="16"/>
      <c r="O6" s="20">
        <f t="shared" ref="O6:O9" si="3">E6*G6</f>
        <v>0</v>
      </c>
      <c r="P6" s="20">
        <f t="shared" ref="P6:P9" si="4">F6*G6</f>
        <v>0</v>
      </c>
    </row>
    <row r="7" spans="2:16" ht="32.25" thickBot="1" x14ac:dyDescent="0.3">
      <c r="B7" s="84" t="s">
        <v>122</v>
      </c>
      <c r="C7" s="43" t="s">
        <v>77</v>
      </c>
      <c r="D7" s="17">
        <f t="shared" si="0"/>
        <v>0</v>
      </c>
      <c r="E7" s="44"/>
      <c r="F7" s="44"/>
      <c r="G7" s="18">
        <v>2</v>
      </c>
      <c r="H7" s="19">
        <f t="shared" si="1"/>
        <v>0</v>
      </c>
      <c r="I7" s="153"/>
      <c r="J7" s="154"/>
      <c r="K7" s="46" t="s">
        <v>157</v>
      </c>
      <c r="L7" s="17" t="str">
        <f t="shared" si="2"/>
        <v>D</v>
      </c>
      <c r="M7" s="16"/>
      <c r="N7" s="16"/>
      <c r="O7" s="20">
        <f t="shared" si="3"/>
        <v>0</v>
      </c>
      <c r="P7" s="20">
        <f t="shared" si="4"/>
        <v>0</v>
      </c>
    </row>
    <row r="8" spans="2:16" ht="39" thickBot="1" x14ac:dyDescent="0.3">
      <c r="B8" s="84" t="s">
        <v>123</v>
      </c>
      <c r="C8" s="43" t="s">
        <v>78</v>
      </c>
      <c r="D8" s="17">
        <f t="shared" si="0"/>
        <v>0</v>
      </c>
      <c r="E8" s="44"/>
      <c r="F8" s="44"/>
      <c r="G8" s="18">
        <v>2</v>
      </c>
      <c r="H8" s="19">
        <f t="shared" si="1"/>
        <v>0</v>
      </c>
      <c r="I8" s="153"/>
      <c r="J8" s="154"/>
      <c r="K8" s="46" t="s">
        <v>157</v>
      </c>
      <c r="L8" s="17" t="str">
        <f t="shared" si="2"/>
        <v>D</v>
      </c>
      <c r="M8" s="16"/>
      <c r="N8" s="16"/>
      <c r="O8" s="20">
        <f t="shared" si="3"/>
        <v>0</v>
      </c>
      <c r="P8" s="20">
        <f t="shared" si="4"/>
        <v>0</v>
      </c>
    </row>
    <row r="9" spans="2:16" ht="39" thickBot="1" x14ac:dyDescent="0.3">
      <c r="B9" s="84" t="s">
        <v>124</v>
      </c>
      <c r="C9" s="43" t="s">
        <v>78</v>
      </c>
      <c r="D9" s="17">
        <f t="shared" si="0"/>
        <v>0</v>
      </c>
      <c r="E9" s="44"/>
      <c r="F9" s="44"/>
      <c r="G9" s="18">
        <v>1</v>
      </c>
      <c r="H9" s="19">
        <f t="shared" si="1"/>
        <v>0</v>
      </c>
      <c r="I9" s="153"/>
      <c r="J9" s="154"/>
      <c r="K9" s="46" t="s">
        <v>157</v>
      </c>
      <c r="L9" s="17" t="str">
        <f t="shared" si="2"/>
        <v>D</v>
      </c>
      <c r="M9" s="16"/>
      <c r="N9" s="16"/>
      <c r="O9" s="20">
        <f t="shared" si="3"/>
        <v>0</v>
      </c>
      <c r="P9" s="20">
        <f t="shared" si="4"/>
        <v>0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0</v>
      </c>
      <c r="E11" s="158"/>
      <c r="F11" s="158"/>
      <c r="G11" s="159" t="s">
        <v>30</v>
      </c>
      <c r="H11" s="159"/>
      <c r="I11" s="85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84" t="s">
        <v>125</v>
      </c>
      <c r="C13" s="43" t="s">
        <v>79</v>
      </c>
      <c r="D13" s="17">
        <f t="shared" ref="D13:D16" si="5">(E13+F13)/2</f>
        <v>0</v>
      </c>
      <c r="E13" s="44"/>
      <c r="F13" s="44"/>
      <c r="G13" s="18">
        <v>2</v>
      </c>
      <c r="H13" s="19">
        <f t="shared" ref="H13:H16" si="6">D13*G13</f>
        <v>0</v>
      </c>
      <c r="I13" s="153"/>
      <c r="J13" s="154"/>
      <c r="K13" s="46" t="s">
        <v>157</v>
      </c>
      <c r="L13" s="17" t="str">
        <f t="shared" ref="L13:L16" si="7">IF(D13&lt;10,"D",IF(D13&lt;12,"C",IF(D13&lt;14,"C+",IF(D13&lt;15,"B",IF(D13&lt;16,"B+",IF(D13&lt;18,"A",IF(D13&lt;20,"A+")))))))</f>
        <v>D</v>
      </c>
      <c r="M13" s="16"/>
      <c r="N13" s="16"/>
      <c r="O13" s="20">
        <f t="shared" ref="O13:O16" si="8">E13*G13</f>
        <v>0</v>
      </c>
      <c r="P13" s="20">
        <f t="shared" ref="P13:P16" si="9">F13*G13</f>
        <v>0</v>
      </c>
    </row>
    <row r="14" spans="2:16" ht="48" thickBot="1" x14ac:dyDescent="0.3">
      <c r="B14" s="84" t="s">
        <v>126</v>
      </c>
      <c r="C14" s="45" t="s">
        <v>80</v>
      </c>
      <c r="D14" s="17">
        <f t="shared" si="5"/>
        <v>0</v>
      </c>
      <c r="E14" s="44"/>
      <c r="F14" s="44"/>
      <c r="G14" s="18">
        <v>2</v>
      </c>
      <c r="H14" s="19">
        <f t="shared" si="6"/>
        <v>0</v>
      </c>
      <c r="I14" s="153"/>
      <c r="J14" s="154"/>
      <c r="K14" s="46" t="s">
        <v>157</v>
      </c>
      <c r="L14" s="17" t="str">
        <f t="shared" si="7"/>
        <v>D</v>
      </c>
      <c r="M14" s="16"/>
      <c r="N14" s="16"/>
      <c r="O14" s="20">
        <f t="shared" si="8"/>
        <v>0</v>
      </c>
      <c r="P14" s="20">
        <f t="shared" si="9"/>
        <v>0</v>
      </c>
    </row>
    <row r="15" spans="2:16" ht="37.5" customHeight="1" thickBot="1" x14ac:dyDescent="0.3">
      <c r="B15" s="84" t="s">
        <v>127</v>
      </c>
      <c r="C15" s="45" t="s">
        <v>81</v>
      </c>
      <c r="D15" s="17">
        <f t="shared" si="5"/>
        <v>0</v>
      </c>
      <c r="E15" s="44"/>
      <c r="F15" s="44"/>
      <c r="G15" s="18">
        <v>2</v>
      </c>
      <c r="H15" s="19">
        <f t="shared" si="6"/>
        <v>0</v>
      </c>
      <c r="I15" s="153"/>
      <c r="J15" s="154"/>
      <c r="K15" s="46" t="s">
        <v>157</v>
      </c>
      <c r="L15" s="17" t="str">
        <f t="shared" si="7"/>
        <v>D</v>
      </c>
      <c r="M15" s="16"/>
      <c r="N15" s="16"/>
      <c r="O15" s="20">
        <f t="shared" si="8"/>
        <v>0</v>
      </c>
      <c r="P15" s="20">
        <f t="shared" si="9"/>
        <v>0</v>
      </c>
    </row>
    <row r="16" spans="2:16" ht="32.25" thickBot="1" x14ac:dyDescent="0.3">
      <c r="B16" s="84" t="s">
        <v>128</v>
      </c>
      <c r="C16" s="42" t="s">
        <v>73</v>
      </c>
      <c r="D16" s="17">
        <f t="shared" si="5"/>
        <v>0</v>
      </c>
      <c r="E16" s="17"/>
      <c r="F16" s="17"/>
      <c r="G16" s="18">
        <v>1</v>
      </c>
      <c r="H16" s="19">
        <f t="shared" si="6"/>
        <v>0</v>
      </c>
      <c r="I16" s="153"/>
      <c r="J16" s="154"/>
      <c r="K16" s="46" t="s">
        <v>157</v>
      </c>
      <c r="L16" s="17" t="str">
        <f t="shared" si="7"/>
        <v>D</v>
      </c>
      <c r="M16" s="16"/>
      <c r="N16" s="16"/>
      <c r="O16" s="20">
        <f t="shared" si="8"/>
        <v>0</v>
      </c>
      <c r="P16" s="20">
        <f t="shared" si="9"/>
        <v>0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0</v>
      </c>
      <c r="E18" s="158"/>
      <c r="F18" s="158"/>
      <c r="G18" s="159" t="s">
        <v>30</v>
      </c>
      <c r="H18" s="159"/>
      <c r="I18" s="85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84" t="s">
        <v>71</v>
      </c>
      <c r="C20" s="45" t="s">
        <v>82</v>
      </c>
      <c r="D20" s="17">
        <f t="shared" ref="D20:D22" si="10">(E20+F20)/2</f>
        <v>0</v>
      </c>
      <c r="E20" s="44"/>
      <c r="F20" s="44"/>
      <c r="G20" s="18">
        <v>2</v>
      </c>
      <c r="H20" s="19">
        <f t="shared" ref="H20:H22" si="11">D20*G20</f>
        <v>0</v>
      </c>
      <c r="I20" s="153"/>
      <c r="J20" s="154"/>
      <c r="K20" s="46" t="s">
        <v>157</v>
      </c>
      <c r="L20" s="17" t="str">
        <f t="shared" ref="L20:L22" si="12">IF(D20&lt;10,"D",IF(D20&lt;12,"C",IF(D20&lt;14,"C+",IF(D20&lt;15,"B",IF(D20&lt;16,"B+",IF(D20&lt;18,"A",IF(D20&lt;20,"A+")))))))</f>
        <v>D</v>
      </c>
      <c r="M20" s="16"/>
      <c r="N20" s="16"/>
      <c r="O20" s="20">
        <f t="shared" ref="O20:O22" si="13">E20*G20</f>
        <v>0</v>
      </c>
      <c r="P20" s="20">
        <f t="shared" ref="P20:P22" si="14">F20*G20</f>
        <v>0</v>
      </c>
    </row>
    <row r="21" spans="2:16" ht="64.5" thickBot="1" x14ac:dyDescent="0.3">
      <c r="B21" s="84" t="s">
        <v>129</v>
      </c>
      <c r="C21" s="45" t="s">
        <v>83</v>
      </c>
      <c r="D21" s="17">
        <f t="shared" si="10"/>
        <v>0</v>
      </c>
      <c r="E21" s="44"/>
      <c r="F21" s="44"/>
      <c r="G21" s="18">
        <v>4</v>
      </c>
      <c r="H21" s="19">
        <f t="shared" si="11"/>
        <v>0</v>
      </c>
      <c r="I21" s="153"/>
      <c r="J21" s="154"/>
      <c r="K21" s="46" t="s">
        <v>157</v>
      </c>
      <c r="L21" s="17" t="str">
        <f t="shared" si="12"/>
        <v>D</v>
      </c>
      <c r="M21" s="16"/>
      <c r="N21" s="16"/>
      <c r="O21" s="20">
        <f t="shared" si="13"/>
        <v>0</v>
      </c>
      <c r="P21" s="20">
        <f t="shared" si="14"/>
        <v>0</v>
      </c>
    </row>
    <row r="22" spans="2:16" ht="64.5" thickBot="1" x14ac:dyDescent="0.3">
      <c r="B22" s="84" t="s">
        <v>130</v>
      </c>
      <c r="C22" s="45" t="s">
        <v>84</v>
      </c>
      <c r="D22" s="17">
        <f t="shared" si="10"/>
        <v>0</v>
      </c>
      <c r="E22" s="44"/>
      <c r="F22" s="44"/>
      <c r="G22" s="18">
        <v>2</v>
      </c>
      <c r="H22" s="19">
        <f t="shared" si="11"/>
        <v>0</v>
      </c>
      <c r="I22" s="153"/>
      <c r="J22" s="154"/>
      <c r="K22" s="46" t="s">
        <v>157</v>
      </c>
      <c r="L22" s="17" t="str">
        <f t="shared" si="12"/>
        <v>D</v>
      </c>
      <c r="M22" s="16"/>
      <c r="N22" s="16"/>
      <c r="O22" s="20">
        <f t="shared" si="13"/>
        <v>0</v>
      </c>
      <c r="P22" s="20">
        <f t="shared" si="14"/>
        <v>0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0</v>
      </c>
      <c r="E24" s="158"/>
      <c r="F24" s="158"/>
      <c r="G24" s="159" t="s">
        <v>30</v>
      </c>
      <c r="H24" s="159"/>
      <c r="I24" s="85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84" t="s">
        <v>131</v>
      </c>
      <c r="C26" s="43" t="s">
        <v>74</v>
      </c>
      <c r="D26" s="17">
        <f t="shared" ref="D26:D29" si="15">(E26+F26)/2</f>
        <v>0</v>
      </c>
      <c r="E26" s="44"/>
      <c r="F26" s="44"/>
      <c r="G26" s="18">
        <v>1</v>
      </c>
      <c r="H26" s="19">
        <f t="shared" ref="H26:H29" si="16">D26*G26</f>
        <v>0</v>
      </c>
      <c r="I26" s="153"/>
      <c r="J26" s="154"/>
      <c r="K26" s="46" t="s">
        <v>157</v>
      </c>
      <c r="L26" s="17" t="str">
        <f t="shared" ref="L26:L28" si="17">IF(D26&lt;10,"D",IF(D26&lt;12,"C",IF(D26&lt;14,"C+",IF(D26&lt;15,"B",IF(D26&lt;16,"B+",IF(D26&lt;18,"A",IF(D26&lt;20,"A+")))))))</f>
        <v>D</v>
      </c>
      <c r="M26" s="16"/>
      <c r="N26" s="16"/>
      <c r="O26" s="20">
        <f t="shared" ref="O26:O29" si="18">E26*G26</f>
        <v>0</v>
      </c>
      <c r="P26" s="20">
        <f t="shared" ref="P26:P29" si="19">F26*G26</f>
        <v>0</v>
      </c>
    </row>
    <row r="27" spans="2:16" ht="32.25" thickBot="1" x14ac:dyDescent="0.3">
      <c r="B27" s="84" t="s">
        <v>72</v>
      </c>
      <c r="C27" s="45" t="s">
        <v>85</v>
      </c>
      <c r="D27" s="17">
        <f t="shared" si="15"/>
        <v>0</v>
      </c>
      <c r="E27" s="44"/>
      <c r="F27" s="44"/>
      <c r="G27" s="18">
        <v>2</v>
      </c>
      <c r="H27" s="19">
        <f>D27*G27</f>
        <v>0</v>
      </c>
      <c r="I27" s="153"/>
      <c r="J27" s="154"/>
      <c r="K27" s="46" t="s">
        <v>157</v>
      </c>
      <c r="L27" s="17" t="str">
        <f t="shared" si="17"/>
        <v>D</v>
      </c>
      <c r="M27" s="16"/>
      <c r="N27" s="16"/>
      <c r="O27" s="20">
        <f t="shared" si="18"/>
        <v>0</v>
      </c>
      <c r="P27" s="20">
        <f t="shared" si="19"/>
        <v>0</v>
      </c>
    </row>
    <row r="28" spans="2:16" ht="39.75" customHeight="1" thickBot="1" x14ac:dyDescent="0.3">
      <c r="B28" s="84" t="s">
        <v>132</v>
      </c>
      <c r="C28" s="45" t="s">
        <v>86</v>
      </c>
      <c r="D28" s="17">
        <f t="shared" si="15"/>
        <v>0</v>
      </c>
      <c r="E28" s="44"/>
      <c r="F28" s="44"/>
      <c r="G28" s="18">
        <v>1</v>
      </c>
      <c r="H28" s="19">
        <f t="shared" si="16"/>
        <v>0</v>
      </c>
      <c r="I28" s="153"/>
      <c r="J28" s="154"/>
      <c r="K28" s="46" t="s">
        <v>157</v>
      </c>
      <c r="L28" s="17" t="str">
        <f t="shared" si="17"/>
        <v>D</v>
      </c>
      <c r="M28" s="16"/>
      <c r="N28" s="16"/>
      <c r="O28" s="20">
        <f t="shared" si="18"/>
        <v>0</v>
      </c>
      <c r="P28" s="20">
        <f t="shared" si="19"/>
        <v>0</v>
      </c>
    </row>
    <row r="29" spans="2:16" ht="39" thickBot="1" x14ac:dyDescent="0.3">
      <c r="B29" s="84" t="s">
        <v>133</v>
      </c>
      <c r="C29" s="45" t="s">
        <v>87</v>
      </c>
      <c r="D29" s="17">
        <f t="shared" si="15"/>
        <v>0</v>
      </c>
      <c r="E29" s="17"/>
      <c r="F29" s="17"/>
      <c r="G29" s="18">
        <v>1</v>
      </c>
      <c r="H29" s="19">
        <f t="shared" si="16"/>
        <v>0</v>
      </c>
      <c r="I29" s="153"/>
      <c r="J29" s="154"/>
      <c r="K29" s="46" t="s">
        <v>157</v>
      </c>
      <c r="L29" s="17" t="str">
        <f>IF(D29&lt;10,"D",IF(D29&lt;12,"C",IF(D29&lt;14,"C+",IF(D29&lt;15,"B",IF(D29&lt;16,"B+",IF(D29&lt;18,"A",IF(D29&lt;20,"A+")))))))</f>
        <v>D</v>
      </c>
      <c r="M29" s="16"/>
      <c r="N29" s="16"/>
      <c r="O29" s="20">
        <f t="shared" si="18"/>
        <v>0</v>
      </c>
      <c r="P29" s="20">
        <f t="shared" si="19"/>
        <v>0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0</v>
      </c>
      <c r="P30" s="16">
        <f>SUM(P5:P29)</f>
        <v>0</v>
      </c>
    </row>
    <row r="31" spans="2:16" ht="16.5" thickBot="1" x14ac:dyDescent="0.3">
      <c r="B31" s="25" t="s">
        <v>32</v>
      </c>
      <c r="C31" s="40"/>
      <c r="D31" s="158">
        <f>(SUM(H26:H29)/SUM(G26:G29))</f>
        <v>0</v>
      </c>
      <c r="E31" s="158"/>
      <c r="F31" s="158"/>
      <c r="G31" s="182" t="s">
        <v>30</v>
      </c>
      <c r="H31" s="182"/>
      <c r="I31" s="81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0</v>
      </c>
      <c r="P32" s="16">
        <f>P30/P31</f>
        <v>0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>
        <f>O32</f>
        <v>0</v>
      </c>
      <c r="E35" s="73">
        <f>P32</f>
        <v>0</v>
      </c>
      <c r="F35" s="74" t="s">
        <v>156</v>
      </c>
      <c r="G35" s="75">
        <f>(H5+H6+H7+H8+H9+H13+H14+H15+H16+H20+H21+H22+H26+H27+H28+H29)/29</f>
        <v>0</v>
      </c>
      <c r="H35" s="72" t="s">
        <v>40</v>
      </c>
      <c r="I35" s="151" t="s">
        <v>41</v>
      </c>
      <c r="J35" s="152"/>
      <c r="K35" s="30" t="s">
        <v>158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CNA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K44:L44"/>
    <mergeCell ref="B25:L25"/>
    <mergeCell ref="D39:F39"/>
    <mergeCell ref="G39:L40"/>
    <mergeCell ref="D40:F42"/>
    <mergeCell ref="G41:J41"/>
    <mergeCell ref="K41:L41"/>
    <mergeCell ref="G42:J42"/>
    <mergeCell ref="K42:L42"/>
    <mergeCell ref="I26:J26"/>
    <mergeCell ref="I27:J27"/>
    <mergeCell ref="I28:J28"/>
    <mergeCell ref="I29:J29"/>
    <mergeCell ref="D31:F31"/>
    <mergeCell ref="G31:H31"/>
    <mergeCell ref="J31:L31"/>
    <mergeCell ref="B32:L32"/>
    <mergeCell ref="I4:J4"/>
    <mergeCell ref="I5:J5"/>
    <mergeCell ref="I6:J6"/>
    <mergeCell ref="I7:J7"/>
    <mergeCell ref="B17:L17"/>
    <mergeCell ref="I8:J8"/>
    <mergeCell ref="I9:J9"/>
    <mergeCell ref="B10:L10"/>
    <mergeCell ref="D11:F11"/>
    <mergeCell ref="G11:H11"/>
    <mergeCell ref="J11:L11"/>
    <mergeCell ref="B12:L12"/>
    <mergeCell ref="I13:J13"/>
    <mergeCell ref="I14:J14"/>
    <mergeCell ref="I15:J15"/>
    <mergeCell ref="I16:J16"/>
    <mergeCell ref="D18:F18"/>
    <mergeCell ref="G18:H18"/>
    <mergeCell ref="J18:L18"/>
    <mergeCell ref="B19:L19"/>
    <mergeCell ref="I20:J20"/>
    <mergeCell ref="I21:J21"/>
    <mergeCell ref="I22:J22"/>
    <mergeCell ref="B23:L23"/>
    <mergeCell ref="D24:F24"/>
    <mergeCell ref="G24:H24"/>
    <mergeCell ref="J24:L24"/>
    <mergeCell ref="B33:C33"/>
    <mergeCell ref="G33:H33"/>
    <mergeCell ref="J33:K33"/>
    <mergeCell ref="I34:L34"/>
    <mergeCell ref="I35:J35"/>
    <mergeCell ref="C40:C42"/>
    <mergeCell ref="C43:C44"/>
    <mergeCell ref="K46:L48"/>
    <mergeCell ref="B36:H36"/>
    <mergeCell ref="I36:L36"/>
    <mergeCell ref="B37:L37"/>
    <mergeCell ref="B38:L38"/>
    <mergeCell ref="D45:F48"/>
    <mergeCell ref="G45:J48"/>
    <mergeCell ref="K45:L45"/>
    <mergeCell ref="B46:B48"/>
    <mergeCell ref="C45:C48"/>
    <mergeCell ref="D43:F44"/>
    <mergeCell ref="G43:J43"/>
    <mergeCell ref="K43:L43"/>
    <mergeCell ref="G44:J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topLeftCell="D36" zoomScale="90" zoomScaleNormal="90" workbookViewId="0">
      <selection activeCell="B4" sqref="B4:L48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2" t="s">
        <v>24</v>
      </c>
      <c r="C4" s="41" t="s">
        <v>69</v>
      </c>
      <c r="D4" s="83" t="s">
        <v>153</v>
      </c>
      <c r="E4" s="83" t="s">
        <v>154</v>
      </c>
      <c r="F4" s="83" t="s">
        <v>155</v>
      </c>
      <c r="G4" s="83" t="s">
        <v>25</v>
      </c>
      <c r="H4" s="82" t="s">
        <v>26</v>
      </c>
      <c r="I4" s="167" t="s">
        <v>27</v>
      </c>
      <c r="J4" s="168"/>
      <c r="K4" s="83" t="s">
        <v>21</v>
      </c>
      <c r="L4" s="83" t="s">
        <v>28</v>
      </c>
      <c r="M4" s="16"/>
      <c r="N4" s="16"/>
      <c r="O4" s="16"/>
      <c r="P4" s="16"/>
    </row>
    <row r="5" spans="2:16" ht="43.5" customHeight="1" thickBot="1" x14ac:dyDescent="0.3">
      <c r="B5" s="84" t="s">
        <v>70</v>
      </c>
      <c r="C5" s="43" t="s">
        <v>75</v>
      </c>
      <c r="D5" s="17">
        <f>(E5+F5)/2</f>
        <v>11.5</v>
      </c>
      <c r="E5" s="44">
        <v>10</v>
      </c>
      <c r="F5" s="44">
        <v>13</v>
      </c>
      <c r="G5" s="18">
        <v>3</v>
      </c>
      <c r="H5" s="19">
        <f>D5*G5</f>
        <v>34.5</v>
      </c>
      <c r="I5" s="153">
        <v>14</v>
      </c>
      <c r="J5" s="154">
        <v>14</v>
      </c>
      <c r="K5" s="46" t="s">
        <v>139</v>
      </c>
      <c r="L5" s="17" t="str">
        <f>IF(D5&lt;10,"D",IF(D5&lt;12,"C",IF(D5&lt;14,"C+",IF(D5&lt;15,"B",IF(D5&lt;16,"B+",IF(D5&lt;18,"A",IF(D5&lt;20,"A+")))))))</f>
        <v>C</v>
      </c>
      <c r="M5" s="16"/>
      <c r="N5" s="16"/>
      <c r="O5" s="20">
        <f>E5*G5</f>
        <v>30</v>
      </c>
      <c r="P5" s="20">
        <f>F5*G5</f>
        <v>39</v>
      </c>
    </row>
    <row r="6" spans="2:16" ht="32.25" thickBot="1" x14ac:dyDescent="0.3">
      <c r="B6" s="84" t="s">
        <v>121</v>
      </c>
      <c r="C6" s="43" t="s">
        <v>76</v>
      </c>
      <c r="D6" s="17">
        <f t="shared" ref="D6:D9" si="0">(E6+F6)/2</f>
        <v>9</v>
      </c>
      <c r="E6" s="44">
        <v>7</v>
      </c>
      <c r="F6" s="44">
        <v>11</v>
      </c>
      <c r="G6" s="18">
        <v>1</v>
      </c>
      <c r="H6" s="19">
        <f t="shared" ref="H6:H9" si="1">D6*G6</f>
        <v>9</v>
      </c>
      <c r="I6" s="153">
        <v>7.75</v>
      </c>
      <c r="J6" s="154">
        <v>7.75</v>
      </c>
      <c r="K6" s="46" t="s">
        <v>143</v>
      </c>
      <c r="L6" s="17" t="str">
        <f t="shared" ref="L6:L9" si="2">IF(D6&lt;10,"D",IF(D6&lt;12,"C",IF(D6&lt;14,"C+",IF(D6&lt;15,"B",IF(D6&lt;16,"B+",IF(D6&lt;18,"A",IF(D6&lt;20,"A+")))))))</f>
        <v>D</v>
      </c>
      <c r="M6" s="16"/>
      <c r="N6" s="16"/>
      <c r="O6" s="20">
        <f t="shared" ref="O6:O9" si="3">E6*G6</f>
        <v>7</v>
      </c>
      <c r="P6" s="20">
        <f t="shared" ref="P6:P9" si="4">F6*G6</f>
        <v>11</v>
      </c>
    </row>
    <row r="7" spans="2:16" ht="32.25" thickBot="1" x14ac:dyDescent="0.3">
      <c r="B7" s="84" t="s">
        <v>122</v>
      </c>
      <c r="C7" s="43" t="s">
        <v>77</v>
      </c>
      <c r="D7" s="17">
        <f t="shared" si="0"/>
        <v>12.5</v>
      </c>
      <c r="E7" s="44">
        <v>10</v>
      </c>
      <c r="F7" s="44">
        <v>15</v>
      </c>
      <c r="G7" s="18">
        <v>2</v>
      </c>
      <c r="H7" s="19">
        <f t="shared" si="1"/>
        <v>25</v>
      </c>
      <c r="I7" s="153">
        <v>11.375</v>
      </c>
      <c r="J7" s="154">
        <v>11.375</v>
      </c>
      <c r="K7" s="46" t="s">
        <v>144</v>
      </c>
      <c r="L7" s="17" t="str">
        <f t="shared" si="2"/>
        <v>C+</v>
      </c>
      <c r="M7" s="16"/>
      <c r="N7" s="16"/>
      <c r="O7" s="20">
        <f t="shared" si="3"/>
        <v>20</v>
      </c>
      <c r="P7" s="20">
        <f t="shared" si="4"/>
        <v>30</v>
      </c>
    </row>
    <row r="8" spans="2:16" ht="39" thickBot="1" x14ac:dyDescent="0.3">
      <c r="B8" s="84" t="s">
        <v>123</v>
      </c>
      <c r="C8" s="43" t="s">
        <v>78</v>
      </c>
      <c r="D8" s="17">
        <f t="shared" si="0"/>
        <v>13.25</v>
      </c>
      <c r="E8" s="44">
        <v>11.5</v>
      </c>
      <c r="F8" s="44">
        <v>15</v>
      </c>
      <c r="G8" s="18">
        <v>2</v>
      </c>
      <c r="H8" s="19">
        <f t="shared" si="1"/>
        <v>26.5</v>
      </c>
      <c r="I8" s="153">
        <v>12.5</v>
      </c>
      <c r="J8" s="154">
        <v>12.5</v>
      </c>
      <c r="K8" s="46" t="s">
        <v>144</v>
      </c>
      <c r="L8" s="17" t="str">
        <f t="shared" si="2"/>
        <v>C+</v>
      </c>
      <c r="M8" s="16"/>
      <c r="N8" s="16"/>
      <c r="O8" s="20">
        <f t="shared" si="3"/>
        <v>23</v>
      </c>
      <c r="P8" s="20">
        <f t="shared" si="4"/>
        <v>30</v>
      </c>
    </row>
    <row r="9" spans="2:16" ht="39" thickBot="1" x14ac:dyDescent="0.3">
      <c r="B9" s="84" t="s">
        <v>124</v>
      </c>
      <c r="C9" s="43" t="s">
        <v>78</v>
      </c>
      <c r="D9" s="17">
        <f t="shared" si="0"/>
        <v>15.5</v>
      </c>
      <c r="E9" s="44">
        <v>15</v>
      </c>
      <c r="F9" s="44">
        <v>16</v>
      </c>
      <c r="G9" s="18">
        <v>1</v>
      </c>
      <c r="H9" s="19">
        <f t="shared" si="1"/>
        <v>15.5</v>
      </c>
      <c r="I9" s="153">
        <v>16</v>
      </c>
      <c r="J9" s="154">
        <v>16</v>
      </c>
      <c r="K9" s="46" t="s">
        <v>141</v>
      </c>
      <c r="L9" s="17" t="str">
        <f t="shared" si="2"/>
        <v>B+</v>
      </c>
      <c r="M9" s="16"/>
      <c r="N9" s="16"/>
      <c r="O9" s="20">
        <f t="shared" si="3"/>
        <v>15</v>
      </c>
      <c r="P9" s="20">
        <f t="shared" si="4"/>
        <v>16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12.277777777777779</v>
      </c>
      <c r="E11" s="158"/>
      <c r="F11" s="158"/>
      <c r="G11" s="159" t="s">
        <v>30</v>
      </c>
      <c r="H11" s="159"/>
      <c r="I11" s="85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84" t="s">
        <v>125</v>
      </c>
      <c r="C13" s="43" t="s">
        <v>79</v>
      </c>
      <c r="D13" s="17">
        <f t="shared" ref="D13:D16" si="5">(E13+F13)/2</f>
        <v>12.5</v>
      </c>
      <c r="E13" s="44">
        <v>9</v>
      </c>
      <c r="F13" s="44">
        <v>16</v>
      </c>
      <c r="G13" s="18">
        <v>2</v>
      </c>
      <c r="H13" s="19">
        <f t="shared" ref="H13:H16" si="6">D13*G13</f>
        <v>25</v>
      </c>
      <c r="I13" s="153">
        <v>16.75</v>
      </c>
      <c r="J13" s="154">
        <v>16.75</v>
      </c>
      <c r="K13" s="46" t="s">
        <v>135</v>
      </c>
      <c r="L13" s="17" t="str">
        <f t="shared" ref="L13:L16" si="7">IF(D13&lt;10,"D",IF(D13&lt;12,"C",IF(D13&lt;14,"C+",IF(D13&lt;15,"B",IF(D13&lt;16,"B+",IF(D13&lt;18,"A",IF(D13&lt;20,"A+")))))))</f>
        <v>C+</v>
      </c>
      <c r="M13" s="16"/>
      <c r="N13" s="16"/>
      <c r="O13" s="20">
        <f t="shared" ref="O13:O16" si="8">E13*G13</f>
        <v>18</v>
      </c>
      <c r="P13" s="20">
        <f t="shared" ref="P13:P16" si="9">F13*G13</f>
        <v>32</v>
      </c>
    </row>
    <row r="14" spans="2:16" ht="48" thickBot="1" x14ac:dyDescent="0.3">
      <c r="B14" s="84" t="s">
        <v>126</v>
      </c>
      <c r="C14" s="45" t="s">
        <v>80</v>
      </c>
      <c r="D14" s="17">
        <f t="shared" si="5"/>
        <v>13</v>
      </c>
      <c r="E14" s="44">
        <v>12</v>
      </c>
      <c r="F14" s="44">
        <v>14</v>
      </c>
      <c r="G14" s="18">
        <v>2</v>
      </c>
      <c r="H14" s="19">
        <f t="shared" si="6"/>
        <v>26</v>
      </c>
      <c r="I14" s="153">
        <v>11.75</v>
      </c>
      <c r="J14" s="154">
        <v>11.75</v>
      </c>
      <c r="K14" s="46" t="s">
        <v>136</v>
      </c>
      <c r="L14" s="17" t="str">
        <f t="shared" si="7"/>
        <v>C+</v>
      </c>
      <c r="M14" s="16"/>
      <c r="N14" s="16"/>
      <c r="O14" s="20">
        <f t="shared" si="8"/>
        <v>24</v>
      </c>
      <c r="P14" s="20">
        <f t="shared" si="9"/>
        <v>28</v>
      </c>
    </row>
    <row r="15" spans="2:16" ht="37.5" customHeight="1" thickBot="1" x14ac:dyDescent="0.3">
      <c r="B15" s="84" t="s">
        <v>127</v>
      </c>
      <c r="C15" s="45" t="s">
        <v>81</v>
      </c>
      <c r="D15" s="17">
        <f t="shared" si="5"/>
        <v>9.5</v>
      </c>
      <c r="E15" s="44">
        <v>8</v>
      </c>
      <c r="F15" s="44">
        <v>11</v>
      </c>
      <c r="G15" s="18">
        <v>2</v>
      </c>
      <c r="H15" s="19">
        <f t="shared" si="6"/>
        <v>19</v>
      </c>
      <c r="I15" s="153">
        <v>11.75</v>
      </c>
      <c r="J15" s="154">
        <v>11.75</v>
      </c>
      <c r="K15" s="46" t="s">
        <v>139</v>
      </c>
      <c r="L15" s="17" t="str">
        <f t="shared" si="7"/>
        <v>D</v>
      </c>
      <c r="M15" s="16"/>
      <c r="N15" s="16"/>
      <c r="O15" s="20">
        <f t="shared" si="8"/>
        <v>16</v>
      </c>
      <c r="P15" s="20">
        <f t="shared" si="9"/>
        <v>22</v>
      </c>
    </row>
    <row r="16" spans="2:16" ht="32.25" thickBot="1" x14ac:dyDescent="0.3">
      <c r="B16" s="84" t="s">
        <v>128</v>
      </c>
      <c r="C16" s="42" t="s">
        <v>73</v>
      </c>
      <c r="D16" s="17">
        <f t="shared" si="5"/>
        <v>9.5</v>
      </c>
      <c r="E16" s="17">
        <v>11</v>
      </c>
      <c r="F16" s="17">
        <v>8</v>
      </c>
      <c r="G16" s="18">
        <v>1</v>
      </c>
      <c r="H16" s="19">
        <f t="shared" si="6"/>
        <v>9.5</v>
      </c>
      <c r="I16" s="153">
        <v>7.75</v>
      </c>
      <c r="J16" s="154"/>
      <c r="K16" s="46" t="s">
        <v>141</v>
      </c>
      <c r="L16" s="17" t="str">
        <f t="shared" si="7"/>
        <v>D</v>
      </c>
      <c r="M16" s="16"/>
      <c r="N16" s="16"/>
      <c r="O16" s="20">
        <f t="shared" si="8"/>
        <v>11</v>
      </c>
      <c r="P16" s="20">
        <f t="shared" si="9"/>
        <v>8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11.357142857142858</v>
      </c>
      <c r="E18" s="158"/>
      <c r="F18" s="158"/>
      <c r="G18" s="159" t="s">
        <v>30</v>
      </c>
      <c r="H18" s="159"/>
      <c r="I18" s="85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84" t="s">
        <v>71</v>
      </c>
      <c r="C20" s="45" t="s">
        <v>82</v>
      </c>
      <c r="D20" s="17">
        <f t="shared" ref="D20:D22" si="10">(E20+F20)/2</f>
        <v>12.25</v>
      </c>
      <c r="E20" s="44">
        <v>8</v>
      </c>
      <c r="F20" s="44">
        <v>16.5</v>
      </c>
      <c r="G20" s="18">
        <v>2</v>
      </c>
      <c r="H20" s="19">
        <f t="shared" ref="H20:H22" si="11">D20*G20</f>
        <v>24.5</v>
      </c>
      <c r="I20" s="153">
        <v>14.75</v>
      </c>
      <c r="J20" s="154">
        <v>14.75</v>
      </c>
      <c r="K20" s="46" t="s">
        <v>139</v>
      </c>
      <c r="L20" s="17" t="str">
        <f t="shared" ref="L20:L22" si="12">IF(D20&lt;10,"D",IF(D20&lt;12,"C",IF(D20&lt;14,"C+",IF(D20&lt;15,"B",IF(D20&lt;16,"B+",IF(D20&lt;18,"A",IF(D20&lt;20,"A+")))))))</f>
        <v>C+</v>
      </c>
      <c r="M20" s="16"/>
      <c r="N20" s="16"/>
      <c r="O20" s="20">
        <f t="shared" ref="O20:O22" si="13">E20*G20</f>
        <v>16</v>
      </c>
      <c r="P20" s="20">
        <f t="shared" ref="P20:P22" si="14">F20*G20</f>
        <v>33</v>
      </c>
    </row>
    <row r="21" spans="2:16" ht="64.5" thickBot="1" x14ac:dyDescent="0.3">
      <c r="B21" s="84" t="s">
        <v>129</v>
      </c>
      <c r="C21" s="45" t="s">
        <v>83</v>
      </c>
      <c r="D21" s="17">
        <f t="shared" si="10"/>
        <v>8.5</v>
      </c>
      <c r="E21" s="44">
        <v>10</v>
      </c>
      <c r="F21" s="44">
        <v>7</v>
      </c>
      <c r="G21" s="18">
        <v>4</v>
      </c>
      <c r="H21" s="19">
        <f t="shared" si="11"/>
        <v>34</v>
      </c>
      <c r="I21" s="153">
        <v>5.5</v>
      </c>
      <c r="J21" s="154">
        <v>5.5</v>
      </c>
      <c r="K21" s="46" t="s">
        <v>141</v>
      </c>
      <c r="L21" s="17" t="str">
        <f t="shared" si="12"/>
        <v>D</v>
      </c>
      <c r="M21" s="16"/>
      <c r="N21" s="16"/>
      <c r="O21" s="20">
        <f t="shared" si="13"/>
        <v>40</v>
      </c>
      <c r="P21" s="20">
        <f t="shared" si="14"/>
        <v>28</v>
      </c>
    </row>
    <row r="22" spans="2:16" ht="64.5" thickBot="1" x14ac:dyDescent="0.3">
      <c r="B22" s="84" t="s">
        <v>130</v>
      </c>
      <c r="C22" s="45" t="s">
        <v>84</v>
      </c>
      <c r="D22" s="17">
        <f t="shared" si="10"/>
        <v>12</v>
      </c>
      <c r="E22" s="44">
        <v>10</v>
      </c>
      <c r="F22" s="44">
        <v>14</v>
      </c>
      <c r="G22" s="18">
        <v>2</v>
      </c>
      <c r="H22" s="19">
        <f t="shared" si="11"/>
        <v>24</v>
      </c>
      <c r="I22" s="153">
        <v>14.375</v>
      </c>
      <c r="J22" s="154">
        <v>14.375</v>
      </c>
      <c r="K22" s="46" t="s">
        <v>143</v>
      </c>
      <c r="L22" s="17" t="str">
        <f t="shared" si="12"/>
        <v>C+</v>
      </c>
      <c r="M22" s="16"/>
      <c r="N22" s="16"/>
      <c r="O22" s="20">
        <f t="shared" si="13"/>
        <v>20</v>
      </c>
      <c r="P22" s="20">
        <f t="shared" si="14"/>
        <v>28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10.3125</v>
      </c>
      <c r="E24" s="158"/>
      <c r="F24" s="158"/>
      <c r="G24" s="159" t="s">
        <v>30</v>
      </c>
      <c r="H24" s="159"/>
      <c r="I24" s="85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84" t="s">
        <v>131</v>
      </c>
      <c r="C26" s="43" t="s">
        <v>74</v>
      </c>
      <c r="D26" s="17">
        <f t="shared" ref="D26:D29" si="15">(E26+F26)/2</f>
        <v>11</v>
      </c>
      <c r="E26" s="44">
        <v>11</v>
      </c>
      <c r="F26" s="44">
        <v>11</v>
      </c>
      <c r="G26" s="18">
        <v>1</v>
      </c>
      <c r="H26" s="19">
        <f t="shared" ref="H26:H29" si="16">D26*G26</f>
        <v>11</v>
      </c>
      <c r="I26" s="153">
        <v>12.5</v>
      </c>
      <c r="J26" s="154">
        <v>12.5</v>
      </c>
      <c r="K26" s="46" t="s">
        <v>142</v>
      </c>
      <c r="L26" s="17" t="str">
        <f t="shared" ref="L26:L28" si="17">IF(D26&lt;10,"D",IF(D26&lt;12,"C",IF(D26&lt;14,"C+",IF(D26&lt;15,"B",IF(D26&lt;16,"B+",IF(D26&lt;18,"A",IF(D26&lt;20,"A+")))))))</f>
        <v>C</v>
      </c>
      <c r="M26" s="16"/>
      <c r="N26" s="16"/>
      <c r="O26" s="20">
        <f t="shared" ref="O26:O29" si="18">E26*G26</f>
        <v>11</v>
      </c>
      <c r="P26" s="20">
        <f t="shared" ref="P26:P29" si="19">F26*G26</f>
        <v>11</v>
      </c>
    </row>
    <row r="27" spans="2:16" ht="32.25" thickBot="1" x14ac:dyDescent="0.3">
      <c r="B27" s="84" t="s">
        <v>72</v>
      </c>
      <c r="C27" s="45" t="s">
        <v>85</v>
      </c>
      <c r="D27" s="17">
        <f t="shared" si="15"/>
        <v>15.5</v>
      </c>
      <c r="E27" s="44">
        <v>15</v>
      </c>
      <c r="F27" s="44">
        <v>16</v>
      </c>
      <c r="G27" s="18">
        <v>2</v>
      </c>
      <c r="H27" s="19">
        <f>D27*G27</f>
        <v>31</v>
      </c>
      <c r="I27" s="153">
        <v>16</v>
      </c>
      <c r="J27" s="154">
        <v>16</v>
      </c>
      <c r="K27" s="46" t="s">
        <v>139</v>
      </c>
      <c r="L27" s="17" t="str">
        <f t="shared" si="17"/>
        <v>B+</v>
      </c>
      <c r="M27" s="16"/>
      <c r="N27" s="16"/>
      <c r="O27" s="20">
        <f t="shared" si="18"/>
        <v>30</v>
      </c>
      <c r="P27" s="20">
        <f t="shared" si="19"/>
        <v>32</v>
      </c>
    </row>
    <row r="28" spans="2:16" ht="39.75" customHeight="1" thickBot="1" x14ac:dyDescent="0.3">
      <c r="B28" s="84" t="s">
        <v>132</v>
      </c>
      <c r="C28" s="45" t="s">
        <v>86</v>
      </c>
      <c r="D28" s="17">
        <f t="shared" si="15"/>
        <v>16.25</v>
      </c>
      <c r="E28" s="44">
        <v>14</v>
      </c>
      <c r="F28" s="44">
        <v>18.5</v>
      </c>
      <c r="G28" s="18">
        <v>1</v>
      </c>
      <c r="H28" s="19">
        <f t="shared" si="16"/>
        <v>16.25</v>
      </c>
      <c r="I28" s="153">
        <v>13.375</v>
      </c>
      <c r="J28" s="154">
        <v>13.375</v>
      </c>
      <c r="K28" s="46" t="s">
        <v>144</v>
      </c>
      <c r="L28" s="17" t="str">
        <f t="shared" si="17"/>
        <v>A</v>
      </c>
      <c r="M28" s="16"/>
      <c r="N28" s="16"/>
      <c r="O28" s="20">
        <f t="shared" si="18"/>
        <v>14</v>
      </c>
      <c r="P28" s="20">
        <f t="shared" si="19"/>
        <v>18.5</v>
      </c>
    </row>
    <row r="29" spans="2:16" ht="39" thickBot="1" x14ac:dyDescent="0.3">
      <c r="B29" s="84" t="s">
        <v>133</v>
      </c>
      <c r="C29" s="45" t="s">
        <v>87</v>
      </c>
      <c r="D29" s="17">
        <f t="shared" si="15"/>
        <v>16.5</v>
      </c>
      <c r="E29" s="17">
        <v>16</v>
      </c>
      <c r="F29" s="17">
        <v>17</v>
      </c>
      <c r="G29" s="18">
        <v>1</v>
      </c>
      <c r="H29" s="19">
        <f t="shared" si="16"/>
        <v>16.5</v>
      </c>
      <c r="I29" s="153">
        <v>17</v>
      </c>
      <c r="J29" s="154"/>
      <c r="K29" s="46" t="s">
        <v>141</v>
      </c>
      <c r="L29" s="17" t="str">
        <f>IF(D29&lt;10,"D",IF(D29&lt;12,"C",IF(D29&lt;14,"C+",IF(D29&lt;15,"B",IF(D29&lt;16,"B+",IF(D29&lt;18,"A",IF(D29&lt;20,"A+")))))))</f>
        <v>A</v>
      </c>
      <c r="M29" s="16"/>
      <c r="N29" s="16"/>
      <c r="O29" s="20">
        <f t="shared" si="18"/>
        <v>16</v>
      </c>
      <c r="P29" s="20">
        <f t="shared" si="19"/>
        <v>17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311</v>
      </c>
      <c r="P30" s="16">
        <f>SUM(P5:P29)</f>
        <v>383.5</v>
      </c>
    </row>
    <row r="31" spans="2:16" ht="16.5" thickBot="1" x14ac:dyDescent="0.3">
      <c r="B31" s="25" t="s">
        <v>32</v>
      </c>
      <c r="C31" s="40"/>
      <c r="D31" s="158">
        <f>(SUM(H26:H29)/SUM(G26:G29))</f>
        <v>14.95</v>
      </c>
      <c r="E31" s="158"/>
      <c r="F31" s="158"/>
      <c r="G31" s="182" t="s">
        <v>30</v>
      </c>
      <c r="H31" s="182"/>
      <c r="I31" s="81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10.724137931034482</v>
      </c>
      <c r="P32" s="16">
        <f>P30/P31</f>
        <v>13.224137931034482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>
        <f>O32</f>
        <v>10.724137931034482</v>
      </c>
      <c r="E35" s="73">
        <f>P32</f>
        <v>13.224137931034482</v>
      </c>
      <c r="F35" s="74" t="s">
        <v>156</v>
      </c>
      <c r="G35" s="75">
        <f>(H5+H6+H7+H8+H9+H13+H14+H15+H16+H20+H21+H22+H26+H27+H28+H29)/29</f>
        <v>11.974137931034482</v>
      </c>
      <c r="H35" s="72" t="s">
        <v>40</v>
      </c>
      <c r="I35" s="151" t="s">
        <v>41</v>
      </c>
      <c r="J35" s="152"/>
      <c r="K35" s="30" t="s">
        <v>110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CMA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K44:L44"/>
    <mergeCell ref="B25:L25"/>
    <mergeCell ref="D39:F39"/>
    <mergeCell ref="G39:L40"/>
    <mergeCell ref="D40:F42"/>
    <mergeCell ref="G41:J41"/>
    <mergeCell ref="K41:L41"/>
    <mergeCell ref="G42:J42"/>
    <mergeCell ref="K42:L42"/>
    <mergeCell ref="I26:J26"/>
    <mergeCell ref="I27:J27"/>
    <mergeCell ref="I28:J28"/>
    <mergeCell ref="I29:J29"/>
    <mergeCell ref="D31:F31"/>
    <mergeCell ref="G31:H31"/>
    <mergeCell ref="J31:L31"/>
    <mergeCell ref="B32:L32"/>
    <mergeCell ref="I4:J4"/>
    <mergeCell ref="I5:J5"/>
    <mergeCell ref="I6:J6"/>
    <mergeCell ref="I7:J7"/>
    <mergeCell ref="B17:L17"/>
    <mergeCell ref="I8:J8"/>
    <mergeCell ref="I9:J9"/>
    <mergeCell ref="B10:L10"/>
    <mergeCell ref="D11:F11"/>
    <mergeCell ref="G11:H11"/>
    <mergeCell ref="J11:L11"/>
    <mergeCell ref="B12:L12"/>
    <mergeCell ref="I13:J13"/>
    <mergeCell ref="I14:J14"/>
    <mergeCell ref="I15:J15"/>
    <mergeCell ref="I16:J16"/>
    <mergeCell ref="D18:F18"/>
    <mergeCell ref="G18:H18"/>
    <mergeCell ref="J18:L18"/>
    <mergeCell ref="B19:L19"/>
    <mergeCell ref="I20:J20"/>
    <mergeCell ref="I21:J21"/>
    <mergeCell ref="I22:J22"/>
    <mergeCell ref="B23:L23"/>
    <mergeCell ref="D24:F24"/>
    <mergeCell ref="G24:H24"/>
    <mergeCell ref="J24:L24"/>
    <mergeCell ref="B33:C33"/>
    <mergeCell ref="G33:H33"/>
    <mergeCell ref="J33:K33"/>
    <mergeCell ref="I34:L34"/>
    <mergeCell ref="I35:J35"/>
    <mergeCell ref="C40:C42"/>
    <mergeCell ref="C43:C44"/>
    <mergeCell ref="K46:L48"/>
    <mergeCell ref="B36:H36"/>
    <mergeCell ref="I36:L36"/>
    <mergeCell ref="B37:L37"/>
    <mergeCell ref="B38:L38"/>
    <mergeCell ref="D45:F48"/>
    <mergeCell ref="G45:J48"/>
    <mergeCell ref="K45:L45"/>
    <mergeCell ref="B46:B48"/>
    <mergeCell ref="C45:C48"/>
    <mergeCell ref="D43:F44"/>
    <mergeCell ref="G43:J43"/>
    <mergeCell ref="K43:L43"/>
    <mergeCell ref="G44:J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zoomScale="90" zoomScaleNormal="90" workbookViewId="0">
      <selection sqref="A1:XFD1048576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2" t="s">
        <v>24</v>
      </c>
      <c r="C4" s="41" t="s">
        <v>69</v>
      </c>
      <c r="D4" s="83" t="s">
        <v>153</v>
      </c>
      <c r="E4" s="83" t="s">
        <v>154</v>
      </c>
      <c r="F4" s="83" t="s">
        <v>155</v>
      </c>
      <c r="G4" s="83" t="s">
        <v>25</v>
      </c>
      <c r="H4" s="82" t="s">
        <v>26</v>
      </c>
      <c r="I4" s="167" t="s">
        <v>27</v>
      </c>
      <c r="J4" s="168"/>
      <c r="K4" s="83" t="s">
        <v>21</v>
      </c>
      <c r="L4" s="83" t="s">
        <v>28</v>
      </c>
      <c r="M4" s="16"/>
      <c r="N4" s="16"/>
      <c r="O4" s="16"/>
      <c r="P4" s="16"/>
    </row>
    <row r="5" spans="2:16" ht="43.5" customHeight="1" thickBot="1" x14ac:dyDescent="0.3">
      <c r="B5" s="84" t="s">
        <v>70</v>
      </c>
      <c r="C5" s="43" t="s">
        <v>75</v>
      </c>
      <c r="D5" s="17">
        <f>(E5+F5)/2</f>
        <v>0</v>
      </c>
      <c r="E5" s="44"/>
      <c r="F5" s="44"/>
      <c r="G5" s="18">
        <v>3</v>
      </c>
      <c r="H5" s="19">
        <f>D5*G5</f>
        <v>0</v>
      </c>
      <c r="I5" s="153">
        <v>14</v>
      </c>
      <c r="J5" s="154">
        <v>14</v>
      </c>
      <c r="K5" s="46" t="s">
        <v>157</v>
      </c>
      <c r="L5" s="17" t="str">
        <f>IF(D5&lt;10,"D",IF(D5&lt;12,"C",IF(D5&lt;14,"C+",IF(D5&lt;15,"B",IF(D5&lt;16,"B+",IF(D5&lt;18,"A",IF(D5&lt;20,"A+")))))))</f>
        <v>D</v>
      </c>
      <c r="M5" s="16"/>
      <c r="N5" s="16"/>
      <c r="O5" s="20">
        <f>E5*G5</f>
        <v>0</v>
      </c>
      <c r="P5" s="20">
        <f>F5*G5</f>
        <v>0</v>
      </c>
    </row>
    <row r="6" spans="2:16" ht="32.25" thickBot="1" x14ac:dyDescent="0.3">
      <c r="B6" s="84" t="s">
        <v>121</v>
      </c>
      <c r="C6" s="43" t="s">
        <v>76</v>
      </c>
      <c r="D6" s="17">
        <f t="shared" ref="D6:D9" si="0">(E6+F6)/2</f>
        <v>0</v>
      </c>
      <c r="E6" s="44"/>
      <c r="F6" s="44"/>
      <c r="G6" s="18">
        <v>1</v>
      </c>
      <c r="H6" s="19">
        <f t="shared" ref="H6:H9" si="1">D6*G6</f>
        <v>0</v>
      </c>
      <c r="I6" s="153">
        <v>7.75</v>
      </c>
      <c r="J6" s="154">
        <v>7.75</v>
      </c>
      <c r="K6" s="46" t="s">
        <v>157</v>
      </c>
      <c r="L6" s="17" t="str">
        <f t="shared" ref="L6:L9" si="2">IF(D6&lt;10,"D",IF(D6&lt;12,"C",IF(D6&lt;14,"C+",IF(D6&lt;15,"B",IF(D6&lt;16,"B+",IF(D6&lt;18,"A",IF(D6&lt;20,"A+")))))))</f>
        <v>D</v>
      </c>
      <c r="M6" s="16"/>
      <c r="N6" s="16"/>
      <c r="O6" s="20">
        <f t="shared" ref="O6:O9" si="3">E6*G6</f>
        <v>0</v>
      </c>
      <c r="P6" s="20">
        <f t="shared" ref="P6:P9" si="4">F6*G6</f>
        <v>0</v>
      </c>
    </row>
    <row r="7" spans="2:16" ht="32.25" thickBot="1" x14ac:dyDescent="0.3">
      <c r="B7" s="84" t="s">
        <v>122</v>
      </c>
      <c r="C7" s="43" t="s">
        <v>77</v>
      </c>
      <c r="D7" s="17">
        <f t="shared" si="0"/>
        <v>0</v>
      </c>
      <c r="E7" s="44"/>
      <c r="F7" s="44"/>
      <c r="G7" s="18">
        <v>2</v>
      </c>
      <c r="H7" s="19">
        <f t="shared" si="1"/>
        <v>0</v>
      </c>
      <c r="I7" s="153">
        <v>11.375</v>
      </c>
      <c r="J7" s="154">
        <v>11.375</v>
      </c>
      <c r="K7" s="46" t="s">
        <v>157</v>
      </c>
      <c r="L7" s="17" t="str">
        <f t="shared" si="2"/>
        <v>D</v>
      </c>
      <c r="M7" s="16"/>
      <c r="N7" s="16"/>
      <c r="O7" s="20">
        <f t="shared" si="3"/>
        <v>0</v>
      </c>
      <c r="P7" s="20">
        <f t="shared" si="4"/>
        <v>0</v>
      </c>
    </row>
    <row r="8" spans="2:16" ht="39" thickBot="1" x14ac:dyDescent="0.3">
      <c r="B8" s="84" t="s">
        <v>123</v>
      </c>
      <c r="C8" s="43" t="s">
        <v>78</v>
      </c>
      <c r="D8" s="17">
        <f t="shared" si="0"/>
        <v>0</v>
      </c>
      <c r="E8" s="44"/>
      <c r="F8" s="44"/>
      <c r="G8" s="18">
        <v>2</v>
      </c>
      <c r="H8" s="19">
        <f t="shared" si="1"/>
        <v>0</v>
      </c>
      <c r="I8" s="153">
        <v>12.5</v>
      </c>
      <c r="J8" s="154">
        <v>12.5</v>
      </c>
      <c r="K8" s="46" t="s">
        <v>157</v>
      </c>
      <c r="L8" s="17" t="str">
        <f t="shared" si="2"/>
        <v>D</v>
      </c>
      <c r="M8" s="16"/>
      <c r="N8" s="16"/>
      <c r="O8" s="20">
        <f t="shared" si="3"/>
        <v>0</v>
      </c>
      <c r="P8" s="20">
        <f t="shared" si="4"/>
        <v>0</v>
      </c>
    </row>
    <row r="9" spans="2:16" ht="39" thickBot="1" x14ac:dyDescent="0.3">
      <c r="B9" s="84" t="s">
        <v>124</v>
      </c>
      <c r="C9" s="43" t="s">
        <v>78</v>
      </c>
      <c r="D9" s="17">
        <f t="shared" si="0"/>
        <v>0</v>
      </c>
      <c r="E9" s="44"/>
      <c r="F9" s="44"/>
      <c r="G9" s="18">
        <v>1</v>
      </c>
      <c r="H9" s="19">
        <f t="shared" si="1"/>
        <v>0</v>
      </c>
      <c r="I9" s="153">
        <v>16</v>
      </c>
      <c r="J9" s="154">
        <v>16</v>
      </c>
      <c r="K9" s="46" t="s">
        <v>157</v>
      </c>
      <c r="L9" s="17" t="str">
        <f t="shared" si="2"/>
        <v>D</v>
      </c>
      <c r="M9" s="16"/>
      <c r="N9" s="16"/>
      <c r="O9" s="20">
        <f t="shared" si="3"/>
        <v>0</v>
      </c>
      <c r="P9" s="20">
        <f t="shared" si="4"/>
        <v>0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0</v>
      </c>
      <c r="E11" s="158"/>
      <c r="F11" s="158"/>
      <c r="G11" s="159" t="s">
        <v>30</v>
      </c>
      <c r="H11" s="159"/>
      <c r="I11" s="85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84" t="s">
        <v>125</v>
      </c>
      <c r="C13" s="43" t="s">
        <v>79</v>
      </c>
      <c r="D13" s="17">
        <f t="shared" ref="D13:D16" si="5">(E13+F13)/2</f>
        <v>0</v>
      </c>
      <c r="E13" s="44"/>
      <c r="F13" s="44"/>
      <c r="G13" s="18">
        <v>2</v>
      </c>
      <c r="H13" s="19">
        <f t="shared" ref="H13:H16" si="6">D13*G13</f>
        <v>0</v>
      </c>
      <c r="I13" s="153">
        <v>16.75</v>
      </c>
      <c r="J13" s="154">
        <v>16.75</v>
      </c>
      <c r="K13" s="46" t="s">
        <v>157</v>
      </c>
      <c r="L13" s="17" t="str">
        <f t="shared" ref="L13:L16" si="7">IF(D13&lt;10,"D",IF(D13&lt;12,"C",IF(D13&lt;14,"C+",IF(D13&lt;15,"B",IF(D13&lt;16,"B+",IF(D13&lt;18,"A",IF(D13&lt;20,"A+")))))))</f>
        <v>D</v>
      </c>
      <c r="M13" s="16"/>
      <c r="N13" s="16"/>
      <c r="O13" s="20">
        <f t="shared" ref="O13:O16" si="8">E13*G13</f>
        <v>0</v>
      </c>
      <c r="P13" s="20">
        <f t="shared" ref="P13:P16" si="9">F13*G13</f>
        <v>0</v>
      </c>
    </row>
    <row r="14" spans="2:16" ht="48" thickBot="1" x14ac:dyDescent="0.3">
      <c r="B14" s="84" t="s">
        <v>126</v>
      </c>
      <c r="C14" s="45" t="s">
        <v>80</v>
      </c>
      <c r="D14" s="17">
        <f t="shared" si="5"/>
        <v>0</v>
      </c>
      <c r="E14" s="44"/>
      <c r="F14" s="44"/>
      <c r="G14" s="18">
        <v>2</v>
      </c>
      <c r="H14" s="19">
        <f t="shared" si="6"/>
        <v>0</v>
      </c>
      <c r="I14" s="153">
        <v>11.75</v>
      </c>
      <c r="J14" s="154">
        <v>11.75</v>
      </c>
      <c r="K14" s="46" t="s">
        <v>157</v>
      </c>
      <c r="L14" s="17" t="str">
        <f t="shared" si="7"/>
        <v>D</v>
      </c>
      <c r="M14" s="16"/>
      <c r="N14" s="16"/>
      <c r="O14" s="20">
        <f t="shared" si="8"/>
        <v>0</v>
      </c>
      <c r="P14" s="20">
        <f t="shared" si="9"/>
        <v>0</v>
      </c>
    </row>
    <row r="15" spans="2:16" ht="37.5" customHeight="1" thickBot="1" x14ac:dyDescent="0.3">
      <c r="B15" s="84" t="s">
        <v>127</v>
      </c>
      <c r="C15" s="45" t="s">
        <v>81</v>
      </c>
      <c r="D15" s="17">
        <f t="shared" si="5"/>
        <v>0</v>
      </c>
      <c r="E15" s="44"/>
      <c r="F15" s="44"/>
      <c r="G15" s="18">
        <v>2</v>
      </c>
      <c r="H15" s="19">
        <f t="shared" si="6"/>
        <v>0</v>
      </c>
      <c r="I15" s="153">
        <v>11.75</v>
      </c>
      <c r="J15" s="154">
        <v>11.75</v>
      </c>
      <c r="K15" s="46" t="s">
        <v>157</v>
      </c>
      <c r="L15" s="17" t="str">
        <f t="shared" si="7"/>
        <v>D</v>
      </c>
      <c r="M15" s="16"/>
      <c r="N15" s="16"/>
      <c r="O15" s="20">
        <f t="shared" si="8"/>
        <v>0</v>
      </c>
      <c r="P15" s="20">
        <f t="shared" si="9"/>
        <v>0</v>
      </c>
    </row>
    <row r="16" spans="2:16" ht="32.25" thickBot="1" x14ac:dyDescent="0.3">
      <c r="B16" s="84" t="s">
        <v>128</v>
      </c>
      <c r="C16" s="42" t="s">
        <v>73</v>
      </c>
      <c r="D16" s="17">
        <f t="shared" si="5"/>
        <v>0</v>
      </c>
      <c r="E16" s="17"/>
      <c r="F16" s="17"/>
      <c r="G16" s="18">
        <v>1</v>
      </c>
      <c r="H16" s="19">
        <f t="shared" si="6"/>
        <v>0</v>
      </c>
      <c r="I16" s="153">
        <v>7.75</v>
      </c>
      <c r="J16" s="154"/>
      <c r="K16" s="46" t="s">
        <v>157</v>
      </c>
      <c r="L16" s="17" t="str">
        <f t="shared" si="7"/>
        <v>D</v>
      </c>
      <c r="M16" s="16"/>
      <c r="N16" s="16"/>
      <c r="O16" s="20">
        <f t="shared" si="8"/>
        <v>0</v>
      </c>
      <c r="P16" s="20">
        <f t="shared" si="9"/>
        <v>0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0</v>
      </c>
      <c r="E18" s="158"/>
      <c r="F18" s="158"/>
      <c r="G18" s="159" t="s">
        <v>30</v>
      </c>
      <c r="H18" s="159"/>
      <c r="I18" s="85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84" t="s">
        <v>71</v>
      </c>
      <c r="C20" s="45" t="s">
        <v>82</v>
      </c>
      <c r="D20" s="17">
        <f t="shared" ref="D20:D22" si="10">(E20+F20)/2</f>
        <v>0</v>
      </c>
      <c r="E20" s="44"/>
      <c r="F20" s="44"/>
      <c r="G20" s="18">
        <v>2</v>
      </c>
      <c r="H20" s="19">
        <f t="shared" ref="H20:H22" si="11">D20*G20</f>
        <v>0</v>
      </c>
      <c r="I20" s="153">
        <v>14.75</v>
      </c>
      <c r="J20" s="154">
        <v>14.75</v>
      </c>
      <c r="K20" s="46" t="s">
        <v>157</v>
      </c>
      <c r="L20" s="17" t="str">
        <f t="shared" ref="L20:L22" si="12">IF(D20&lt;10,"D",IF(D20&lt;12,"C",IF(D20&lt;14,"C+",IF(D20&lt;15,"B",IF(D20&lt;16,"B+",IF(D20&lt;18,"A",IF(D20&lt;20,"A+")))))))</f>
        <v>D</v>
      </c>
      <c r="M20" s="16"/>
      <c r="N20" s="16"/>
      <c r="O20" s="20">
        <f t="shared" ref="O20:O22" si="13">E20*G20</f>
        <v>0</v>
      </c>
      <c r="P20" s="20">
        <f t="shared" ref="P20:P22" si="14">F20*G20</f>
        <v>0</v>
      </c>
    </row>
    <row r="21" spans="2:16" ht="64.5" thickBot="1" x14ac:dyDescent="0.3">
      <c r="B21" s="84" t="s">
        <v>129</v>
      </c>
      <c r="C21" s="45" t="s">
        <v>83</v>
      </c>
      <c r="D21" s="17">
        <f t="shared" si="10"/>
        <v>0</v>
      </c>
      <c r="E21" s="44"/>
      <c r="F21" s="44"/>
      <c r="G21" s="18">
        <v>4</v>
      </c>
      <c r="H21" s="19">
        <f t="shared" si="11"/>
        <v>0</v>
      </c>
      <c r="I21" s="153">
        <v>5.5</v>
      </c>
      <c r="J21" s="154">
        <v>5.5</v>
      </c>
      <c r="K21" s="46" t="s">
        <v>157</v>
      </c>
      <c r="L21" s="17" t="str">
        <f t="shared" si="12"/>
        <v>D</v>
      </c>
      <c r="M21" s="16"/>
      <c r="N21" s="16"/>
      <c r="O21" s="20">
        <f t="shared" si="13"/>
        <v>0</v>
      </c>
      <c r="P21" s="20">
        <f t="shared" si="14"/>
        <v>0</v>
      </c>
    </row>
    <row r="22" spans="2:16" ht="64.5" thickBot="1" x14ac:dyDescent="0.3">
      <c r="B22" s="84" t="s">
        <v>130</v>
      </c>
      <c r="C22" s="45" t="s">
        <v>84</v>
      </c>
      <c r="D22" s="17">
        <f t="shared" si="10"/>
        <v>0</v>
      </c>
      <c r="E22" s="44"/>
      <c r="F22" s="44"/>
      <c r="G22" s="18">
        <v>2</v>
      </c>
      <c r="H22" s="19">
        <f t="shared" si="11"/>
        <v>0</v>
      </c>
      <c r="I22" s="153">
        <v>14.375</v>
      </c>
      <c r="J22" s="154">
        <v>14.375</v>
      </c>
      <c r="K22" s="46" t="s">
        <v>157</v>
      </c>
      <c r="L22" s="17" t="str">
        <f t="shared" si="12"/>
        <v>D</v>
      </c>
      <c r="M22" s="16"/>
      <c r="N22" s="16"/>
      <c r="O22" s="20">
        <f t="shared" si="13"/>
        <v>0</v>
      </c>
      <c r="P22" s="20">
        <f t="shared" si="14"/>
        <v>0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0</v>
      </c>
      <c r="E24" s="158"/>
      <c r="F24" s="158"/>
      <c r="G24" s="159" t="s">
        <v>30</v>
      </c>
      <c r="H24" s="159"/>
      <c r="I24" s="85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84" t="s">
        <v>131</v>
      </c>
      <c r="C26" s="43" t="s">
        <v>74</v>
      </c>
      <c r="D26" s="17">
        <f t="shared" ref="D26:D29" si="15">(E26+F26)/2</f>
        <v>0</v>
      </c>
      <c r="E26" s="44"/>
      <c r="F26" s="44"/>
      <c r="G26" s="18">
        <v>1</v>
      </c>
      <c r="H26" s="19">
        <f t="shared" ref="H26:H29" si="16">D26*G26</f>
        <v>0</v>
      </c>
      <c r="I26" s="153">
        <v>12.5</v>
      </c>
      <c r="J26" s="154">
        <v>12.5</v>
      </c>
      <c r="K26" s="46" t="s">
        <v>157</v>
      </c>
      <c r="L26" s="17" t="str">
        <f t="shared" ref="L26:L28" si="17">IF(D26&lt;10,"D",IF(D26&lt;12,"C",IF(D26&lt;14,"C+",IF(D26&lt;15,"B",IF(D26&lt;16,"B+",IF(D26&lt;18,"A",IF(D26&lt;20,"A+")))))))</f>
        <v>D</v>
      </c>
      <c r="M26" s="16"/>
      <c r="N26" s="16"/>
      <c r="O26" s="20">
        <f t="shared" ref="O26:O29" si="18">E26*G26</f>
        <v>0</v>
      </c>
      <c r="P26" s="20">
        <f t="shared" ref="P26:P29" si="19">F26*G26</f>
        <v>0</v>
      </c>
    </row>
    <row r="27" spans="2:16" ht="32.25" thickBot="1" x14ac:dyDescent="0.3">
      <c r="B27" s="84" t="s">
        <v>72</v>
      </c>
      <c r="C27" s="45" t="s">
        <v>85</v>
      </c>
      <c r="D27" s="17">
        <f t="shared" si="15"/>
        <v>0</v>
      </c>
      <c r="E27" s="44"/>
      <c r="F27" s="44"/>
      <c r="G27" s="18">
        <v>2</v>
      </c>
      <c r="H27" s="19">
        <f>D27*G27</f>
        <v>0</v>
      </c>
      <c r="I27" s="153">
        <v>16</v>
      </c>
      <c r="J27" s="154">
        <v>16</v>
      </c>
      <c r="K27" s="46" t="s">
        <v>157</v>
      </c>
      <c r="L27" s="17" t="str">
        <f t="shared" si="17"/>
        <v>D</v>
      </c>
      <c r="M27" s="16"/>
      <c r="N27" s="16"/>
      <c r="O27" s="20">
        <f t="shared" si="18"/>
        <v>0</v>
      </c>
      <c r="P27" s="20">
        <f t="shared" si="19"/>
        <v>0</v>
      </c>
    </row>
    <row r="28" spans="2:16" ht="39.75" customHeight="1" thickBot="1" x14ac:dyDescent="0.3">
      <c r="B28" s="84" t="s">
        <v>132</v>
      </c>
      <c r="C28" s="45" t="s">
        <v>86</v>
      </c>
      <c r="D28" s="17">
        <f t="shared" si="15"/>
        <v>0</v>
      </c>
      <c r="E28" s="44"/>
      <c r="F28" s="44"/>
      <c r="G28" s="18">
        <v>1</v>
      </c>
      <c r="H28" s="19">
        <f t="shared" si="16"/>
        <v>0</v>
      </c>
      <c r="I28" s="153">
        <v>13.375</v>
      </c>
      <c r="J28" s="154">
        <v>13.375</v>
      </c>
      <c r="K28" s="46" t="s">
        <v>157</v>
      </c>
      <c r="L28" s="17" t="str">
        <f t="shared" si="17"/>
        <v>D</v>
      </c>
      <c r="M28" s="16"/>
      <c r="N28" s="16"/>
      <c r="O28" s="20">
        <f t="shared" si="18"/>
        <v>0</v>
      </c>
      <c r="P28" s="20">
        <f t="shared" si="19"/>
        <v>0</v>
      </c>
    </row>
    <row r="29" spans="2:16" ht="39" thickBot="1" x14ac:dyDescent="0.3">
      <c r="B29" s="84" t="s">
        <v>133</v>
      </c>
      <c r="C29" s="45" t="s">
        <v>87</v>
      </c>
      <c r="D29" s="17">
        <f t="shared" si="15"/>
        <v>0</v>
      </c>
      <c r="E29" s="17"/>
      <c r="F29" s="17"/>
      <c r="G29" s="18">
        <v>1</v>
      </c>
      <c r="H29" s="19">
        <f t="shared" si="16"/>
        <v>0</v>
      </c>
      <c r="I29" s="153">
        <v>17</v>
      </c>
      <c r="J29" s="154"/>
      <c r="K29" s="46" t="s">
        <v>157</v>
      </c>
      <c r="L29" s="17" t="str">
        <f>IF(D29&lt;10,"D",IF(D29&lt;12,"C",IF(D29&lt;14,"C+",IF(D29&lt;15,"B",IF(D29&lt;16,"B+",IF(D29&lt;18,"A",IF(D29&lt;20,"A+")))))))</f>
        <v>D</v>
      </c>
      <c r="M29" s="16"/>
      <c r="N29" s="16"/>
      <c r="O29" s="20">
        <f t="shared" si="18"/>
        <v>0</v>
      </c>
      <c r="P29" s="20">
        <f t="shared" si="19"/>
        <v>0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0</v>
      </c>
      <c r="P30" s="16">
        <f>SUM(P5:P29)</f>
        <v>0</v>
      </c>
    </row>
    <row r="31" spans="2:16" ht="16.5" thickBot="1" x14ac:dyDescent="0.3">
      <c r="B31" s="25" t="s">
        <v>32</v>
      </c>
      <c r="C31" s="40"/>
      <c r="D31" s="158">
        <f>(SUM(H26:H29)/SUM(G26:G29))</f>
        <v>0</v>
      </c>
      <c r="E31" s="158"/>
      <c r="F31" s="158"/>
      <c r="G31" s="182" t="s">
        <v>30</v>
      </c>
      <c r="H31" s="182"/>
      <c r="I31" s="81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0</v>
      </c>
      <c r="P32" s="16">
        <f>P30/P31</f>
        <v>0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>
        <f>O32</f>
        <v>0</v>
      </c>
      <c r="E35" s="73">
        <f>P32</f>
        <v>0</v>
      </c>
      <c r="F35" s="74" t="s">
        <v>156</v>
      </c>
      <c r="G35" s="75">
        <f>(H5+H6+H7+H8+H9+H13+H14+H15+H16+H20+H21+H22+H26+H27+H28+H29)/29</f>
        <v>0</v>
      </c>
      <c r="H35" s="72" t="s">
        <v>40</v>
      </c>
      <c r="I35" s="151" t="s">
        <v>41</v>
      </c>
      <c r="J35" s="152"/>
      <c r="K35" s="30" t="s">
        <v>158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CNA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K44:L44"/>
    <mergeCell ref="B25:L25"/>
    <mergeCell ref="D39:F39"/>
    <mergeCell ref="G39:L40"/>
    <mergeCell ref="D40:F42"/>
    <mergeCell ref="G41:J41"/>
    <mergeCell ref="K41:L41"/>
    <mergeCell ref="G42:J42"/>
    <mergeCell ref="K42:L42"/>
    <mergeCell ref="I26:J26"/>
    <mergeCell ref="I27:J27"/>
    <mergeCell ref="I28:J28"/>
    <mergeCell ref="I29:J29"/>
    <mergeCell ref="D31:F31"/>
    <mergeCell ref="G31:H31"/>
    <mergeCell ref="J31:L31"/>
    <mergeCell ref="B32:L32"/>
    <mergeCell ref="I4:J4"/>
    <mergeCell ref="I5:J5"/>
    <mergeCell ref="I6:J6"/>
    <mergeCell ref="I7:J7"/>
    <mergeCell ref="B17:L17"/>
    <mergeCell ref="I8:J8"/>
    <mergeCell ref="I9:J9"/>
    <mergeCell ref="B10:L10"/>
    <mergeCell ref="D11:F11"/>
    <mergeCell ref="G11:H11"/>
    <mergeCell ref="J11:L11"/>
    <mergeCell ref="B12:L12"/>
    <mergeCell ref="I13:J13"/>
    <mergeCell ref="I14:J14"/>
    <mergeCell ref="I15:J15"/>
    <mergeCell ref="I16:J16"/>
    <mergeCell ref="D18:F18"/>
    <mergeCell ref="G18:H18"/>
    <mergeCell ref="J18:L18"/>
    <mergeCell ref="B19:L19"/>
    <mergeCell ref="I20:J20"/>
    <mergeCell ref="I21:J21"/>
    <mergeCell ref="I22:J22"/>
    <mergeCell ref="B23:L23"/>
    <mergeCell ref="D24:F24"/>
    <mergeCell ref="G24:H24"/>
    <mergeCell ref="J24:L24"/>
    <mergeCell ref="B33:C33"/>
    <mergeCell ref="G33:H33"/>
    <mergeCell ref="J33:K33"/>
    <mergeCell ref="I34:L34"/>
    <mergeCell ref="I35:J35"/>
    <mergeCell ref="C40:C42"/>
    <mergeCell ref="C43:C44"/>
    <mergeCell ref="K46:L48"/>
    <mergeCell ref="B36:H36"/>
    <mergeCell ref="I36:L36"/>
    <mergeCell ref="B37:L37"/>
    <mergeCell ref="B38:L38"/>
    <mergeCell ref="D45:F48"/>
    <mergeCell ref="G45:J48"/>
    <mergeCell ref="K45:L45"/>
    <mergeCell ref="B46:B48"/>
    <mergeCell ref="C45:C48"/>
    <mergeCell ref="D43:F44"/>
    <mergeCell ref="G43:J43"/>
    <mergeCell ref="K43:L43"/>
    <mergeCell ref="G44:J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zoomScale="90" zoomScaleNormal="90" workbookViewId="0">
      <selection sqref="A1:XFD1048576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2" t="s">
        <v>24</v>
      </c>
      <c r="C4" s="41" t="s">
        <v>69</v>
      </c>
      <c r="D4" s="83" t="s">
        <v>153</v>
      </c>
      <c r="E4" s="83" t="s">
        <v>154</v>
      </c>
      <c r="F4" s="83" t="s">
        <v>155</v>
      </c>
      <c r="G4" s="83" t="s">
        <v>25</v>
      </c>
      <c r="H4" s="82" t="s">
        <v>26</v>
      </c>
      <c r="I4" s="167" t="s">
        <v>27</v>
      </c>
      <c r="J4" s="168"/>
      <c r="K4" s="83" t="s">
        <v>21</v>
      </c>
      <c r="L4" s="83" t="s">
        <v>28</v>
      </c>
      <c r="M4" s="16"/>
      <c r="N4" s="16"/>
      <c r="O4" s="16"/>
      <c r="P4" s="16"/>
    </row>
    <row r="5" spans="2:16" ht="43.5" customHeight="1" thickBot="1" x14ac:dyDescent="0.3">
      <c r="B5" s="84" t="s">
        <v>70</v>
      </c>
      <c r="C5" s="43" t="s">
        <v>75</v>
      </c>
      <c r="D5" s="17">
        <f>(E5+F5)/2</f>
        <v>0</v>
      </c>
      <c r="E5" s="44"/>
      <c r="F5" s="44"/>
      <c r="G5" s="18">
        <v>3</v>
      </c>
      <c r="H5" s="19">
        <f>D5*G5</f>
        <v>0</v>
      </c>
      <c r="I5" s="153">
        <v>14</v>
      </c>
      <c r="J5" s="154">
        <v>14</v>
      </c>
      <c r="K5" s="46" t="s">
        <v>157</v>
      </c>
      <c r="L5" s="17" t="str">
        <f>IF(D5&lt;10,"D",IF(D5&lt;12,"C",IF(D5&lt;14,"C+",IF(D5&lt;15,"B",IF(D5&lt;16,"B+",IF(D5&lt;18,"A",IF(D5&lt;20,"A+")))))))</f>
        <v>D</v>
      </c>
      <c r="M5" s="16"/>
      <c r="N5" s="16"/>
      <c r="O5" s="20">
        <f>E5*G5</f>
        <v>0</v>
      </c>
      <c r="P5" s="20">
        <f>F5*G5</f>
        <v>0</v>
      </c>
    </row>
    <row r="6" spans="2:16" ht="32.25" thickBot="1" x14ac:dyDescent="0.3">
      <c r="B6" s="84" t="s">
        <v>121</v>
      </c>
      <c r="C6" s="43" t="s">
        <v>76</v>
      </c>
      <c r="D6" s="17">
        <f t="shared" ref="D6:D9" si="0">(E6+F6)/2</f>
        <v>0</v>
      </c>
      <c r="E6" s="44"/>
      <c r="F6" s="44"/>
      <c r="G6" s="18">
        <v>1</v>
      </c>
      <c r="H6" s="19">
        <f t="shared" ref="H6:H9" si="1">D6*G6</f>
        <v>0</v>
      </c>
      <c r="I6" s="153">
        <v>7.75</v>
      </c>
      <c r="J6" s="154">
        <v>7.75</v>
      </c>
      <c r="K6" s="46" t="s">
        <v>157</v>
      </c>
      <c r="L6" s="17" t="str">
        <f t="shared" ref="L6:L9" si="2">IF(D6&lt;10,"D",IF(D6&lt;12,"C",IF(D6&lt;14,"C+",IF(D6&lt;15,"B",IF(D6&lt;16,"B+",IF(D6&lt;18,"A",IF(D6&lt;20,"A+")))))))</f>
        <v>D</v>
      </c>
      <c r="M6" s="16"/>
      <c r="N6" s="16"/>
      <c r="O6" s="20">
        <f t="shared" ref="O6:O9" si="3">E6*G6</f>
        <v>0</v>
      </c>
      <c r="P6" s="20">
        <f t="shared" ref="P6:P9" si="4">F6*G6</f>
        <v>0</v>
      </c>
    </row>
    <row r="7" spans="2:16" ht="32.25" thickBot="1" x14ac:dyDescent="0.3">
      <c r="B7" s="84" t="s">
        <v>122</v>
      </c>
      <c r="C7" s="43" t="s">
        <v>77</v>
      </c>
      <c r="D7" s="17">
        <f t="shared" si="0"/>
        <v>0</v>
      </c>
      <c r="E7" s="44"/>
      <c r="F7" s="44"/>
      <c r="G7" s="18">
        <v>2</v>
      </c>
      <c r="H7" s="19">
        <f t="shared" si="1"/>
        <v>0</v>
      </c>
      <c r="I7" s="153">
        <v>11.375</v>
      </c>
      <c r="J7" s="154">
        <v>11.375</v>
      </c>
      <c r="K7" s="46" t="s">
        <v>157</v>
      </c>
      <c r="L7" s="17" t="str">
        <f t="shared" si="2"/>
        <v>D</v>
      </c>
      <c r="M7" s="16"/>
      <c r="N7" s="16"/>
      <c r="O7" s="20">
        <f t="shared" si="3"/>
        <v>0</v>
      </c>
      <c r="P7" s="20">
        <f t="shared" si="4"/>
        <v>0</v>
      </c>
    </row>
    <row r="8" spans="2:16" ht="39" thickBot="1" x14ac:dyDescent="0.3">
      <c r="B8" s="84" t="s">
        <v>123</v>
      </c>
      <c r="C8" s="43" t="s">
        <v>78</v>
      </c>
      <c r="D8" s="17">
        <f t="shared" si="0"/>
        <v>0</v>
      </c>
      <c r="E8" s="44"/>
      <c r="F8" s="44"/>
      <c r="G8" s="18">
        <v>2</v>
      </c>
      <c r="H8" s="19">
        <f t="shared" si="1"/>
        <v>0</v>
      </c>
      <c r="I8" s="153">
        <v>12.5</v>
      </c>
      <c r="J8" s="154">
        <v>12.5</v>
      </c>
      <c r="K8" s="46" t="s">
        <v>157</v>
      </c>
      <c r="L8" s="17" t="str">
        <f t="shared" si="2"/>
        <v>D</v>
      </c>
      <c r="M8" s="16"/>
      <c r="N8" s="16"/>
      <c r="O8" s="20">
        <f t="shared" si="3"/>
        <v>0</v>
      </c>
      <c r="P8" s="20">
        <f t="shared" si="4"/>
        <v>0</v>
      </c>
    </row>
    <row r="9" spans="2:16" ht="39" thickBot="1" x14ac:dyDescent="0.3">
      <c r="B9" s="84" t="s">
        <v>124</v>
      </c>
      <c r="C9" s="43" t="s">
        <v>78</v>
      </c>
      <c r="D9" s="17">
        <f t="shared" si="0"/>
        <v>0</v>
      </c>
      <c r="E9" s="44"/>
      <c r="F9" s="44"/>
      <c r="G9" s="18">
        <v>1</v>
      </c>
      <c r="H9" s="19">
        <f t="shared" si="1"/>
        <v>0</v>
      </c>
      <c r="I9" s="153">
        <v>16</v>
      </c>
      <c r="J9" s="154">
        <v>16</v>
      </c>
      <c r="K9" s="46" t="s">
        <v>157</v>
      </c>
      <c r="L9" s="17" t="str">
        <f t="shared" si="2"/>
        <v>D</v>
      </c>
      <c r="M9" s="16"/>
      <c r="N9" s="16"/>
      <c r="O9" s="20">
        <f t="shared" si="3"/>
        <v>0</v>
      </c>
      <c r="P9" s="20">
        <f t="shared" si="4"/>
        <v>0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0</v>
      </c>
      <c r="E11" s="158"/>
      <c r="F11" s="158"/>
      <c r="G11" s="159" t="s">
        <v>30</v>
      </c>
      <c r="H11" s="159"/>
      <c r="I11" s="85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84" t="s">
        <v>125</v>
      </c>
      <c r="C13" s="43" t="s">
        <v>79</v>
      </c>
      <c r="D13" s="17">
        <f t="shared" ref="D13:D16" si="5">(E13+F13)/2</f>
        <v>0</v>
      </c>
      <c r="E13" s="44"/>
      <c r="F13" s="44"/>
      <c r="G13" s="18">
        <v>2</v>
      </c>
      <c r="H13" s="19">
        <f t="shared" ref="H13:H16" si="6">D13*G13</f>
        <v>0</v>
      </c>
      <c r="I13" s="153">
        <v>16.75</v>
      </c>
      <c r="J13" s="154">
        <v>16.75</v>
      </c>
      <c r="K13" s="46" t="s">
        <v>157</v>
      </c>
      <c r="L13" s="17" t="str">
        <f t="shared" ref="L13:L16" si="7">IF(D13&lt;10,"D",IF(D13&lt;12,"C",IF(D13&lt;14,"C+",IF(D13&lt;15,"B",IF(D13&lt;16,"B+",IF(D13&lt;18,"A",IF(D13&lt;20,"A+")))))))</f>
        <v>D</v>
      </c>
      <c r="M13" s="16"/>
      <c r="N13" s="16"/>
      <c r="O13" s="20">
        <f t="shared" ref="O13:O16" si="8">E13*G13</f>
        <v>0</v>
      </c>
      <c r="P13" s="20">
        <f t="shared" ref="P13:P16" si="9">F13*G13</f>
        <v>0</v>
      </c>
    </row>
    <row r="14" spans="2:16" ht="48" thickBot="1" x14ac:dyDescent="0.3">
      <c r="B14" s="84" t="s">
        <v>126</v>
      </c>
      <c r="C14" s="45" t="s">
        <v>80</v>
      </c>
      <c r="D14" s="17">
        <f t="shared" si="5"/>
        <v>0</v>
      </c>
      <c r="E14" s="44"/>
      <c r="F14" s="44"/>
      <c r="G14" s="18">
        <v>2</v>
      </c>
      <c r="H14" s="19">
        <f t="shared" si="6"/>
        <v>0</v>
      </c>
      <c r="I14" s="153">
        <v>11.75</v>
      </c>
      <c r="J14" s="154">
        <v>11.75</v>
      </c>
      <c r="K14" s="46" t="s">
        <v>157</v>
      </c>
      <c r="L14" s="17" t="str">
        <f t="shared" si="7"/>
        <v>D</v>
      </c>
      <c r="M14" s="16"/>
      <c r="N14" s="16"/>
      <c r="O14" s="20">
        <f t="shared" si="8"/>
        <v>0</v>
      </c>
      <c r="P14" s="20">
        <f t="shared" si="9"/>
        <v>0</v>
      </c>
    </row>
    <row r="15" spans="2:16" ht="37.5" customHeight="1" thickBot="1" x14ac:dyDescent="0.3">
      <c r="B15" s="84" t="s">
        <v>127</v>
      </c>
      <c r="C15" s="45" t="s">
        <v>81</v>
      </c>
      <c r="D15" s="17">
        <f t="shared" si="5"/>
        <v>0</v>
      </c>
      <c r="E15" s="44"/>
      <c r="F15" s="44"/>
      <c r="G15" s="18">
        <v>2</v>
      </c>
      <c r="H15" s="19">
        <f t="shared" si="6"/>
        <v>0</v>
      </c>
      <c r="I15" s="153">
        <v>11.75</v>
      </c>
      <c r="J15" s="154">
        <v>11.75</v>
      </c>
      <c r="K15" s="46" t="s">
        <v>157</v>
      </c>
      <c r="L15" s="17" t="str">
        <f t="shared" si="7"/>
        <v>D</v>
      </c>
      <c r="M15" s="16"/>
      <c r="N15" s="16"/>
      <c r="O15" s="20">
        <f t="shared" si="8"/>
        <v>0</v>
      </c>
      <c r="P15" s="20">
        <f t="shared" si="9"/>
        <v>0</v>
      </c>
    </row>
    <row r="16" spans="2:16" ht="32.25" thickBot="1" x14ac:dyDescent="0.3">
      <c r="B16" s="84" t="s">
        <v>128</v>
      </c>
      <c r="C16" s="42" t="s">
        <v>73</v>
      </c>
      <c r="D16" s="17">
        <f t="shared" si="5"/>
        <v>0</v>
      </c>
      <c r="E16" s="17"/>
      <c r="F16" s="17"/>
      <c r="G16" s="18">
        <v>1</v>
      </c>
      <c r="H16" s="19">
        <f t="shared" si="6"/>
        <v>0</v>
      </c>
      <c r="I16" s="153">
        <v>7.75</v>
      </c>
      <c r="J16" s="154"/>
      <c r="K16" s="46" t="s">
        <v>157</v>
      </c>
      <c r="L16" s="17" t="str">
        <f t="shared" si="7"/>
        <v>D</v>
      </c>
      <c r="M16" s="16"/>
      <c r="N16" s="16"/>
      <c r="O16" s="20">
        <f t="shared" si="8"/>
        <v>0</v>
      </c>
      <c r="P16" s="20">
        <f t="shared" si="9"/>
        <v>0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0</v>
      </c>
      <c r="E18" s="158"/>
      <c r="F18" s="158"/>
      <c r="G18" s="159" t="s">
        <v>30</v>
      </c>
      <c r="H18" s="159"/>
      <c r="I18" s="85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84" t="s">
        <v>71</v>
      </c>
      <c r="C20" s="45" t="s">
        <v>82</v>
      </c>
      <c r="D20" s="17">
        <f t="shared" ref="D20:D22" si="10">(E20+F20)/2</f>
        <v>0</v>
      </c>
      <c r="E20" s="44"/>
      <c r="F20" s="44"/>
      <c r="G20" s="18">
        <v>2</v>
      </c>
      <c r="H20" s="19">
        <f t="shared" ref="H20:H22" si="11">D20*G20</f>
        <v>0</v>
      </c>
      <c r="I20" s="153">
        <v>14.75</v>
      </c>
      <c r="J20" s="154">
        <v>14.75</v>
      </c>
      <c r="K20" s="46" t="s">
        <v>157</v>
      </c>
      <c r="L20" s="17" t="str">
        <f t="shared" ref="L20:L22" si="12">IF(D20&lt;10,"D",IF(D20&lt;12,"C",IF(D20&lt;14,"C+",IF(D20&lt;15,"B",IF(D20&lt;16,"B+",IF(D20&lt;18,"A",IF(D20&lt;20,"A+")))))))</f>
        <v>D</v>
      </c>
      <c r="M20" s="16"/>
      <c r="N20" s="16"/>
      <c r="O20" s="20">
        <f t="shared" ref="O20:O22" si="13">E20*G20</f>
        <v>0</v>
      </c>
      <c r="P20" s="20">
        <f t="shared" ref="P20:P22" si="14">F20*G20</f>
        <v>0</v>
      </c>
    </row>
    <row r="21" spans="2:16" ht="64.5" thickBot="1" x14ac:dyDescent="0.3">
      <c r="B21" s="84" t="s">
        <v>129</v>
      </c>
      <c r="C21" s="45" t="s">
        <v>83</v>
      </c>
      <c r="D21" s="17">
        <f t="shared" si="10"/>
        <v>0</v>
      </c>
      <c r="E21" s="44"/>
      <c r="F21" s="44"/>
      <c r="G21" s="18">
        <v>4</v>
      </c>
      <c r="H21" s="19">
        <f t="shared" si="11"/>
        <v>0</v>
      </c>
      <c r="I21" s="153">
        <v>5.5</v>
      </c>
      <c r="J21" s="154">
        <v>5.5</v>
      </c>
      <c r="K21" s="46" t="s">
        <v>157</v>
      </c>
      <c r="L21" s="17" t="str">
        <f t="shared" si="12"/>
        <v>D</v>
      </c>
      <c r="M21" s="16"/>
      <c r="N21" s="16"/>
      <c r="O21" s="20">
        <f t="shared" si="13"/>
        <v>0</v>
      </c>
      <c r="P21" s="20">
        <f t="shared" si="14"/>
        <v>0</v>
      </c>
    </row>
    <row r="22" spans="2:16" ht="64.5" thickBot="1" x14ac:dyDescent="0.3">
      <c r="B22" s="84" t="s">
        <v>130</v>
      </c>
      <c r="C22" s="45" t="s">
        <v>84</v>
      </c>
      <c r="D22" s="17">
        <f t="shared" si="10"/>
        <v>0</v>
      </c>
      <c r="E22" s="44"/>
      <c r="F22" s="44"/>
      <c r="G22" s="18">
        <v>2</v>
      </c>
      <c r="H22" s="19">
        <f t="shared" si="11"/>
        <v>0</v>
      </c>
      <c r="I22" s="153">
        <v>14.375</v>
      </c>
      <c r="J22" s="154">
        <v>14.375</v>
      </c>
      <c r="K22" s="46" t="s">
        <v>157</v>
      </c>
      <c r="L22" s="17" t="str">
        <f t="shared" si="12"/>
        <v>D</v>
      </c>
      <c r="M22" s="16"/>
      <c r="N22" s="16"/>
      <c r="O22" s="20">
        <f t="shared" si="13"/>
        <v>0</v>
      </c>
      <c r="P22" s="20">
        <f t="shared" si="14"/>
        <v>0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0</v>
      </c>
      <c r="E24" s="158"/>
      <c r="F24" s="158"/>
      <c r="G24" s="159" t="s">
        <v>30</v>
      </c>
      <c r="H24" s="159"/>
      <c r="I24" s="85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84" t="s">
        <v>131</v>
      </c>
      <c r="C26" s="43" t="s">
        <v>74</v>
      </c>
      <c r="D26" s="17">
        <f t="shared" ref="D26:D29" si="15">(E26+F26)/2</f>
        <v>0</v>
      </c>
      <c r="E26" s="44"/>
      <c r="F26" s="44"/>
      <c r="G26" s="18">
        <v>1</v>
      </c>
      <c r="H26" s="19">
        <f t="shared" ref="H26:H29" si="16">D26*G26</f>
        <v>0</v>
      </c>
      <c r="I26" s="153">
        <v>12.5</v>
      </c>
      <c r="J26" s="154">
        <v>12.5</v>
      </c>
      <c r="K26" s="46" t="s">
        <v>157</v>
      </c>
      <c r="L26" s="17" t="str">
        <f t="shared" ref="L26:L28" si="17">IF(D26&lt;10,"D",IF(D26&lt;12,"C",IF(D26&lt;14,"C+",IF(D26&lt;15,"B",IF(D26&lt;16,"B+",IF(D26&lt;18,"A",IF(D26&lt;20,"A+")))))))</f>
        <v>D</v>
      </c>
      <c r="M26" s="16"/>
      <c r="N26" s="16"/>
      <c r="O26" s="20">
        <f t="shared" ref="O26:O29" si="18">E26*G26</f>
        <v>0</v>
      </c>
      <c r="P26" s="20">
        <f t="shared" ref="P26:P29" si="19">F26*G26</f>
        <v>0</v>
      </c>
    </row>
    <row r="27" spans="2:16" ht="32.25" thickBot="1" x14ac:dyDescent="0.3">
      <c r="B27" s="84" t="s">
        <v>72</v>
      </c>
      <c r="C27" s="45" t="s">
        <v>85</v>
      </c>
      <c r="D27" s="17">
        <f t="shared" si="15"/>
        <v>0</v>
      </c>
      <c r="E27" s="44"/>
      <c r="F27" s="44"/>
      <c r="G27" s="18">
        <v>2</v>
      </c>
      <c r="H27" s="19">
        <f>D27*G27</f>
        <v>0</v>
      </c>
      <c r="I27" s="153">
        <v>16</v>
      </c>
      <c r="J27" s="154">
        <v>16</v>
      </c>
      <c r="K27" s="46" t="s">
        <v>157</v>
      </c>
      <c r="L27" s="17" t="str">
        <f t="shared" si="17"/>
        <v>D</v>
      </c>
      <c r="M27" s="16"/>
      <c r="N27" s="16"/>
      <c r="O27" s="20">
        <f t="shared" si="18"/>
        <v>0</v>
      </c>
      <c r="P27" s="20">
        <f t="shared" si="19"/>
        <v>0</v>
      </c>
    </row>
    <row r="28" spans="2:16" ht="39.75" customHeight="1" thickBot="1" x14ac:dyDescent="0.3">
      <c r="B28" s="84" t="s">
        <v>132</v>
      </c>
      <c r="C28" s="45" t="s">
        <v>86</v>
      </c>
      <c r="D28" s="17">
        <f t="shared" si="15"/>
        <v>0</v>
      </c>
      <c r="E28" s="44"/>
      <c r="F28" s="44"/>
      <c r="G28" s="18">
        <v>1</v>
      </c>
      <c r="H28" s="19">
        <f t="shared" si="16"/>
        <v>0</v>
      </c>
      <c r="I28" s="153">
        <v>13.375</v>
      </c>
      <c r="J28" s="154">
        <v>13.375</v>
      </c>
      <c r="K28" s="46" t="s">
        <v>157</v>
      </c>
      <c r="L28" s="17" t="str">
        <f t="shared" si="17"/>
        <v>D</v>
      </c>
      <c r="M28" s="16"/>
      <c r="N28" s="16"/>
      <c r="O28" s="20">
        <f t="shared" si="18"/>
        <v>0</v>
      </c>
      <c r="P28" s="20">
        <f t="shared" si="19"/>
        <v>0</v>
      </c>
    </row>
    <row r="29" spans="2:16" ht="39" thickBot="1" x14ac:dyDescent="0.3">
      <c r="B29" s="84" t="s">
        <v>133</v>
      </c>
      <c r="C29" s="45" t="s">
        <v>87</v>
      </c>
      <c r="D29" s="17">
        <f t="shared" si="15"/>
        <v>0</v>
      </c>
      <c r="E29" s="17"/>
      <c r="F29" s="17"/>
      <c r="G29" s="18">
        <v>1</v>
      </c>
      <c r="H29" s="19">
        <f t="shared" si="16"/>
        <v>0</v>
      </c>
      <c r="I29" s="153">
        <v>17</v>
      </c>
      <c r="J29" s="154"/>
      <c r="K29" s="46" t="s">
        <v>157</v>
      </c>
      <c r="L29" s="17" t="str">
        <f>IF(D29&lt;10,"D",IF(D29&lt;12,"C",IF(D29&lt;14,"C+",IF(D29&lt;15,"B",IF(D29&lt;16,"B+",IF(D29&lt;18,"A",IF(D29&lt;20,"A+")))))))</f>
        <v>D</v>
      </c>
      <c r="M29" s="16"/>
      <c r="N29" s="16"/>
      <c r="O29" s="20">
        <f t="shared" si="18"/>
        <v>0</v>
      </c>
      <c r="P29" s="20">
        <f t="shared" si="19"/>
        <v>0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0</v>
      </c>
      <c r="P30" s="16">
        <f>SUM(P5:P29)</f>
        <v>0</v>
      </c>
    </row>
    <row r="31" spans="2:16" ht="16.5" thickBot="1" x14ac:dyDescent="0.3">
      <c r="B31" s="25" t="s">
        <v>32</v>
      </c>
      <c r="C31" s="40"/>
      <c r="D31" s="158">
        <f>(SUM(H26:H29)/SUM(G26:G29))</f>
        <v>0</v>
      </c>
      <c r="E31" s="158"/>
      <c r="F31" s="158"/>
      <c r="G31" s="182" t="s">
        <v>30</v>
      </c>
      <c r="H31" s="182"/>
      <c r="I31" s="81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0</v>
      </c>
      <c r="P32" s="16">
        <f>P30/P31</f>
        <v>0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>
        <f>O32</f>
        <v>0</v>
      </c>
      <c r="E35" s="73">
        <f>P32</f>
        <v>0</v>
      </c>
      <c r="F35" s="74" t="s">
        <v>156</v>
      </c>
      <c r="G35" s="75">
        <f>(H5+H6+H7+H8+H9+H13+H14+H15+H16+H20+H21+H22+H26+H27+H28+H29)/29</f>
        <v>0</v>
      </c>
      <c r="H35" s="72" t="s">
        <v>40</v>
      </c>
      <c r="I35" s="151" t="s">
        <v>41</v>
      </c>
      <c r="J35" s="152"/>
      <c r="K35" s="30" t="s">
        <v>158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CNA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K44:L44"/>
    <mergeCell ref="B25:L25"/>
    <mergeCell ref="D39:F39"/>
    <mergeCell ref="G39:L40"/>
    <mergeCell ref="D40:F42"/>
    <mergeCell ref="G41:J41"/>
    <mergeCell ref="K41:L41"/>
    <mergeCell ref="G42:J42"/>
    <mergeCell ref="K42:L42"/>
    <mergeCell ref="I26:J26"/>
    <mergeCell ref="I27:J27"/>
    <mergeCell ref="I28:J28"/>
    <mergeCell ref="I29:J29"/>
    <mergeCell ref="D31:F31"/>
    <mergeCell ref="G31:H31"/>
    <mergeCell ref="J31:L31"/>
    <mergeCell ref="B32:L32"/>
    <mergeCell ref="I4:J4"/>
    <mergeCell ref="I5:J5"/>
    <mergeCell ref="I6:J6"/>
    <mergeCell ref="I7:J7"/>
    <mergeCell ref="B17:L17"/>
    <mergeCell ref="I8:J8"/>
    <mergeCell ref="I9:J9"/>
    <mergeCell ref="B10:L10"/>
    <mergeCell ref="D11:F11"/>
    <mergeCell ref="G11:H11"/>
    <mergeCell ref="J11:L11"/>
    <mergeCell ref="B12:L12"/>
    <mergeCell ref="I13:J13"/>
    <mergeCell ref="I14:J14"/>
    <mergeCell ref="I15:J15"/>
    <mergeCell ref="I16:J16"/>
    <mergeCell ref="D18:F18"/>
    <mergeCell ref="G18:H18"/>
    <mergeCell ref="J18:L18"/>
    <mergeCell ref="B19:L19"/>
    <mergeCell ref="I20:J20"/>
    <mergeCell ref="I21:J21"/>
    <mergeCell ref="I22:J22"/>
    <mergeCell ref="B23:L23"/>
    <mergeCell ref="D24:F24"/>
    <mergeCell ref="G24:H24"/>
    <mergeCell ref="J24:L24"/>
    <mergeCell ref="B33:C33"/>
    <mergeCell ref="G33:H33"/>
    <mergeCell ref="J33:K33"/>
    <mergeCell ref="I34:L34"/>
    <mergeCell ref="I35:J35"/>
    <mergeCell ref="C40:C42"/>
    <mergeCell ref="C43:C44"/>
    <mergeCell ref="K46:L48"/>
    <mergeCell ref="B36:H36"/>
    <mergeCell ref="I36:L36"/>
    <mergeCell ref="B37:L37"/>
    <mergeCell ref="B38:L38"/>
    <mergeCell ref="D45:F48"/>
    <mergeCell ref="G45:J48"/>
    <mergeCell ref="K45:L45"/>
    <mergeCell ref="B46:B48"/>
    <mergeCell ref="C45:C48"/>
    <mergeCell ref="D43:F44"/>
    <mergeCell ref="G43:J43"/>
    <mergeCell ref="K43:L43"/>
    <mergeCell ref="G44:J44"/>
  </mergeCells>
  <pageMargins left="0.7" right="0.7" top="0.75" bottom="0.75" header="0.3" footer="0.3"/>
  <pageSetup paperSize="9" scale="1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topLeftCell="A34" zoomScale="90" zoomScaleNormal="90" workbookViewId="0">
      <selection activeCell="B4" sqref="B4:L48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2" t="s">
        <v>24</v>
      </c>
      <c r="C4" s="41" t="s">
        <v>69</v>
      </c>
      <c r="D4" s="83" t="s">
        <v>153</v>
      </c>
      <c r="E4" s="83" t="s">
        <v>154</v>
      </c>
      <c r="F4" s="83" t="s">
        <v>155</v>
      </c>
      <c r="G4" s="83" t="s">
        <v>25</v>
      </c>
      <c r="H4" s="82" t="s">
        <v>26</v>
      </c>
      <c r="I4" s="167" t="s">
        <v>27</v>
      </c>
      <c r="J4" s="168"/>
      <c r="K4" s="83" t="s">
        <v>21</v>
      </c>
      <c r="L4" s="83" t="s">
        <v>28</v>
      </c>
      <c r="M4" s="16"/>
      <c r="N4" s="16"/>
      <c r="O4" s="16"/>
      <c r="P4" s="16"/>
    </row>
    <row r="5" spans="2:16" ht="43.5" customHeight="1" thickBot="1" x14ac:dyDescent="0.3">
      <c r="B5" s="84" t="s">
        <v>70</v>
      </c>
      <c r="C5" s="43" t="s">
        <v>75</v>
      </c>
      <c r="D5" s="17">
        <f>(E5+F5)/2</f>
        <v>13.5</v>
      </c>
      <c r="E5" s="44">
        <v>12</v>
      </c>
      <c r="F5" s="44">
        <v>15</v>
      </c>
      <c r="G5" s="18">
        <v>3</v>
      </c>
      <c r="H5" s="19">
        <f>D5*G5</f>
        <v>40.5</v>
      </c>
      <c r="I5" s="153">
        <v>14</v>
      </c>
      <c r="J5" s="154">
        <v>14</v>
      </c>
      <c r="K5" s="46" t="s">
        <v>138</v>
      </c>
      <c r="L5" s="17" t="str">
        <f>IF(D5&lt;10,"D",IF(D5&lt;12,"C",IF(D5&lt;14,"C+",IF(D5&lt;15,"B",IF(D5&lt;16,"B+",IF(D5&lt;18,"A",IF(D5&lt;20,"A+")))))))</f>
        <v>C+</v>
      </c>
      <c r="M5" s="16"/>
      <c r="N5" s="16"/>
      <c r="O5" s="20">
        <f>E5*G5</f>
        <v>36</v>
      </c>
      <c r="P5" s="20">
        <f>F5*G5</f>
        <v>45</v>
      </c>
    </row>
    <row r="6" spans="2:16" ht="32.25" thickBot="1" x14ac:dyDescent="0.3">
      <c r="B6" s="84" t="s">
        <v>121</v>
      </c>
      <c r="C6" s="43" t="s">
        <v>76</v>
      </c>
      <c r="D6" s="17">
        <f t="shared" ref="D6:D9" si="0">(E6+F6)/2</f>
        <v>8.5</v>
      </c>
      <c r="E6" s="44">
        <v>10</v>
      </c>
      <c r="F6" s="44">
        <v>7</v>
      </c>
      <c r="G6" s="18">
        <v>1</v>
      </c>
      <c r="H6" s="19">
        <f t="shared" ref="H6:H9" si="1">D6*G6</f>
        <v>8.5</v>
      </c>
      <c r="I6" s="153">
        <v>7.75</v>
      </c>
      <c r="J6" s="154">
        <v>7.75</v>
      </c>
      <c r="K6" s="46" t="s">
        <v>139</v>
      </c>
      <c r="L6" s="17" t="str">
        <f t="shared" ref="L6:L9" si="2">IF(D6&lt;10,"D",IF(D6&lt;12,"C",IF(D6&lt;14,"C+",IF(D6&lt;15,"B",IF(D6&lt;16,"B+",IF(D6&lt;18,"A",IF(D6&lt;20,"A+")))))))</f>
        <v>D</v>
      </c>
      <c r="M6" s="16"/>
      <c r="N6" s="16"/>
      <c r="O6" s="20">
        <f t="shared" ref="O6:O9" si="3">E6*G6</f>
        <v>10</v>
      </c>
      <c r="P6" s="20">
        <f t="shared" ref="P6:P9" si="4">F6*G6</f>
        <v>7</v>
      </c>
    </row>
    <row r="7" spans="2:16" ht="32.25" thickBot="1" x14ac:dyDescent="0.3">
      <c r="B7" s="84" t="s">
        <v>122</v>
      </c>
      <c r="C7" s="43" t="s">
        <v>77</v>
      </c>
      <c r="D7" s="17">
        <f t="shared" si="0"/>
        <v>10.75</v>
      </c>
      <c r="E7" s="44">
        <v>10</v>
      </c>
      <c r="F7" s="44">
        <v>11.5</v>
      </c>
      <c r="G7" s="18">
        <v>2</v>
      </c>
      <c r="H7" s="19">
        <f t="shared" si="1"/>
        <v>21.5</v>
      </c>
      <c r="I7" s="153">
        <v>11.375</v>
      </c>
      <c r="J7" s="154">
        <v>11.375</v>
      </c>
      <c r="K7" s="46" t="s">
        <v>139</v>
      </c>
      <c r="L7" s="17" t="str">
        <f t="shared" si="2"/>
        <v>C</v>
      </c>
      <c r="M7" s="16"/>
      <c r="N7" s="16"/>
      <c r="O7" s="20">
        <f t="shared" si="3"/>
        <v>20</v>
      </c>
      <c r="P7" s="20">
        <f t="shared" si="4"/>
        <v>23</v>
      </c>
    </row>
    <row r="8" spans="2:16" ht="39" thickBot="1" x14ac:dyDescent="0.3">
      <c r="B8" s="84" t="s">
        <v>123</v>
      </c>
      <c r="C8" s="43" t="s">
        <v>78</v>
      </c>
      <c r="D8" s="17">
        <f t="shared" si="0"/>
        <v>11.5</v>
      </c>
      <c r="E8" s="44">
        <v>9</v>
      </c>
      <c r="F8" s="44">
        <v>14</v>
      </c>
      <c r="G8" s="18">
        <v>2</v>
      </c>
      <c r="H8" s="19">
        <f t="shared" si="1"/>
        <v>23</v>
      </c>
      <c r="I8" s="153">
        <v>12.5</v>
      </c>
      <c r="J8" s="154">
        <v>12.5</v>
      </c>
      <c r="K8" s="46" t="s">
        <v>138</v>
      </c>
      <c r="L8" s="17" t="str">
        <f t="shared" si="2"/>
        <v>C</v>
      </c>
      <c r="M8" s="16"/>
      <c r="N8" s="16"/>
      <c r="O8" s="20">
        <f t="shared" si="3"/>
        <v>18</v>
      </c>
      <c r="P8" s="20">
        <f t="shared" si="4"/>
        <v>28</v>
      </c>
    </row>
    <row r="9" spans="2:16" ht="39" thickBot="1" x14ac:dyDescent="0.3">
      <c r="B9" s="84" t="s">
        <v>124</v>
      </c>
      <c r="C9" s="43" t="s">
        <v>78</v>
      </c>
      <c r="D9" s="17">
        <f t="shared" si="0"/>
        <v>15.5</v>
      </c>
      <c r="E9" s="44">
        <v>15</v>
      </c>
      <c r="F9" s="44">
        <v>16</v>
      </c>
      <c r="G9" s="18">
        <v>1</v>
      </c>
      <c r="H9" s="19">
        <f t="shared" si="1"/>
        <v>15.5</v>
      </c>
      <c r="I9" s="153">
        <v>16</v>
      </c>
      <c r="J9" s="154">
        <v>16</v>
      </c>
      <c r="K9" s="46" t="s">
        <v>141</v>
      </c>
      <c r="L9" s="17" t="str">
        <f t="shared" si="2"/>
        <v>B+</v>
      </c>
      <c r="M9" s="16"/>
      <c r="N9" s="16"/>
      <c r="O9" s="20">
        <f t="shared" si="3"/>
        <v>15</v>
      </c>
      <c r="P9" s="20">
        <f t="shared" si="4"/>
        <v>16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12.111111111111111</v>
      </c>
      <c r="E11" s="158"/>
      <c r="F11" s="158"/>
      <c r="G11" s="159" t="s">
        <v>30</v>
      </c>
      <c r="H11" s="159"/>
      <c r="I11" s="85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84" t="s">
        <v>125</v>
      </c>
      <c r="C13" s="43" t="s">
        <v>79</v>
      </c>
      <c r="D13" s="17">
        <f t="shared" ref="D13:D16" si="5">(E13+F13)/2</f>
        <v>18</v>
      </c>
      <c r="E13" s="44">
        <v>16</v>
      </c>
      <c r="F13" s="44">
        <v>20</v>
      </c>
      <c r="G13" s="18">
        <v>2</v>
      </c>
      <c r="H13" s="19">
        <f t="shared" ref="H13:H16" si="6">D13*G13</f>
        <v>36</v>
      </c>
      <c r="I13" s="153">
        <v>16.75</v>
      </c>
      <c r="J13" s="154">
        <v>16.75</v>
      </c>
      <c r="K13" s="46" t="s">
        <v>144</v>
      </c>
      <c r="L13" s="17" t="str">
        <f t="shared" ref="L13:L16" si="7">IF(D13&lt;10,"D",IF(D13&lt;12,"C",IF(D13&lt;14,"C+",IF(D13&lt;15,"B",IF(D13&lt;16,"B+",IF(D13&lt;18,"A",IF(D13&lt;20,"A+")))))))</f>
        <v>A+</v>
      </c>
      <c r="M13" s="16"/>
      <c r="N13" s="16"/>
      <c r="O13" s="20">
        <f t="shared" ref="O13:O16" si="8">E13*G13</f>
        <v>32</v>
      </c>
      <c r="P13" s="20">
        <f t="shared" ref="P13:P16" si="9">F13*G13</f>
        <v>40</v>
      </c>
    </row>
    <row r="14" spans="2:16" ht="48" thickBot="1" x14ac:dyDescent="0.3">
      <c r="B14" s="84" t="s">
        <v>126</v>
      </c>
      <c r="C14" s="45" t="s">
        <v>80</v>
      </c>
      <c r="D14" s="17">
        <f t="shared" si="5"/>
        <v>10.5</v>
      </c>
      <c r="E14" s="44">
        <v>11</v>
      </c>
      <c r="F14" s="44">
        <v>10</v>
      </c>
      <c r="G14" s="18">
        <v>2</v>
      </c>
      <c r="H14" s="19">
        <f t="shared" si="6"/>
        <v>21</v>
      </c>
      <c r="I14" s="153">
        <v>11.75</v>
      </c>
      <c r="J14" s="154">
        <v>11.75</v>
      </c>
      <c r="K14" s="46" t="s">
        <v>143</v>
      </c>
      <c r="L14" s="17" t="str">
        <f t="shared" si="7"/>
        <v>C</v>
      </c>
      <c r="M14" s="16"/>
      <c r="N14" s="16"/>
      <c r="O14" s="20">
        <f t="shared" si="8"/>
        <v>22</v>
      </c>
      <c r="P14" s="20">
        <f t="shared" si="9"/>
        <v>20</v>
      </c>
    </row>
    <row r="15" spans="2:16" ht="37.5" customHeight="1" thickBot="1" x14ac:dyDescent="0.3">
      <c r="B15" s="84" t="s">
        <v>127</v>
      </c>
      <c r="C15" s="45" t="s">
        <v>81</v>
      </c>
      <c r="D15" s="17">
        <f t="shared" si="5"/>
        <v>11.5</v>
      </c>
      <c r="E15" s="44">
        <v>12</v>
      </c>
      <c r="F15" s="44">
        <v>11</v>
      </c>
      <c r="G15" s="18">
        <v>2</v>
      </c>
      <c r="H15" s="19">
        <f t="shared" si="6"/>
        <v>23</v>
      </c>
      <c r="I15" s="153">
        <v>11.75</v>
      </c>
      <c r="J15" s="154">
        <v>11.75</v>
      </c>
      <c r="K15" s="46" t="s">
        <v>138</v>
      </c>
      <c r="L15" s="17" t="str">
        <f t="shared" si="7"/>
        <v>C</v>
      </c>
      <c r="M15" s="16"/>
      <c r="N15" s="16"/>
      <c r="O15" s="20">
        <f t="shared" si="8"/>
        <v>24</v>
      </c>
      <c r="P15" s="20">
        <f t="shared" si="9"/>
        <v>22</v>
      </c>
    </row>
    <row r="16" spans="2:16" ht="32.25" thickBot="1" x14ac:dyDescent="0.3">
      <c r="B16" s="84" t="s">
        <v>128</v>
      </c>
      <c r="C16" s="42" t="s">
        <v>73</v>
      </c>
      <c r="D16" s="17">
        <f t="shared" si="5"/>
        <v>9.5</v>
      </c>
      <c r="E16" s="17">
        <v>11</v>
      </c>
      <c r="F16" s="17">
        <v>8</v>
      </c>
      <c r="G16" s="18">
        <v>1</v>
      </c>
      <c r="H16" s="19">
        <f t="shared" si="6"/>
        <v>9.5</v>
      </c>
      <c r="I16" s="153">
        <v>7.75</v>
      </c>
      <c r="J16" s="154"/>
      <c r="K16" s="46" t="s">
        <v>141</v>
      </c>
      <c r="L16" s="17" t="str">
        <f t="shared" si="7"/>
        <v>D</v>
      </c>
      <c r="M16" s="16"/>
      <c r="N16" s="16"/>
      <c r="O16" s="20">
        <f t="shared" si="8"/>
        <v>11</v>
      </c>
      <c r="P16" s="20">
        <f t="shared" si="9"/>
        <v>8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12.785714285714286</v>
      </c>
      <c r="E18" s="158"/>
      <c r="F18" s="158"/>
      <c r="G18" s="159" t="s">
        <v>30</v>
      </c>
      <c r="H18" s="159"/>
      <c r="I18" s="85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84" t="s">
        <v>71</v>
      </c>
      <c r="C20" s="45" t="s">
        <v>82</v>
      </c>
      <c r="D20" s="17">
        <f t="shared" ref="D20:D22" si="10">(E20+F20)/2</f>
        <v>12.75</v>
      </c>
      <c r="E20" s="44">
        <v>11</v>
      </c>
      <c r="F20" s="44">
        <v>14.5</v>
      </c>
      <c r="G20" s="18">
        <v>2</v>
      </c>
      <c r="H20" s="19">
        <f t="shared" ref="H20:H22" si="11">D20*G20</f>
        <v>25.5</v>
      </c>
      <c r="I20" s="153">
        <v>14.75</v>
      </c>
      <c r="J20" s="154">
        <v>14.75</v>
      </c>
      <c r="K20" s="46" t="s">
        <v>138</v>
      </c>
      <c r="L20" s="17" t="str">
        <f t="shared" ref="L20:L22" si="12">IF(D20&lt;10,"D",IF(D20&lt;12,"C",IF(D20&lt;14,"C+",IF(D20&lt;15,"B",IF(D20&lt;16,"B+",IF(D20&lt;18,"A",IF(D20&lt;20,"A+")))))))</f>
        <v>C+</v>
      </c>
      <c r="M20" s="16"/>
      <c r="N20" s="16"/>
      <c r="O20" s="20">
        <f t="shared" ref="O20:O22" si="13">E20*G20</f>
        <v>22</v>
      </c>
      <c r="P20" s="20">
        <f t="shared" ref="P20:P22" si="14">F20*G20</f>
        <v>29</v>
      </c>
    </row>
    <row r="21" spans="2:16" ht="64.5" thickBot="1" x14ac:dyDescent="0.3">
      <c r="B21" s="84" t="s">
        <v>129</v>
      </c>
      <c r="C21" s="45" t="s">
        <v>83</v>
      </c>
      <c r="D21" s="17">
        <f t="shared" si="10"/>
        <v>7</v>
      </c>
      <c r="E21" s="44">
        <v>8</v>
      </c>
      <c r="F21" s="44">
        <v>6</v>
      </c>
      <c r="G21" s="18">
        <v>4</v>
      </c>
      <c r="H21" s="19">
        <f t="shared" si="11"/>
        <v>28</v>
      </c>
      <c r="I21" s="153">
        <v>5.5</v>
      </c>
      <c r="J21" s="154">
        <v>5.5</v>
      </c>
      <c r="K21" s="46" t="s">
        <v>139</v>
      </c>
      <c r="L21" s="17" t="str">
        <f t="shared" si="12"/>
        <v>D</v>
      </c>
      <c r="M21" s="16"/>
      <c r="N21" s="16"/>
      <c r="O21" s="20">
        <f t="shared" si="13"/>
        <v>32</v>
      </c>
      <c r="P21" s="20">
        <f t="shared" si="14"/>
        <v>24</v>
      </c>
    </row>
    <row r="22" spans="2:16" ht="64.5" thickBot="1" x14ac:dyDescent="0.3">
      <c r="B22" s="84" t="s">
        <v>130</v>
      </c>
      <c r="C22" s="45" t="s">
        <v>84</v>
      </c>
      <c r="D22" s="17">
        <f t="shared" si="10"/>
        <v>12.75</v>
      </c>
      <c r="E22" s="44">
        <v>12</v>
      </c>
      <c r="F22" s="44">
        <v>13.5</v>
      </c>
      <c r="G22" s="18">
        <v>2</v>
      </c>
      <c r="H22" s="19">
        <f t="shared" si="11"/>
        <v>25.5</v>
      </c>
      <c r="I22" s="153">
        <v>14.375</v>
      </c>
      <c r="J22" s="154">
        <v>14.375</v>
      </c>
      <c r="K22" s="46" t="s">
        <v>141</v>
      </c>
      <c r="L22" s="17" t="str">
        <f t="shared" si="12"/>
        <v>C+</v>
      </c>
      <c r="M22" s="16"/>
      <c r="N22" s="16"/>
      <c r="O22" s="20">
        <f t="shared" si="13"/>
        <v>24</v>
      </c>
      <c r="P22" s="20">
        <f t="shared" si="14"/>
        <v>27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9.875</v>
      </c>
      <c r="E24" s="158"/>
      <c r="F24" s="158"/>
      <c r="G24" s="159" t="s">
        <v>30</v>
      </c>
      <c r="H24" s="159"/>
      <c r="I24" s="85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84" t="s">
        <v>131</v>
      </c>
      <c r="C26" s="43" t="s">
        <v>74</v>
      </c>
      <c r="D26" s="17">
        <f t="shared" ref="D26:D29" si="15">(E26+F26)/2</f>
        <v>13</v>
      </c>
      <c r="E26" s="44">
        <v>13</v>
      </c>
      <c r="F26" s="44">
        <v>13</v>
      </c>
      <c r="G26" s="18">
        <v>1</v>
      </c>
      <c r="H26" s="19">
        <f t="shared" ref="H26:H29" si="16">D26*G26</f>
        <v>13</v>
      </c>
      <c r="I26" s="153">
        <v>12.5</v>
      </c>
      <c r="J26" s="154">
        <v>12.5</v>
      </c>
      <c r="K26" s="46" t="s">
        <v>138</v>
      </c>
      <c r="L26" s="17" t="str">
        <f t="shared" ref="L26:L28" si="17">IF(D26&lt;10,"D",IF(D26&lt;12,"C",IF(D26&lt;14,"C+",IF(D26&lt;15,"B",IF(D26&lt;16,"B+",IF(D26&lt;18,"A",IF(D26&lt;20,"A+")))))))</f>
        <v>C+</v>
      </c>
      <c r="M26" s="16"/>
      <c r="N26" s="16"/>
      <c r="O26" s="20">
        <f t="shared" ref="O26:O29" si="18">E26*G26</f>
        <v>13</v>
      </c>
      <c r="P26" s="20">
        <f t="shared" ref="P26:P29" si="19">F26*G26</f>
        <v>13</v>
      </c>
    </row>
    <row r="27" spans="2:16" ht="32.25" thickBot="1" x14ac:dyDescent="0.3">
      <c r="B27" s="84" t="s">
        <v>72</v>
      </c>
      <c r="C27" s="45" t="s">
        <v>85</v>
      </c>
      <c r="D27" s="17">
        <f t="shared" si="15"/>
        <v>15.75</v>
      </c>
      <c r="E27" s="44">
        <v>15.5</v>
      </c>
      <c r="F27" s="44">
        <v>16</v>
      </c>
      <c r="G27" s="18">
        <v>2</v>
      </c>
      <c r="H27" s="19">
        <f>D27*G27</f>
        <v>31.5</v>
      </c>
      <c r="I27" s="153">
        <v>16</v>
      </c>
      <c r="J27" s="154">
        <v>16</v>
      </c>
      <c r="K27" s="46" t="s">
        <v>143</v>
      </c>
      <c r="L27" s="17" t="str">
        <f t="shared" si="17"/>
        <v>B+</v>
      </c>
      <c r="M27" s="16"/>
      <c r="N27" s="16"/>
      <c r="O27" s="20">
        <f t="shared" si="18"/>
        <v>31</v>
      </c>
      <c r="P27" s="20">
        <f t="shared" si="19"/>
        <v>32</v>
      </c>
    </row>
    <row r="28" spans="2:16" ht="39.75" customHeight="1" thickBot="1" x14ac:dyDescent="0.3">
      <c r="B28" s="84" t="s">
        <v>132</v>
      </c>
      <c r="C28" s="45" t="s">
        <v>86</v>
      </c>
      <c r="D28" s="17">
        <f t="shared" si="15"/>
        <v>12.75</v>
      </c>
      <c r="E28" s="44">
        <v>15</v>
      </c>
      <c r="F28" s="44">
        <v>10.5</v>
      </c>
      <c r="G28" s="18">
        <v>1</v>
      </c>
      <c r="H28" s="19">
        <f t="shared" si="16"/>
        <v>12.75</v>
      </c>
      <c r="I28" s="153">
        <v>13.375</v>
      </c>
      <c r="J28" s="154">
        <v>13.375</v>
      </c>
      <c r="K28" s="46" t="s">
        <v>141</v>
      </c>
      <c r="L28" s="17" t="str">
        <f t="shared" si="17"/>
        <v>C+</v>
      </c>
      <c r="M28" s="16"/>
      <c r="N28" s="16"/>
      <c r="O28" s="20">
        <f t="shared" si="18"/>
        <v>15</v>
      </c>
      <c r="P28" s="20">
        <f t="shared" si="19"/>
        <v>10.5</v>
      </c>
    </row>
    <row r="29" spans="2:16" ht="39" thickBot="1" x14ac:dyDescent="0.3">
      <c r="B29" s="84" t="s">
        <v>133</v>
      </c>
      <c r="C29" s="45" t="s">
        <v>87</v>
      </c>
      <c r="D29" s="17">
        <f t="shared" si="15"/>
        <v>16.5</v>
      </c>
      <c r="E29" s="17">
        <v>16</v>
      </c>
      <c r="F29" s="17">
        <v>17</v>
      </c>
      <c r="G29" s="18">
        <v>1</v>
      </c>
      <c r="H29" s="19">
        <f t="shared" si="16"/>
        <v>16.5</v>
      </c>
      <c r="I29" s="153">
        <v>17</v>
      </c>
      <c r="J29" s="154"/>
      <c r="K29" s="46" t="s">
        <v>141</v>
      </c>
      <c r="L29" s="17" t="str">
        <f>IF(D29&lt;10,"D",IF(D29&lt;12,"C",IF(D29&lt;14,"C+",IF(D29&lt;15,"B",IF(D29&lt;16,"B+",IF(D29&lt;18,"A",IF(D29&lt;20,"A+")))))))</f>
        <v>A</v>
      </c>
      <c r="M29" s="16"/>
      <c r="N29" s="16"/>
      <c r="O29" s="20">
        <f t="shared" si="18"/>
        <v>16</v>
      </c>
      <c r="P29" s="20">
        <f t="shared" si="19"/>
        <v>17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341</v>
      </c>
      <c r="P30" s="16">
        <f>SUM(P5:P29)</f>
        <v>361.5</v>
      </c>
    </row>
    <row r="31" spans="2:16" ht="16.5" thickBot="1" x14ac:dyDescent="0.3">
      <c r="B31" s="25" t="s">
        <v>32</v>
      </c>
      <c r="C31" s="40"/>
      <c r="D31" s="158">
        <f>(SUM(H26:H29)/SUM(G26:G29))</f>
        <v>14.75</v>
      </c>
      <c r="E31" s="158"/>
      <c r="F31" s="158"/>
      <c r="G31" s="182" t="s">
        <v>30</v>
      </c>
      <c r="H31" s="182"/>
      <c r="I31" s="81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11.758620689655173</v>
      </c>
      <c r="P32" s="16">
        <f>P30/P31</f>
        <v>12.46551724137931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>
        <f>O32</f>
        <v>11.758620689655173</v>
      </c>
      <c r="E35" s="73">
        <f>P32</f>
        <v>12.46551724137931</v>
      </c>
      <c r="F35" s="74" t="s">
        <v>156</v>
      </c>
      <c r="G35" s="75">
        <f>(H5+H6+H7+H8+H9+H13+H14+H15+H16+H20+H21+H22+H26+H27+H28+H29)/29</f>
        <v>12.112068965517242</v>
      </c>
      <c r="H35" s="72" t="s">
        <v>40</v>
      </c>
      <c r="I35" s="151" t="s">
        <v>41</v>
      </c>
      <c r="J35" s="152"/>
      <c r="K35" s="30" t="s">
        <v>109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I13:J13"/>
    <mergeCell ref="I4:J4"/>
    <mergeCell ref="I5:J5"/>
    <mergeCell ref="I6:J6"/>
    <mergeCell ref="I7:J7"/>
    <mergeCell ref="I8:J8"/>
    <mergeCell ref="I9:J9"/>
    <mergeCell ref="B10:L10"/>
    <mergeCell ref="D11:F11"/>
    <mergeCell ref="G11:H11"/>
    <mergeCell ref="J11:L11"/>
    <mergeCell ref="B12:L12"/>
    <mergeCell ref="D24:F24"/>
    <mergeCell ref="G24:H24"/>
    <mergeCell ref="J24:L24"/>
    <mergeCell ref="I14:J14"/>
    <mergeCell ref="I15:J15"/>
    <mergeCell ref="I16:J16"/>
    <mergeCell ref="B17:L17"/>
    <mergeCell ref="D18:F18"/>
    <mergeCell ref="G18:H18"/>
    <mergeCell ref="J18:L18"/>
    <mergeCell ref="B19:L19"/>
    <mergeCell ref="I20:J20"/>
    <mergeCell ref="I21:J21"/>
    <mergeCell ref="I22:J22"/>
    <mergeCell ref="B23:L23"/>
    <mergeCell ref="I35:J35"/>
    <mergeCell ref="B25:L25"/>
    <mergeCell ref="I26:J26"/>
    <mergeCell ref="I27:J27"/>
    <mergeCell ref="I28:J28"/>
    <mergeCell ref="I29:J29"/>
    <mergeCell ref="D31:F31"/>
    <mergeCell ref="G31:H31"/>
    <mergeCell ref="J31:L31"/>
    <mergeCell ref="B32:L32"/>
    <mergeCell ref="B33:C33"/>
    <mergeCell ref="G33:H33"/>
    <mergeCell ref="J33:K33"/>
    <mergeCell ref="I34:L34"/>
    <mergeCell ref="B36:H36"/>
    <mergeCell ref="I36:L36"/>
    <mergeCell ref="B37:L37"/>
    <mergeCell ref="B38:L38"/>
    <mergeCell ref="D39:F39"/>
    <mergeCell ref="G39:L40"/>
    <mergeCell ref="C40:C42"/>
    <mergeCell ref="D40:F42"/>
    <mergeCell ref="G41:J41"/>
    <mergeCell ref="K41:L41"/>
    <mergeCell ref="G42:J42"/>
    <mergeCell ref="K42:L42"/>
    <mergeCell ref="C43:C44"/>
    <mergeCell ref="D43:F44"/>
    <mergeCell ref="G43:J43"/>
    <mergeCell ref="K43:L43"/>
    <mergeCell ref="G44:J44"/>
    <mergeCell ref="K44:L44"/>
    <mergeCell ref="C45:C48"/>
    <mergeCell ref="D45:F48"/>
    <mergeCell ref="G45:J48"/>
    <mergeCell ref="K45:L45"/>
    <mergeCell ref="B46:B48"/>
    <mergeCell ref="K46:L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topLeftCell="C36" zoomScale="90" zoomScaleNormal="90" workbookViewId="0">
      <selection activeCell="B4" sqref="B4:L48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2" t="s">
        <v>24</v>
      </c>
      <c r="C4" s="41" t="s">
        <v>69</v>
      </c>
      <c r="D4" s="83" t="s">
        <v>153</v>
      </c>
      <c r="E4" s="83" t="s">
        <v>154</v>
      </c>
      <c r="F4" s="83" t="s">
        <v>155</v>
      </c>
      <c r="G4" s="83" t="s">
        <v>25</v>
      </c>
      <c r="H4" s="82" t="s">
        <v>26</v>
      </c>
      <c r="I4" s="167" t="s">
        <v>27</v>
      </c>
      <c r="J4" s="168"/>
      <c r="K4" s="83" t="s">
        <v>21</v>
      </c>
      <c r="L4" s="83" t="s">
        <v>28</v>
      </c>
      <c r="M4" s="16"/>
      <c r="N4" s="16"/>
      <c r="O4" s="16"/>
      <c r="P4" s="16"/>
    </row>
    <row r="5" spans="2:16" ht="43.5" customHeight="1" thickBot="1" x14ac:dyDescent="0.3">
      <c r="B5" s="84" t="s">
        <v>70</v>
      </c>
      <c r="C5" s="43" t="s">
        <v>75</v>
      </c>
      <c r="D5" s="17">
        <f>(E5+F5)/2</f>
        <v>11</v>
      </c>
      <c r="E5" s="44">
        <v>11</v>
      </c>
      <c r="F5" s="44">
        <v>11</v>
      </c>
      <c r="G5" s="18">
        <v>3</v>
      </c>
      <c r="H5" s="19">
        <f>D5*G5</f>
        <v>33</v>
      </c>
      <c r="I5" s="153">
        <v>14</v>
      </c>
      <c r="J5" s="154">
        <v>14</v>
      </c>
      <c r="K5" s="46" t="s">
        <v>135</v>
      </c>
      <c r="L5" s="17" t="str">
        <f>IF(D5&lt;10,"D",IF(D5&lt;12,"C",IF(D5&lt;14,"C+",IF(D5&lt;15,"B",IF(D5&lt;16,"B+",IF(D5&lt;18,"A",IF(D5&lt;20,"A+")))))))</f>
        <v>C</v>
      </c>
      <c r="M5" s="16"/>
      <c r="N5" s="16"/>
      <c r="O5" s="20">
        <f>E5*G5</f>
        <v>33</v>
      </c>
      <c r="P5" s="20">
        <f>F5*G5</f>
        <v>33</v>
      </c>
    </row>
    <row r="6" spans="2:16" ht="32.25" thickBot="1" x14ac:dyDescent="0.3">
      <c r="B6" s="84" t="s">
        <v>121</v>
      </c>
      <c r="C6" s="43" t="s">
        <v>76</v>
      </c>
      <c r="D6" s="17">
        <f t="shared" ref="D6:D9" si="0">(E6+F6)/2</f>
        <v>11</v>
      </c>
      <c r="E6" s="44">
        <v>13</v>
      </c>
      <c r="F6" s="44">
        <v>9</v>
      </c>
      <c r="G6" s="18">
        <v>1</v>
      </c>
      <c r="H6" s="19">
        <f t="shared" ref="H6:H9" si="1">D6*G6</f>
        <v>11</v>
      </c>
      <c r="I6" s="153">
        <v>7.75</v>
      </c>
      <c r="J6" s="154">
        <v>7.75</v>
      </c>
      <c r="K6" s="46" t="s">
        <v>160</v>
      </c>
      <c r="L6" s="17" t="str">
        <f t="shared" ref="L6:L9" si="2">IF(D6&lt;10,"D",IF(D6&lt;12,"C",IF(D6&lt;14,"C+",IF(D6&lt;15,"B",IF(D6&lt;16,"B+",IF(D6&lt;18,"A",IF(D6&lt;20,"A+")))))))</f>
        <v>C</v>
      </c>
      <c r="M6" s="16"/>
      <c r="N6" s="16"/>
      <c r="O6" s="20">
        <f t="shared" ref="O6:O9" si="3">E6*G6</f>
        <v>13</v>
      </c>
      <c r="P6" s="20">
        <f t="shared" ref="P6:P9" si="4">F6*G6</f>
        <v>9</v>
      </c>
    </row>
    <row r="7" spans="2:16" ht="32.25" thickBot="1" x14ac:dyDescent="0.3">
      <c r="B7" s="84" t="s">
        <v>122</v>
      </c>
      <c r="C7" s="43" t="s">
        <v>77</v>
      </c>
      <c r="D7" s="17">
        <f t="shared" si="0"/>
        <v>7.5</v>
      </c>
      <c r="E7" s="44">
        <v>9.5</v>
      </c>
      <c r="F7" s="44">
        <v>5.5</v>
      </c>
      <c r="G7" s="18">
        <v>2</v>
      </c>
      <c r="H7" s="19">
        <f t="shared" si="1"/>
        <v>15</v>
      </c>
      <c r="I7" s="153">
        <v>11.375</v>
      </c>
      <c r="J7" s="154">
        <v>11.375</v>
      </c>
      <c r="K7" s="46" t="s">
        <v>140</v>
      </c>
      <c r="L7" s="17" t="str">
        <f t="shared" si="2"/>
        <v>D</v>
      </c>
      <c r="M7" s="16"/>
      <c r="N7" s="16"/>
      <c r="O7" s="20">
        <f t="shared" si="3"/>
        <v>19</v>
      </c>
      <c r="P7" s="20">
        <f t="shared" si="4"/>
        <v>11</v>
      </c>
    </row>
    <row r="8" spans="2:16" ht="39" thickBot="1" x14ac:dyDescent="0.3">
      <c r="B8" s="84" t="s">
        <v>123</v>
      </c>
      <c r="C8" s="43" t="s">
        <v>78</v>
      </c>
      <c r="D8" s="17">
        <f t="shared" si="0"/>
        <v>9.5</v>
      </c>
      <c r="E8" s="44">
        <v>9</v>
      </c>
      <c r="F8" s="44">
        <v>10</v>
      </c>
      <c r="G8" s="18">
        <v>2</v>
      </c>
      <c r="H8" s="19">
        <f t="shared" si="1"/>
        <v>19</v>
      </c>
      <c r="I8" s="153">
        <v>12.5</v>
      </c>
      <c r="J8" s="154">
        <v>12.5</v>
      </c>
      <c r="K8" s="46" t="s">
        <v>140</v>
      </c>
      <c r="L8" s="17" t="str">
        <f t="shared" si="2"/>
        <v>D</v>
      </c>
      <c r="M8" s="16"/>
      <c r="N8" s="16"/>
      <c r="O8" s="20">
        <f t="shared" si="3"/>
        <v>18</v>
      </c>
      <c r="P8" s="20">
        <f t="shared" si="4"/>
        <v>20</v>
      </c>
    </row>
    <row r="9" spans="2:16" ht="39" thickBot="1" x14ac:dyDescent="0.3">
      <c r="B9" s="84" t="s">
        <v>124</v>
      </c>
      <c r="C9" s="43" t="s">
        <v>78</v>
      </c>
      <c r="D9" s="17">
        <f t="shared" si="0"/>
        <v>15.5</v>
      </c>
      <c r="E9" s="44">
        <v>15</v>
      </c>
      <c r="F9" s="44">
        <v>16</v>
      </c>
      <c r="G9" s="18">
        <v>1</v>
      </c>
      <c r="H9" s="19">
        <f t="shared" si="1"/>
        <v>15.5</v>
      </c>
      <c r="I9" s="153">
        <v>16</v>
      </c>
      <c r="J9" s="154">
        <v>16</v>
      </c>
      <c r="K9" s="46" t="s">
        <v>141</v>
      </c>
      <c r="L9" s="17" t="str">
        <f t="shared" si="2"/>
        <v>B+</v>
      </c>
      <c r="M9" s="16"/>
      <c r="N9" s="16"/>
      <c r="O9" s="20">
        <f t="shared" si="3"/>
        <v>15</v>
      </c>
      <c r="P9" s="20">
        <f t="shared" si="4"/>
        <v>16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10.388888888888889</v>
      </c>
      <c r="E11" s="158"/>
      <c r="F11" s="158"/>
      <c r="G11" s="159" t="s">
        <v>30</v>
      </c>
      <c r="H11" s="159"/>
      <c r="I11" s="85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84" t="s">
        <v>125</v>
      </c>
      <c r="C13" s="43" t="s">
        <v>79</v>
      </c>
      <c r="D13" s="17">
        <f t="shared" ref="D13:D16" si="5">(E13+F13)/2</f>
        <v>11.5</v>
      </c>
      <c r="E13" s="44">
        <v>12</v>
      </c>
      <c r="F13" s="44">
        <v>11</v>
      </c>
      <c r="G13" s="18">
        <v>2</v>
      </c>
      <c r="H13" s="19">
        <f t="shared" ref="H13:H16" si="6">D13*G13</f>
        <v>23</v>
      </c>
      <c r="I13" s="153">
        <v>16.75</v>
      </c>
      <c r="J13" s="154">
        <v>16.75</v>
      </c>
      <c r="K13" s="46" t="s">
        <v>138</v>
      </c>
      <c r="L13" s="17" t="str">
        <f t="shared" ref="L13:L16" si="7">IF(D13&lt;10,"D",IF(D13&lt;12,"C",IF(D13&lt;14,"C+",IF(D13&lt;15,"B",IF(D13&lt;16,"B+",IF(D13&lt;18,"A",IF(D13&lt;20,"A+")))))))</f>
        <v>C</v>
      </c>
      <c r="M13" s="16"/>
      <c r="N13" s="16"/>
      <c r="O13" s="20">
        <f t="shared" ref="O13:O16" si="8">E13*G13</f>
        <v>24</v>
      </c>
      <c r="P13" s="20">
        <f t="shared" ref="P13:P16" si="9">F13*G13</f>
        <v>22</v>
      </c>
    </row>
    <row r="14" spans="2:16" ht="48" thickBot="1" x14ac:dyDescent="0.3">
      <c r="B14" s="84" t="s">
        <v>126</v>
      </c>
      <c r="C14" s="45" t="s">
        <v>80</v>
      </c>
      <c r="D14" s="17">
        <f t="shared" si="5"/>
        <v>10.5</v>
      </c>
      <c r="E14" s="44">
        <v>11</v>
      </c>
      <c r="F14" s="44">
        <v>10</v>
      </c>
      <c r="G14" s="18">
        <v>2</v>
      </c>
      <c r="H14" s="19">
        <f t="shared" si="6"/>
        <v>21</v>
      </c>
      <c r="I14" s="153">
        <v>11.75</v>
      </c>
      <c r="J14" s="154">
        <v>11.75</v>
      </c>
      <c r="K14" s="46" t="s">
        <v>141</v>
      </c>
      <c r="L14" s="17" t="str">
        <f t="shared" si="7"/>
        <v>C</v>
      </c>
      <c r="M14" s="16"/>
      <c r="N14" s="16"/>
      <c r="O14" s="20">
        <f t="shared" si="8"/>
        <v>22</v>
      </c>
      <c r="P14" s="20">
        <f t="shared" si="9"/>
        <v>20</v>
      </c>
    </row>
    <row r="15" spans="2:16" ht="37.5" customHeight="1" thickBot="1" x14ac:dyDescent="0.3">
      <c r="B15" s="84" t="s">
        <v>127</v>
      </c>
      <c r="C15" s="45" t="s">
        <v>81</v>
      </c>
      <c r="D15" s="17">
        <f t="shared" si="5"/>
        <v>8.5</v>
      </c>
      <c r="E15" s="44">
        <v>7</v>
      </c>
      <c r="F15" s="44">
        <v>10</v>
      </c>
      <c r="G15" s="18">
        <v>2</v>
      </c>
      <c r="H15" s="19">
        <f t="shared" si="6"/>
        <v>17</v>
      </c>
      <c r="I15" s="153">
        <v>11.75</v>
      </c>
      <c r="J15" s="154">
        <v>11.75</v>
      </c>
      <c r="K15" s="46" t="s">
        <v>144</v>
      </c>
      <c r="L15" s="17" t="str">
        <f t="shared" si="7"/>
        <v>D</v>
      </c>
      <c r="M15" s="16"/>
      <c r="N15" s="16"/>
      <c r="O15" s="20">
        <f t="shared" si="8"/>
        <v>14</v>
      </c>
      <c r="P15" s="20">
        <f t="shared" si="9"/>
        <v>20</v>
      </c>
    </row>
    <row r="16" spans="2:16" ht="32.25" thickBot="1" x14ac:dyDescent="0.3">
      <c r="B16" s="84" t="s">
        <v>128</v>
      </c>
      <c r="C16" s="42" t="s">
        <v>73</v>
      </c>
      <c r="D16" s="17">
        <f t="shared" si="5"/>
        <v>6.5</v>
      </c>
      <c r="E16" s="17">
        <v>6</v>
      </c>
      <c r="F16" s="17">
        <v>7</v>
      </c>
      <c r="G16" s="18">
        <v>1</v>
      </c>
      <c r="H16" s="19">
        <f t="shared" si="6"/>
        <v>6.5</v>
      </c>
      <c r="I16" s="153">
        <v>7.75</v>
      </c>
      <c r="J16" s="154"/>
      <c r="K16" s="46" t="s">
        <v>160</v>
      </c>
      <c r="L16" s="17" t="str">
        <f t="shared" si="7"/>
        <v>D</v>
      </c>
      <c r="M16" s="16"/>
      <c r="N16" s="16"/>
      <c r="O16" s="20">
        <f t="shared" si="8"/>
        <v>6</v>
      </c>
      <c r="P16" s="20">
        <f t="shared" si="9"/>
        <v>7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9.6428571428571423</v>
      </c>
      <c r="E18" s="158"/>
      <c r="F18" s="158"/>
      <c r="G18" s="159" t="s">
        <v>30</v>
      </c>
      <c r="H18" s="159"/>
      <c r="I18" s="85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84" t="s">
        <v>71</v>
      </c>
      <c r="C20" s="45" t="s">
        <v>82</v>
      </c>
      <c r="D20" s="17">
        <f t="shared" ref="D20:D22" si="10">(E20+F20)/2</f>
        <v>12.25</v>
      </c>
      <c r="E20" s="44">
        <v>12</v>
      </c>
      <c r="F20" s="44">
        <v>12.5</v>
      </c>
      <c r="G20" s="18">
        <v>2</v>
      </c>
      <c r="H20" s="19">
        <f t="shared" ref="H20:H22" si="11">D20*G20</f>
        <v>24.5</v>
      </c>
      <c r="I20" s="153">
        <v>14.75</v>
      </c>
      <c r="J20" s="154">
        <v>14.75</v>
      </c>
      <c r="K20" s="46" t="s">
        <v>144</v>
      </c>
      <c r="L20" s="17" t="str">
        <f t="shared" ref="L20:L22" si="12">IF(D20&lt;10,"D",IF(D20&lt;12,"C",IF(D20&lt;14,"C+",IF(D20&lt;15,"B",IF(D20&lt;16,"B+",IF(D20&lt;18,"A",IF(D20&lt;20,"A+")))))))</f>
        <v>C+</v>
      </c>
      <c r="M20" s="16"/>
      <c r="N20" s="16"/>
      <c r="O20" s="20">
        <f t="shared" ref="O20:O22" si="13">E20*G20</f>
        <v>24</v>
      </c>
      <c r="P20" s="20">
        <f t="shared" ref="P20:P22" si="14">F20*G20</f>
        <v>25</v>
      </c>
    </row>
    <row r="21" spans="2:16" ht="64.5" thickBot="1" x14ac:dyDescent="0.3">
      <c r="B21" s="84" t="s">
        <v>129</v>
      </c>
      <c r="C21" s="45" t="s">
        <v>83</v>
      </c>
      <c r="D21" s="17">
        <f t="shared" si="10"/>
        <v>6.75</v>
      </c>
      <c r="E21" s="44">
        <v>8.5</v>
      </c>
      <c r="F21" s="44">
        <v>5</v>
      </c>
      <c r="G21" s="18">
        <v>4</v>
      </c>
      <c r="H21" s="19">
        <f t="shared" si="11"/>
        <v>27</v>
      </c>
      <c r="I21" s="153">
        <v>5.5</v>
      </c>
      <c r="J21" s="154">
        <v>5.5</v>
      </c>
      <c r="K21" s="46" t="s">
        <v>160</v>
      </c>
      <c r="L21" s="17" t="str">
        <f t="shared" si="12"/>
        <v>D</v>
      </c>
      <c r="M21" s="16"/>
      <c r="N21" s="16"/>
      <c r="O21" s="20">
        <f t="shared" si="13"/>
        <v>34</v>
      </c>
      <c r="P21" s="20">
        <f t="shared" si="14"/>
        <v>20</v>
      </c>
    </row>
    <row r="22" spans="2:16" ht="64.5" thickBot="1" x14ac:dyDescent="0.3">
      <c r="B22" s="84" t="s">
        <v>130</v>
      </c>
      <c r="C22" s="45" t="s">
        <v>84</v>
      </c>
      <c r="D22" s="17">
        <f t="shared" si="10"/>
        <v>12</v>
      </c>
      <c r="E22" s="44">
        <v>9</v>
      </c>
      <c r="F22" s="44">
        <v>15</v>
      </c>
      <c r="G22" s="18">
        <v>2</v>
      </c>
      <c r="H22" s="19">
        <f t="shared" si="11"/>
        <v>24</v>
      </c>
      <c r="I22" s="153">
        <v>14.375</v>
      </c>
      <c r="J22" s="154">
        <v>14.375</v>
      </c>
      <c r="K22" s="46" t="s">
        <v>135</v>
      </c>
      <c r="L22" s="17" t="str">
        <f t="shared" si="12"/>
        <v>C+</v>
      </c>
      <c r="M22" s="16"/>
      <c r="N22" s="16"/>
      <c r="O22" s="20">
        <f t="shared" si="13"/>
        <v>18</v>
      </c>
      <c r="P22" s="20">
        <f t="shared" si="14"/>
        <v>30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9.4375</v>
      </c>
      <c r="E24" s="158"/>
      <c r="F24" s="158"/>
      <c r="G24" s="159" t="s">
        <v>30</v>
      </c>
      <c r="H24" s="159"/>
      <c r="I24" s="85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84" t="s">
        <v>131</v>
      </c>
      <c r="C26" s="43" t="s">
        <v>74</v>
      </c>
      <c r="D26" s="17">
        <f t="shared" ref="D26:D29" si="15">(E26+F26)/2</f>
        <v>12</v>
      </c>
      <c r="E26" s="44">
        <v>12</v>
      </c>
      <c r="F26" s="44">
        <v>12</v>
      </c>
      <c r="G26" s="18">
        <v>1</v>
      </c>
      <c r="H26" s="19">
        <f t="shared" ref="H26:H29" si="16">D26*G26</f>
        <v>12</v>
      </c>
      <c r="I26" s="153">
        <v>12.5</v>
      </c>
      <c r="J26" s="154">
        <v>12.5</v>
      </c>
      <c r="K26" s="46" t="s">
        <v>160</v>
      </c>
      <c r="L26" s="17" t="str">
        <f t="shared" ref="L26:L28" si="17">IF(D26&lt;10,"D",IF(D26&lt;12,"C",IF(D26&lt;14,"C+",IF(D26&lt;15,"B",IF(D26&lt;16,"B+",IF(D26&lt;18,"A",IF(D26&lt;20,"A+")))))))</f>
        <v>C+</v>
      </c>
      <c r="M26" s="16"/>
      <c r="N26" s="16"/>
      <c r="O26" s="20">
        <f t="shared" ref="O26:O29" si="18">E26*G26</f>
        <v>12</v>
      </c>
      <c r="P26" s="20">
        <f t="shared" ref="P26:P29" si="19">F26*G26</f>
        <v>12</v>
      </c>
    </row>
    <row r="27" spans="2:16" ht="32.25" thickBot="1" x14ac:dyDescent="0.3">
      <c r="B27" s="84" t="s">
        <v>72</v>
      </c>
      <c r="C27" s="45" t="s">
        <v>85</v>
      </c>
      <c r="D27" s="17">
        <f t="shared" si="15"/>
        <v>15.5</v>
      </c>
      <c r="E27" s="44">
        <v>15</v>
      </c>
      <c r="F27" s="44">
        <v>16</v>
      </c>
      <c r="G27" s="18">
        <v>2</v>
      </c>
      <c r="H27" s="19">
        <f>D27*G27</f>
        <v>31</v>
      </c>
      <c r="I27" s="153">
        <v>16</v>
      </c>
      <c r="J27" s="154">
        <v>16</v>
      </c>
      <c r="K27" s="46" t="s">
        <v>160</v>
      </c>
      <c r="L27" s="17" t="str">
        <f t="shared" si="17"/>
        <v>B+</v>
      </c>
      <c r="M27" s="16"/>
      <c r="N27" s="16"/>
      <c r="O27" s="20">
        <f t="shared" si="18"/>
        <v>30</v>
      </c>
      <c r="P27" s="20">
        <f t="shared" si="19"/>
        <v>32</v>
      </c>
    </row>
    <row r="28" spans="2:16" ht="39.75" customHeight="1" thickBot="1" x14ac:dyDescent="0.3">
      <c r="B28" s="84" t="s">
        <v>132</v>
      </c>
      <c r="C28" s="45" t="s">
        <v>86</v>
      </c>
      <c r="D28" s="17">
        <f t="shared" si="15"/>
        <v>10.75</v>
      </c>
      <c r="E28" s="44">
        <v>14</v>
      </c>
      <c r="F28" s="44">
        <v>7.5</v>
      </c>
      <c r="G28" s="18">
        <v>1</v>
      </c>
      <c r="H28" s="19">
        <f t="shared" si="16"/>
        <v>10.75</v>
      </c>
      <c r="I28" s="153">
        <v>13.375</v>
      </c>
      <c r="J28" s="154">
        <v>13.375</v>
      </c>
      <c r="K28" s="46" t="s">
        <v>142</v>
      </c>
      <c r="L28" s="17" t="str">
        <f t="shared" si="17"/>
        <v>C</v>
      </c>
      <c r="M28" s="16"/>
      <c r="N28" s="16"/>
      <c r="O28" s="20">
        <f t="shared" si="18"/>
        <v>14</v>
      </c>
      <c r="P28" s="20">
        <f t="shared" si="19"/>
        <v>7.5</v>
      </c>
    </row>
    <row r="29" spans="2:16" ht="39" thickBot="1" x14ac:dyDescent="0.3">
      <c r="B29" s="84" t="s">
        <v>133</v>
      </c>
      <c r="C29" s="45" t="s">
        <v>87</v>
      </c>
      <c r="D29" s="17">
        <f t="shared" si="15"/>
        <v>16.5</v>
      </c>
      <c r="E29" s="17">
        <v>16</v>
      </c>
      <c r="F29" s="17">
        <v>17</v>
      </c>
      <c r="G29" s="18">
        <v>1</v>
      </c>
      <c r="H29" s="19">
        <f t="shared" si="16"/>
        <v>16.5</v>
      </c>
      <c r="I29" s="153">
        <v>17</v>
      </c>
      <c r="J29" s="154"/>
      <c r="K29" s="46" t="s">
        <v>141</v>
      </c>
      <c r="L29" s="17" t="str">
        <f>IF(D29&lt;10,"D",IF(D29&lt;12,"C",IF(D29&lt;14,"C+",IF(D29&lt;15,"B",IF(D29&lt;16,"B+",IF(D29&lt;18,"A",IF(D29&lt;20,"A+")))))))</f>
        <v>A</v>
      </c>
      <c r="M29" s="16"/>
      <c r="N29" s="16"/>
      <c r="O29" s="20">
        <f t="shared" si="18"/>
        <v>16</v>
      </c>
      <c r="P29" s="20">
        <f t="shared" si="19"/>
        <v>17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312</v>
      </c>
      <c r="P30" s="16">
        <f>SUM(P5:P29)</f>
        <v>301.5</v>
      </c>
    </row>
    <row r="31" spans="2:16" ht="16.5" thickBot="1" x14ac:dyDescent="0.3">
      <c r="B31" s="25" t="s">
        <v>32</v>
      </c>
      <c r="C31" s="40"/>
      <c r="D31" s="158">
        <f>(SUM(H26:H29)/SUM(G26:G29))</f>
        <v>14.05</v>
      </c>
      <c r="E31" s="158"/>
      <c r="F31" s="158"/>
      <c r="G31" s="182" t="s">
        <v>30</v>
      </c>
      <c r="H31" s="182"/>
      <c r="I31" s="81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10.758620689655173</v>
      </c>
      <c r="P32" s="16">
        <f>P30/P31</f>
        <v>10.396551724137931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>
        <f>O32</f>
        <v>10.758620689655173</v>
      </c>
      <c r="E35" s="73">
        <f>P32</f>
        <v>10.396551724137931</v>
      </c>
      <c r="F35" s="74" t="s">
        <v>156</v>
      </c>
      <c r="G35" s="75">
        <f>(H5+H6+H7+H8+H9+H13+H14+H15+H16+H20+H21+H22+H26+H27+H28+H29)/29</f>
        <v>10.577586206896552</v>
      </c>
      <c r="H35" s="72" t="s">
        <v>40</v>
      </c>
      <c r="I35" s="151" t="s">
        <v>41</v>
      </c>
      <c r="J35" s="152"/>
      <c r="K35" s="30" t="s">
        <v>112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CMA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I13:J13"/>
    <mergeCell ref="I4:J4"/>
    <mergeCell ref="I5:J5"/>
    <mergeCell ref="I6:J6"/>
    <mergeCell ref="I7:J7"/>
    <mergeCell ref="I8:J8"/>
    <mergeCell ref="I9:J9"/>
    <mergeCell ref="B10:L10"/>
    <mergeCell ref="D11:F11"/>
    <mergeCell ref="G11:H11"/>
    <mergeCell ref="J11:L11"/>
    <mergeCell ref="B12:L12"/>
    <mergeCell ref="D24:F24"/>
    <mergeCell ref="G24:H24"/>
    <mergeCell ref="J24:L24"/>
    <mergeCell ref="I14:J14"/>
    <mergeCell ref="I15:J15"/>
    <mergeCell ref="I16:J16"/>
    <mergeCell ref="B17:L17"/>
    <mergeCell ref="D18:F18"/>
    <mergeCell ref="G18:H18"/>
    <mergeCell ref="J18:L18"/>
    <mergeCell ref="B19:L19"/>
    <mergeCell ref="I20:J20"/>
    <mergeCell ref="I21:J21"/>
    <mergeCell ref="I22:J22"/>
    <mergeCell ref="B23:L23"/>
    <mergeCell ref="I35:J35"/>
    <mergeCell ref="B25:L25"/>
    <mergeCell ref="I26:J26"/>
    <mergeCell ref="I27:J27"/>
    <mergeCell ref="I28:J28"/>
    <mergeCell ref="I29:J29"/>
    <mergeCell ref="D31:F31"/>
    <mergeCell ref="G31:H31"/>
    <mergeCell ref="J31:L31"/>
    <mergeCell ref="B32:L32"/>
    <mergeCell ref="B33:C33"/>
    <mergeCell ref="G33:H33"/>
    <mergeCell ref="J33:K33"/>
    <mergeCell ref="I34:L34"/>
    <mergeCell ref="B36:H36"/>
    <mergeCell ref="I36:L36"/>
    <mergeCell ref="B37:L37"/>
    <mergeCell ref="B38:L38"/>
    <mergeCell ref="D39:F39"/>
    <mergeCell ref="G39:L40"/>
    <mergeCell ref="C40:C42"/>
    <mergeCell ref="D40:F42"/>
    <mergeCell ref="G41:J41"/>
    <mergeCell ref="K41:L41"/>
    <mergeCell ref="G42:J42"/>
    <mergeCell ref="K42:L42"/>
    <mergeCell ref="C43:C44"/>
    <mergeCell ref="D43:F44"/>
    <mergeCell ref="G43:J43"/>
    <mergeCell ref="K43:L43"/>
    <mergeCell ref="G44:J44"/>
    <mergeCell ref="K44:L44"/>
    <mergeCell ref="C45:C48"/>
    <mergeCell ref="D45:F48"/>
    <mergeCell ref="G45:J48"/>
    <mergeCell ref="K45:L45"/>
    <mergeCell ref="B46:B48"/>
    <mergeCell ref="K46:L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topLeftCell="A38" zoomScale="90" zoomScaleNormal="90" workbookViewId="0">
      <selection activeCell="B4" sqref="B4:L48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2" t="s">
        <v>24</v>
      </c>
      <c r="C4" s="41" t="s">
        <v>69</v>
      </c>
      <c r="D4" s="83" t="s">
        <v>153</v>
      </c>
      <c r="E4" s="83" t="s">
        <v>154</v>
      </c>
      <c r="F4" s="83" t="s">
        <v>155</v>
      </c>
      <c r="G4" s="83" t="s">
        <v>25</v>
      </c>
      <c r="H4" s="82" t="s">
        <v>26</v>
      </c>
      <c r="I4" s="167" t="s">
        <v>27</v>
      </c>
      <c r="J4" s="168"/>
      <c r="K4" s="83" t="s">
        <v>21</v>
      </c>
      <c r="L4" s="83" t="s">
        <v>28</v>
      </c>
      <c r="M4" s="16"/>
      <c r="N4" s="16"/>
      <c r="O4" s="16"/>
      <c r="P4" s="16"/>
    </row>
    <row r="5" spans="2:16" ht="43.5" customHeight="1" thickBot="1" x14ac:dyDescent="0.3">
      <c r="B5" s="84" t="s">
        <v>70</v>
      </c>
      <c r="C5" s="43" t="s">
        <v>75</v>
      </c>
      <c r="D5" s="44">
        <v>17</v>
      </c>
      <c r="E5" s="44"/>
      <c r="F5" s="44">
        <v>17</v>
      </c>
      <c r="G5" s="18">
        <v>3</v>
      </c>
      <c r="H5" s="19">
        <f>D5*G5</f>
        <v>51</v>
      </c>
      <c r="I5" s="153">
        <v>14</v>
      </c>
      <c r="J5" s="154">
        <v>14</v>
      </c>
      <c r="K5" s="46" t="s">
        <v>160</v>
      </c>
      <c r="L5" s="17" t="str">
        <f>IF(D5&lt;10,"D",IF(D5&lt;12,"C",IF(D5&lt;14,"C+",IF(D5&lt;15,"B",IF(D5&lt;16,"B+",IF(D5&lt;18,"A",IF(D5&lt;20,"A+")))))))</f>
        <v>A</v>
      </c>
      <c r="M5" s="16"/>
      <c r="N5" s="16"/>
      <c r="O5" s="20">
        <f>E5*G5</f>
        <v>0</v>
      </c>
      <c r="P5" s="20">
        <f>F5*G5</f>
        <v>51</v>
      </c>
    </row>
    <row r="6" spans="2:16" ht="32.25" thickBot="1" x14ac:dyDescent="0.3">
      <c r="B6" s="84" t="s">
        <v>121</v>
      </c>
      <c r="C6" s="43" t="s">
        <v>76</v>
      </c>
      <c r="D6" s="44">
        <v>4</v>
      </c>
      <c r="E6" s="44"/>
      <c r="F6" s="44">
        <v>4</v>
      </c>
      <c r="G6" s="18">
        <v>1</v>
      </c>
      <c r="H6" s="19">
        <f t="shared" ref="H6:H9" si="0">D6*G6</f>
        <v>4</v>
      </c>
      <c r="I6" s="153">
        <v>7.75</v>
      </c>
      <c r="J6" s="154">
        <v>7.75</v>
      </c>
      <c r="K6" s="46" t="s">
        <v>142</v>
      </c>
      <c r="L6" s="17" t="str">
        <f t="shared" ref="L6:L9" si="1">IF(D6&lt;10,"D",IF(D6&lt;12,"C",IF(D6&lt;14,"C+",IF(D6&lt;15,"B",IF(D6&lt;16,"B+",IF(D6&lt;18,"A",IF(D6&lt;20,"A+")))))))</f>
        <v>D</v>
      </c>
      <c r="M6" s="16"/>
      <c r="N6" s="16"/>
      <c r="O6" s="20">
        <f t="shared" ref="O6:O9" si="2">E6*G6</f>
        <v>0</v>
      </c>
      <c r="P6" s="20">
        <f t="shared" ref="P6:P9" si="3">F6*G6</f>
        <v>4</v>
      </c>
    </row>
    <row r="7" spans="2:16" ht="32.25" thickBot="1" x14ac:dyDescent="0.3">
      <c r="B7" s="84" t="s">
        <v>122</v>
      </c>
      <c r="C7" s="43" t="s">
        <v>77</v>
      </c>
      <c r="D7" s="44">
        <v>13.5</v>
      </c>
      <c r="E7" s="44"/>
      <c r="F7" s="44">
        <v>13.5</v>
      </c>
      <c r="G7" s="18">
        <v>2</v>
      </c>
      <c r="H7" s="19">
        <f t="shared" si="0"/>
        <v>27</v>
      </c>
      <c r="I7" s="153">
        <v>11.375</v>
      </c>
      <c r="J7" s="154">
        <v>11.375</v>
      </c>
      <c r="K7" s="46" t="s">
        <v>160</v>
      </c>
      <c r="L7" s="17" t="str">
        <f t="shared" si="1"/>
        <v>C+</v>
      </c>
      <c r="M7" s="16"/>
      <c r="N7" s="16"/>
      <c r="O7" s="20">
        <f t="shared" si="2"/>
        <v>0</v>
      </c>
      <c r="P7" s="20">
        <f t="shared" si="3"/>
        <v>27</v>
      </c>
    </row>
    <row r="8" spans="2:16" ht="39" thickBot="1" x14ac:dyDescent="0.3">
      <c r="B8" s="84" t="s">
        <v>123</v>
      </c>
      <c r="C8" s="43" t="s">
        <v>78</v>
      </c>
      <c r="D8" s="44">
        <v>11</v>
      </c>
      <c r="E8" s="44"/>
      <c r="F8" s="44">
        <v>11</v>
      </c>
      <c r="G8" s="18">
        <v>2</v>
      </c>
      <c r="H8" s="19">
        <f t="shared" si="0"/>
        <v>22</v>
      </c>
      <c r="I8" s="153">
        <v>12.5</v>
      </c>
      <c r="J8" s="154">
        <v>12.5</v>
      </c>
      <c r="K8" s="46" t="s">
        <v>139</v>
      </c>
      <c r="L8" s="17" t="str">
        <f t="shared" si="1"/>
        <v>C</v>
      </c>
      <c r="M8" s="16"/>
      <c r="N8" s="16"/>
      <c r="O8" s="20">
        <f t="shared" si="2"/>
        <v>0</v>
      </c>
      <c r="P8" s="20">
        <f t="shared" si="3"/>
        <v>22</v>
      </c>
    </row>
    <row r="9" spans="2:16" ht="39" thickBot="1" x14ac:dyDescent="0.3">
      <c r="B9" s="84" t="s">
        <v>124</v>
      </c>
      <c r="C9" s="43" t="s">
        <v>78</v>
      </c>
      <c r="D9" s="44">
        <v>16</v>
      </c>
      <c r="E9" s="44"/>
      <c r="F9" s="44">
        <v>16</v>
      </c>
      <c r="G9" s="18">
        <v>1</v>
      </c>
      <c r="H9" s="19">
        <f t="shared" si="0"/>
        <v>16</v>
      </c>
      <c r="I9" s="153">
        <v>16</v>
      </c>
      <c r="J9" s="154">
        <v>16</v>
      </c>
      <c r="K9" s="46" t="s">
        <v>160</v>
      </c>
      <c r="L9" s="17" t="str">
        <f t="shared" si="1"/>
        <v>A</v>
      </c>
      <c r="M9" s="16"/>
      <c r="N9" s="16"/>
      <c r="O9" s="20">
        <f t="shared" si="2"/>
        <v>0</v>
      </c>
      <c r="P9" s="20">
        <f t="shared" si="3"/>
        <v>16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13.333333333333334</v>
      </c>
      <c r="E11" s="158"/>
      <c r="F11" s="158"/>
      <c r="G11" s="159" t="s">
        <v>30</v>
      </c>
      <c r="H11" s="159"/>
      <c r="I11" s="85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84" t="s">
        <v>125</v>
      </c>
      <c r="C13" s="43" t="s">
        <v>79</v>
      </c>
      <c r="D13" s="44">
        <v>20</v>
      </c>
      <c r="E13" s="44"/>
      <c r="F13" s="44">
        <v>20</v>
      </c>
      <c r="G13" s="18">
        <v>2</v>
      </c>
      <c r="H13" s="19">
        <f t="shared" ref="H13:H16" si="4">D13*G13</f>
        <v>40</v>
      </c>
      <c r="I13" s="153">
        <v>16.75</v>
      </c>
      <c r="J13" s="154">
        <v>16.75</v>
      </c>
      <c r="K13" s="46" t="s">
        <v>160</v>
      </c>
      <c r="L13" s="17" t="b">
        <f t="shared" ref="L13:L16" si="5">IF(D13&lt;10,"D",IF(D13&lt;12,"C",IF(D13&lt;14,"C+",IF(D13&lt;15,"B",IF(D13&lt;16,"B+",IF(D13&lt;18,"A",IF(D13&lt;20,"A+")))))))</f>
        <v>0</v>
      </c>
      <c r="M13" s="16"/>
      <c r="N13" s="16"/>
      <c r="O13" s="20">
        <f t="shared" ref="O13:O16" si="6">E13*G13</f>
        <v>0</v>
      </c>
      <c r="P13" s="20">
        <f t="shared" ref="P13:P16" si="7">F13*G13</f>
        <v>40</v>
      </c>
    </row>
    <row r="14" spans="2:16" ht="48" thickBot="1" x14ac:dyDescent="0.3">
      <c r="B14" s="84" t="s">
        <v>126</v>
      </c>
      <c r="C14" s="45" t="s">
        <v>80</v>
      </c>
      <c r="D14" s="44">
        <v>13</v>
      </c>
      <c r="E14" s="44"/>
      <c r="F14" s="44">
        <v>13</v>
      </c>
      <c r="G14" s="18">
        <v>2</v>
      </c>
      <c r="H14" s="19">
        <f t="shared" si="4"/>
        <v>26</v>
      </c>
      <c r="I14" s="153">
        <v>11.75</v>
      </c>
      <c r="J14" s="154">
        <v>11.75</v>
      </c>
      <c r="K14" s="46" t="s">
        <v>144</v>
      </c>
      <c r="L14" s="17" t="str">
        <f t="shared" si="5"/>
        <v>C+</v>
      </c>
      <c r="M14" s="16"/>
      <c r="N14" s="16"/>
      <c r="O14" s="20">
        <f t="shared" si="6"/>
        <v>0</v>
      </c>
      <c r="P14" s="20">
        <f t="shared" si="7"/>
        <v>26</v>
      </c>
    </row>
    <row r="15" spans="2:16" ht="37.5" customHeight="1" thickBot="1" x14ac:dyDescent="0.3">
      <c r="B15" s="84" t="s">
        <v>127</v>
      </c>
      <c r="C15" s="45" t="s">
        <v>81</v>
      </c>
      <c r="D15" s="44">
        <v>15</v>
      </c>
      <c r="E15" s="44"/>
      <c r="F15" s="44">
        <v>15</v>
      </c>
      <c r="G15" s="18">
        <v>2</v>
      </c>
      <c r="H15" s="19">
        <f t="shared" si="4"/>
        <v>30</v>
      </c>
      <c r="I15" s="153">
        <v>11.75</v>
      </c>
      <c r="J15" s="154">
        <v>11.75</v>
      </c>
      <c r="K15" s="46" t="s">
        <v>141</v>
      </c>
      <c r="L15" s="17" t="str">
        <f t="shared" si="5"/>
        <v>B+</v>
      </c>
      <c r="M15" s="16"/>
      <c r="N15" s="16"/>
      <c r="O15" s="20">
        <f t="shared" si="6"/>
        <v>0</v>
      </c>
      <c r="P15" s="20">
        <f t="shared" si="7"/>
        <v>30</v>
      </c>
    </row>
    <row r="16" spans="2:16" ht="32.25" thickBot="1" x14ac:dyDescent="0.3">
      <c r="B16" s="84" t="s">
        <v>128</v>
      </c>
      <c r="C16" s="42" t="s">
        <v>73</v>
      </c>
      <c r="D16" s="17">
        <v>8</v>
      </c>
      <c r="E16" s="17"/>
      <c r="F16" s="17">
        <v>8</v>
      </c>
      <c r="G16" s="18">
        <v>1</v>
      </c>
      <c r="H16" s="19">
        <f t="shared" si="4"/>
        <v>8</v>
      </c>
      <c r="I16" s="153">
        <v>7.75</v>
      </c>
      <c r="J16" s="154"/>
      <c r="K16" s="46" t="s">
        <v>138</v>
      </c>
      <c r="L16" s="17" t="str">
        <f t="shared" si="5"/>
        <v>D</v>
      </c>
      <c r="M16" s="16"/>
      <c r="N16" s="16"/>
      <c r="O16" s="20">
        <f t="shared" si="6"/>
        <v>0</v>
      </c>
      <c r="P16" s="20">
        <f t="shared" si="7"/>
        <v>8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14.857142857142858</v>
      </c>
      <c r="E18" s="158"/>
      <c r="F18" s="158"/>
      <c r="G18" s="159" t="s">
        <v>30</v>
      </c>
      <c r="H18" s="159"/>
      <c r="I18" s="85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84" t="s">
        <v>71</v>
      </c>
      <c r="C20" s="45" t="s">
        <v>82</v>
      </c>
      <c r="D20" s="44">
        <v>15.5</v>
      </c>
      <c r="E20" s="44"/>
      <c r="F20" s="44">
        <v>15.5</v>
      </c>
      <c r="G20" s="18">
        <v>2</v>
      </c>
      <c r="H20" s="19">
        <f t="shared" ref="H20:H22" si="8">D20*G20</f>
        <v>31</v>
      </c>
      <c r="I20" s="153">
        <v>14.75</v>
      </c>
      <c r="J20" s="154">
        <v>14.75</v>
      </c>
      <c r="K20" s="46" t="s">
        <v>160</v>
      </c>
      <c r="L20" s="17" t="str">
        <f t="shared" ref="L20:L22" si="9">IF(D20&lt;10,"D",IF(D20&lt;12,"C",IF(D20&lt;14,"C+",IF(D20&lt;15,"B",IF(D20&lt;16,"B+",IF(D20&lt;18,"A",IF(D20&lt;20,"A+")))))))</f>
        <v>B+</v>
      </c>
      <c r="M20" s="16"/>
      <c r="N20" s="16"/>
      <c r="O20" s="20">
        <f t="shared" ref="O20:O22" si="10">E20*G20</f>
        <v>0</v>
      </c>
      <c r="P20" s="20">
        <f t="shared" ref="P20:P22" si="11">F20*G20</f>
        <v>31</v>
      </c>
    </row>
    <row r="21" spans="2:16" ht="64.5" thickBot="1" x14ac:dyDescent="0.3">
      <c r="B21" s="84" t="s">
        <v>129</v>
      </c>
      <c r="C21" s="45" t="s">
        <v>83</v>
      </c>
      <c r="D21" s="44">
        <v>4</v>
      </c>
      <c r="E21" s="44"/>
      <c r="F21" s="44">
        <v>4</v>
      </c>
      <c r="G21" s="18">
        <v>4</v>
      </c>
      <c r="H21" s="19">
        <f t="shared" si="8"/>
        <v>16</v>
      </c>
      <c r="I21" s="153">
        <v>5.5</v>
      </c>
      <c r="J21" s="154">
        <v>5.5</v>
      </c>
      <c r="K21" s="46" t="s">
        <v>142</v>
      </c>
      <c r="L21" s="17" t="str">
        <f t="shared" si="9"/>
        <v>D</v>
      </c>
      <c r="M21" s="16"/>
      <c r="N21" s="16"/>
      <c r="O21" s="20">
        <f t="shared" si="10"/>
        <v>0</v>
      </c>
      <c r="P21" s="20">
        <f t="shared" si="11"/>
        <v>16</v>
      </c>
    </row>
    <row r="22" spans="2:16" ht="64.5" thickBot="1" x14ac:dyDescent="0.3">
      <c r="B22" s="84" t="s">
        <v>130</v>
      </c>
      <c r="C22" s="45" t="s">
        <v>84</v>
      </c>
      <c r="D22" s="44">
        <v>15</v>
      </c>
      <c r="E22" s="44"/>
      <c r="F22" s="44">
        <v>15</v>
      </c>
      <c r="G22" s="18">
        <v>2</v>
      </c>
      <c r="H22" s="19">
        <f t="shared" si="8"/>
        <v>30</v>
      </c>
      <c r="I22" s="153">
        <v>14.375</v>
      </c>
      <c r="J22" s="154">
        <v>14.375</v>
      </c>
      <c r="K22" s="46" t="s">
        <v>160</v>
      </c>
      <c r="L22" s="17" t="str">
        <f t="shared" si="9"/>
        <v>B+</v>
      </c>
      <c r="M22" s="16"/>
      <c r="N22" s="16"/>
      <c r="O22" s="20">
        <f t="shared" si="10"/>
        <v>0</v>
      </c>
      <c r="P22" s="20">
        <f t="shared" si="11"/>
        <v>30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9.625</v>
      </c>
      <c r="E24" s="158"/>
      <c r="F24" s="158"/>
      <c r="G24" s="159" t="s">
        <v>30</v>
      </c>
      <c r="H24" s="159"/>
      <c r="I24" s="85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84" t="s">
        <v>131</v>
      </c>
      <c r="C26" s="43" t="s">
        <v>74</v>
      </c>
      <c r="D26" s="44">
        <v>14</v>
      </c>
      <c r="E26" s="44"/>
      <c r="F26" s="44">
        <v>14</v>
      </c>
      <c r="G26" s="18">
        <v>1</v>
      </c>
      <c r="H26" s="19">
        <f t="shared" ref="H26:H29" si="12">D26*G26</f>
        <v>14</v>
      </c>
      <c r="I26" s="153">
        <v>12.5</v>
      </c>
      <c r="J26" s="154">
        <v>12.5</v>
      </c>
      <c r="K26" s="46" t="s">
        <v>160</v>
      </c>
      <c r="L26" s="17" t="str">
        <f t="shared" ref="L26:L28" si="13">IF(D26&lt;10,"D",IF(D26&lt;12,"C",IF(D26&lt;14,"C+",IF(D26&lt;15,"B",IF(D26&lt;16,"B+",IF(D26&lt;18,"A",IF(D26&lt;20,"A+")))))))</f>
        <v>B</v>
      </c>
      <c r="M26" s="16"/>
      <c r="N26" s="16"/>
      <c r="O26" s="20">
        <f t="shared" ref="O26:O29" si="14">E26*G26</f>
        <v>0</v>
      </c>
      <c r="P26" s="20">
        <f t="shared" ref="P26:P29" si="15">F26*G26</f>
        <v>14</v>
      </c>
    </row>
    <row r="27" spans="2:16" ht="32.25" thickBot="1" x14ac:dyDescent="0.3">
      <c r="B27" s="84" t="s">
        <v>72</v>
      </c>
      <c r="C27" s="45" t="s">
        <v>85</v>
      </c>
      <c r="D27" s="44">
        <v>16</v>
      </c>
      <c r="E27" s="44"/>
      <c r="F27" s="44">
        <v>16</v>
      </c>
      <c r="G27" s="18">
        <v>2</v>
      </c>
      <c r="H27" s="19">
        <f>D27*G27</f>
        <v>32</v>
      </c>
      <c r="I27" s="153">
        <v>16</v>
      </c>
      <c r="J27" s="154">
        <v>16</v>
      </c>
      <c r="K27" s="46" t="s">
        <v>144</v>
      </c>
      <c r="L27" s="17" t="str">
        <f t="shared" si="13"/>
        <v>A</v>
      </c>
      <c r="M27" s="16"/>
      <c r="N27" s="16"/>
      <c r="O27" s="20">
        <f t="shared" si="14"/>
        <v>0</v>
      </c>
      <c r="P27" s="20">
        <f t="shared" si="15"/>
        <v>32</v>
      </c>
    </row>
    <row r="28" spans="2:16" ht="39.75" customHeight="1" thickBot="1" x14ac:dyDescent="0.3">
      <c r="B28" s="84" t="s">
        <v>132</v>
      </c>
      <c r="C28" s="45" t="s">
        <v>86</v>
      </c>
      <c r="D28" s="44">
        <v>17</v>
      </c>
      <c r="E28" s="44"/>
      <c r="F28" s="44">
        <v>17</v>
      </c>
      <c r="G28" s="18">
        <v>1</v>
      </c>
      <c r="H28" s="19">
        <f t="shared" si="12"/>
        <v>17</v>
      </c>
      <c r="I28" s="153">
        <v>13.375</v>
      </c>
      <c r="J28" s="154">
        <v>13.375</v>
      </c>
      <c r="K28" s="46" t="s">
        <v>160</v>
      </c>
      <c r="L28" s="17" t="str">
        <f t="shared" si="13"/>
        <v>A</v>
      </c>
      <c r="M28" s="16"/>
      <c r="N28" s="16"/>
      <c r="O28" s="20">
        <f t="shared" si="14"/>
        <v>0</v>
      </c>
      <c r="P28" s="20">
        <f t="shared" si="15"/>
        <v>17</v>
      </c>
    </row>
    <row r="29" spans="2:16" ht="39" thickBot="1" x14ac:dyDescent="0.3">
      <c r="B29" s="84" t="s">
        <v>133</v>
      </c>
      <c r="C29" s="45" t="s">
        <v>87</v>
      </c>
      <c r="D29" s="17">
        <v>17</v>
      </c>
      <c r="E29" s="17"/>
      <c r="F29" s="17">
        <v>17</v>
      </c>
      <c r="G29" s="18">
        <v>1</v>
      </c>
      <c r="H29" s="19">
        <f t="shared" si="12"/>
        <v>17</v>
      </c>
      <c r="I29" s="153">
        <v>17</v>
      </c>
      <c r="J29" s="154"/>
      <c r="K29" s="46" t="s">
        <v>144</v>
      </c>
      <c r="L29" s="17" t="str">
        <f>IF(D29&lt;10,"D",IF(D29&lt;12,"C",IF(D29&lt;14,"C+",IF(D29&lt;15,"B",IF(D29&lt;16,"B+",IF(D29&lt;18,"A",IF(D29&lt;20,"A+")))))))</f>
        <v>A</v>
      </c>
      <c r="M29" s="16"/>
      <c r="N29" s="16"/>
      <c r="O29" s="20">
        <f t="shared" si="14"/>
        <v>0</v>
      </c>
      <c r="P29" s="20">
        <f t="shared" si="15"/>
        <v>17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0</v>
      </c>
      <c r="P30" s="16">
        <f>SUM(P5:P29)</f>
        <v>381</v>
      </c>
    </row>
    <row r="31" spans="2:16" ht="16.5" thickBot="1" x14ac:dyDescent="0.3">
      <c r="B31" s="25" t="s">
        <v>32</v>
      </c>
      <c r="C31" s="40"/>
      <c r="D31" s="158">
        <f>(SUM(H26:H29)/SUM(G26:G29))</f>
        <v>16</v>
      </c>
      <c r="E31" s="158"/>
      <c r="F31" s="158"/>
      <c r="G31" s="182" t="s">
        <v>30</v>
      </c>
      <c r="H31" s="182"/>
      <c r="I31" s="81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0</v>
      </c>
      <c r="P32" s="16">
        <f>P30/P31</f>
        <v>13.137931034482758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/>
      <c r="E35" s="73">
        <f>P32</f>
        <v>13.137931034482758</v>
      </c>
      <c r="F35" s="74" t="s">
        <v>156</v>
      </c>
      <c r="G35" s="75">
        <f>(H5+H6+H7+H8+H9+H13+H14+H15+H16+H20+H21+H22+H26+H27+H28+H29)/29</f>
        <v>13.137931034482758</v>
      </c>
      <c r="H35" s="72" t="s">
        <v>40</v>
      </c>
      <c r="I35" s="151" t="s">
        <v>41</v>
      </c>
      <c r="J35" s="152"/>
      <c r="K35" s="30" t="s">
        <v>107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I13:J13"/>
    <mergeCell ref="I4:J4"/>
    <mergeCell ref="I5:J5"/>
    <mergeCell ref="I6:J6"/>
    <mergeCell ref="I7:J7"/>
    <mergeCell ref="I8:J8"/>
    <mergeCell ref="I9:J9"/>
    <mergeCell ref="B10:L10"/>
    <mergeCell ref="D11:F11"/>
    <mergeCell ref="G11:H11"/>
    <mergeCell ref="J11:L11"/>
    <mergeCell ref="B12:L12"/>
    <mergeCell ref="D24:F24"/>
    <mergeCell ref="G24:H24"/>
    <mergeCell ref="J24:L24"/>
    <mergeCell ref="I14:J14"/>
    <mergeCell ref="I15:J15"/>
    <mergeCell ref="I16:J16"/>
    <mergeCell ref="B17:L17"/>
    <mergeCell ref="D18:F18"/>
    <mergeCell ref="G18:H18"/>
    <mergeCell ref="J18:L18"/>
    <mergeCell ref="B19:L19"/>
    <mergeCell ref="I20:J20"/>
    <mergeCell ref="I21:J21"/>
    <mergeCell ref="I22:J22"/>
    <mergeCell ref="B23:L23"/>
    <mergeCell ref="I35:J35"/>
    <mergeCell ref="B25:L25"/>
    <mergeCell ref="I26:J26"/>
    <mergeCell ref="I27:J27"/>
    <mergeCell ref="I28:J28"/>
    <mergeCell ref="I29:J29"/>
    <mergeCell ref="D31:F31"/>
    <mergeCell ref="G31:H31"/>
    <mergeCell ref="J31:L31"/>
    <mergeCell ref="B32:L32"/>
    <mergeCell ref="B33:C33"/>
    <mergeCell ref="G33:H33"/>
    <mergeCell ref="J33:K33"/>
    <mergeCell ref="I34:L34"/>
    <mergeCell ref="B36:H36"/>
    <mergeCell ref="I36:L36"/>
    <mergeCell ref="B37:L37"/>
    <mergeCell ref="B38:L38"/>
    <mergeCell ref="D39:F39"/>
    <mergeCell ref="G39:L40"/>
    <mergeCell ref="C40:C42"/>
    <mergeCell ref="D40:F42"/>
    <mergeCell ref="G41:J41"/>
    <mergeCell ref="K41:L41"/>
    <mergeCell ref="G42:J42"/>
    <mergeCell ref="K42:L42"/>
    <mergeCell ref="C43:C44"/>
    <mergeCell ref="D43:F44"/>
    <mergeCell ref="G43:J43"/>
    <mergeCell ref="K43:L43"/>
    <mergeCell ref="G44:J44"/>
    <mergeCell ref="K44:L44"/>
    <mergeCell ref="C45:C48"/>
    <mergeCell ref="D45:F48"/>
    <mergeCell ref="G45:J48"/>
    <mergeCell ref="K45:L45"/>
    <mergeCell ref="B46:B48"/>
    <mergeCell ref="K46:L4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topLeftCell="A31" zoomScale="90" zoomScaleNormal="90" workbookViewId="0">
      <selection activeCell="B4" sqref="B4:L48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2" t="s">
        <v>24</v>
      </c>
      <c r="C4" s="41" t="s">
        <v>69</v>
      </c>
      <c r="D4" s="83" t="s">
        <v>153</v>
      </c>
      <c r="E4" s="83" t="s">
        <v>154</v>
      </c>
      <c r="F4" s="83" t="s">
        <v>155</v>
      </c>
      <c r="G4" s="83" t="s">
        <v>25</v>
      </c>
      <c r="H4" s="82" t="s">
        <v>26</v>
      </c>
      <c r="I4" s="167" t="s">
        <v>27</v>
      </c>
      <c r="J4" s="168"/>
      <c r="K4" s="83" t="s">
        <v>21</v>
      </c>
      <c r="L4" s="83" t="s">
        <v>28</v>
      </c>
      <c r="M4" s="16"/>
      <c r="N4" s="16"/>
      <c r="O4" s="16"/>
      <c r="P4" s="16"/>
    </row>
    <row r="5" spans="2:16" ht="43.5" customHeight="1" thickBot="1" x14ac:dyDescent="0.3">
      <c r="B5" s="84" t="s">
        <v>70</v>
      </c>
      <c r="C5" s="43" t="s">
        <v>75</v>
      </c>
      <c r="D5" s="17">
        <f>(E5+F5)/2</f>
        <v>14.5</v>
      </c>
      <c r="E5" s="44">
        <v>16</v>
      </c>
      <c r="F5" s="44">
        <v>13</v>
      </c>
      <c r="G5" s="18">
        <v>3</v>
      </c>
      <c r="H5" s="19">
        <f>D5*G5</f>
        <v>43.5</v>
      </c>
      <c r="I5" s="153">
        <v>14</v>
      </c>
      <c r="J5" s="154">
        <v>14</v>
      </c>
      <c r="K5" s="46" t="s">
        <v>144</v>
      </c>
      <c r="L5" s="17" t="str">
        <f>IF(D5&lt;10,"D",IF(D5&lt;12,"C",IF(D5&lt;14,"C+",IF(D5&lt;15,"B",IF(D5&lt;16,"B+",IF(D5&lt;18,"A",IF(D5&lt;20,"A+")))))))</f>
        <v>B</v>
      </c>
      <c r="M5" s="16"/>
      <c r="N5" s="16"/>
      <c r="O5" s="20">
        <f>E5*G5</f>
        <v>48</v>
      </c>
      <c r="P5" s="20">
        <f>F5*G5</f>
        <v>39</v>
      </c>
    </row>
    <row r="6" spans="2:16" ht="32.25" thickBot="1" x14ac:dyDescent="0.3">
      <c r="B6" s="84" t="s">
        <v>121</v>
      </c>
      <c r="C6" s="43" t="s">
        <v>76</v>
      </c>
      <c r="D6" s="17">
        <f t="shared" ref="D6:D9" si="0">(E6+F6)/2</f>
        <v>6</v>
      </c>
      <c r="E6" s="44">
        <v>8</v>
      </c>
      <c r="F6" s="44">
        <v>4</v>
      </c>
      <c r="G6" s="18">
        <v>1</v>
      </c>
      <c r="H6" s="19">
        <f t="shared" ref="H6:H9" si="1">D6*G6</f>
        <v>6</v>
      </c>
      <c r="I6" s="153">
        <v>7.75</v>
      </c>
      <c r="J6" s="154">
        <v>7.75</v>
      </c>
      <c r="K6" s="46" t="s">
        <v>135</v>
      </c>
      <c r="L6" s="17" t="str">
        <f t="shared" ref="L6:L9" si="2">IF(D6&lt;10,"D",IF(D6&lt;12,"C",IF(D6&lt;14,"C+",IF(D6&lt;15,"B",IF(D6&lt;16,"B+",IF(D6&lt;18,"A",IF(D6&lt;20,"A+")))))))</f>
        <v>D</v>
      </c>
      <c r="M6" s="16"/>
      <c r="N6" s="16"/>
      <c r="O6" s="20">
        <f t="shared" ref="O6:O9" si="3">E6*G6</f>
        <v>8</v>
      </c>
      <c r="P6" s="20">
        <f t="shared" ref="P6:P9" si="4">F6*G6</f>
        <v>4</v>
      </c>
    </row>
    <row r="7" spans="2:16" ht="32.25" thickBot="1" x14ac:dyDescent="0.3">
      <c r="B7" s="84" t="s">
        <v>122</v>
      </c>
      <c r="C7" s="43" t="s">
        <v>77</v>
      </c>
      <c r="D7" s="17">
        <f t="shared" si="0"/>
        <v>12</v>
      </c>
      <c r="E7" s="44">
        <v>12</v>
      </c>
      <c r="F7" s="44">
        <v>12</v>
      </c>
      <c r="G7" s="18">
        <v>2</v>
      </c>
      <c r="H7" s="19">
        <f t="shared" si="1"/>
        <v>24</v>
      </c>
      <c r="I7" s="153">
        <v>11.375</v>
      </c>
      <c r="J7" s="154">
        <v>11.375</v>
      </c>
      <c r="K7" s="46" t="s">
        <v>141</v>
      </c>
      <c r="L7" s="17" t="str">
        <f t="shared" si="2"/>
        <v>C+</v>
      </c>
      <c r="M7" s="16"/>
      <c r="N7" s="16"/>
      <c r="O7" s="20">
        <f t="shared" si="3"/>
        <v>24</v>
      </c>
      <c r="P7" s="20">
        <f t="shared" si="4"/>
        <v>24</v>
      </c>
    </row>
    <row r="8" spans="2:16" ht="39" thickBot="1" x14ac:dyDescent="0.3">
      <c r="B8" s="84" t="s">
        <v>123</v>
      </c>
      <c r="C8" s="43" t="s">
        <v>78</v>
      </c>
      <c r="D8" s="17">
        <f t="shared" si="0"/>
        <v>13</v>
      </c>
      <c r="E8" s="44">
        <v>14</v>
      </c>
      <c r="F8" s="44">
        <v>12</v>
      </c>
      <c r="G8" s="18">
        <v>2</v>
      </c>
      <c r="H8" s="19">
        <f t="shared" si="1"/>
        <v>26</v>
      </c>
      <c r="I8" s="153">
        <v>12.5</v>
      </c>
      <c r="J8" s="154">
        <v>12.5</v>
      </c>
      <c r="K8" s="46" t="s">
        <v>141</v>
      </c>
      <c r="L8" s="17" t="str">
        <f t="shared" si="2"/>
        <v>C+</v>
      </c>
      <c r="M8" s="16"/>
      <c r="N8" s="16"/>
      <c r="O8" s="20">
        <f t="shared" si="3"/>
        <v>28</v>
      </c>
      <c r="P8" s="20">
        <f t="shared" si="4"/>
        <v>24</v>
      </c>
    </row>
    <row r="9" spans="2:16" ht="39" thickBot="1" x14ac:dyDescent="0.3">
      <c r="B9" s="84" t="s">
        <v>124</v>
      </c>
      <c r="C9" s="43" t="s">
        <v>78</v>
      </c>
      <c r="D9" s="17">
        <f t="shared" si="0"/>
        <v>15.5</v>
      </c>
      <c r="E9" s="44">
        <v>15</v>
      </c>
      <c r="F9" s="44">
        <v>16</v>
      </c>
      <c r="G9" s="18">
        <v>1</v>
      </c>
      <c r="H9" s="19">
        <f t="shared" si="1"/>
        <v>15.5</v>
      </c>
      <c r="I9" s="153">
        <v>16</v>
      </c>
      <c r="J9" s="154">
        <v>16</v>
      </c>
      <c r="K9" s="46" t="s">
        <v>141</v>
      </c>
      <c r="L9" s="17" t="str">
        <f t="shared" si="2"/>
        <v>B+</v>
      </c>
      <c r="M9" s="16"/>
      <c r="N9" s="16"/>
      <c r="O9" s="20">
        <f t="shared" si="3"/>
        <v>15</v>
      </c>
      <c r="P9" s="20">
        <f t="shared" si="4"/>
        <v>16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12.777777777777779</v>
      </c>
      <c r="E11" s="158"/>
      <c r="F11" s="158"/>
      <c r="G11" s="159" t="s">
        <v>30</v>
      </c>
      <c r="H11" s="159"/>
      <c r="I11" s="85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84" t="s">
        <v>125</v>
      </c>
      <c r="C13" s="43" t="s">
        <v>79</v>
      </c>
      <c r="D13" s="17">
        <f t="shared" ref="D13:D16" si="5">(E13+F13)/2</f>
        <v>15</v>
      </c>
      <c r="E13" s="44">
        <v>13</v>
      </c>
      <c r="F13" s="44">
        <v>17</v>
      </c>
      <c r="G13" s="18">
        <v>2</v>
      </c>
      <c r="H13" s="19">
        <f t="shared" ref="H13:H16" si="6">D13*G13</f>
        <v>30</v>
      </c>
      <c r="I13" s="153">
        <v>16.75</v>
      </c>
      <c r="J13" s="154">
        <v>16.75</v>
      </c>
      <c r="K13" s="46" t="s">
        <v>138</v>
      </c>
      <c r="L13" s="17" t="str">
        <f t="shared" ref="L13:L16" si="7">IF(D13&lt;10,"D",IF(D13&lt;12,"C",IF(D13&lt;14,"C+",IF(D13&lt;15,"B",IF(D13&lt;16,"B+",IF(D13&lt;18,"A",IF(D13&lt;20,"A+")))))))</f>
        <v>B+</v>
      </c>
      <c r="M13" s="16"/>
      <c r="N13" s="16"/>
      <c r="O13" s="20">
        <f t="shared" ref="O13:O16" si="8">E13*G13</f>
        <v>26</v>
      </c>
      <c r="P13" s="20">
        <f t="shared" ref="P13:P16" si="9">F13*G13</f>
        <v>34</v>
      </c>
    </row>
    <row r="14" spans="2:16" ht="48" thickBot="1" x14ac:dyDescent="0.3">
      <c r="B14" s="84" t="s">
        <v>126</v>
      </c>
      <c r="C14" s="45" t="s">
        <v>80</v>
      </c>
      <c r="D14" s="17">
        <f t="shared" si="5"/>
        <v>12.75</v>
      </c>
      <c r="E14" s="44">
        <v>13.5</v>
      </c>
      <c r="F14" s="44">
        <v>12</v>
      </c>
      <c r="G14" s="18">
        <v>2</v>
      </c>
      <c r="H14" s="19">
        <f t="shared" si="6"/>
        <v>25.5</v>
      </c>
      <c r="I14" s="153">
        <v>11.75</v>
      </c>
      <c r="J14" s="154">
        <v>11.75</v>
      </c>
      <c r="K14" s="46" t="s">
        <v>141</v>
      </c>
      <c r="L14" s="17" t="str">
        <f t="shared" si="7"/>
        <v>C+</v>
      </c>
      <c r="M14" s="16"/>
      <c r="N14" s="16"/>
      <c r="O14" s="20">
        <f t="shared" si="8"/>
        <v>27</v>
      </c>
      <c r="P14" s="20">
        <f t="shared" si="9"/>
        <v>24</v>
      </c>
    </row>
    <row r="15" spans="2:16" ht="37.5" customHeight="1" thickBot="1" x14ac:dyDescent="0.3">
      <c r="B15" s="84" t="s">
        <v>127</v>
      </c>
      <c r="C15" s="45" t="s">
        <v>81</v>
      </c>
      <c r="D15" s="17">
        <f t="shared" si="5"/>
        <v>13.5</v>
      </c>
      <c r="E15" s="44">
        <v>12</v>
      </c>
      <c r="F15" s="44">
        <v>15</v>
      </c>
      <c r="G15" s="18">
        <v>2</v>
      </c>
      <c r="H15" s="19">
        <f t="shared" si="6"/>
        <v>27</v>
      </c>
      <c r="I15" s="153">
        <v>11.75</v>
      </c>
      <c r="J15" s="154">
        <v>11.75</v>
      </c>
      <c r="K15" s="46" t="s">
        <v>144</v>
      </c>
      <c r="L15" s="17" t="str">
        <f t="shared" si="7"/>
        <v>C+</v>
      </c>
      <c r="M15" s="16"/>
      <c r="N15" s="16"/>
      <c r="O15" s="20">
        <f t="shared" si="8"/>
        <v>24</v>
      </c>
      <c r="P15" s="20">
        <f t="shared" si="9"/>
        <v>30</v>
      </c>
    </row>
    <row r="16" spans="2:16" ht="32.25" thickBot="1" x14ac:dyDescent="0.3">
      <c r="B16" s="84" t="s">
        <v>128</v>
      </c>
      <c r="C16" s="42" t="s">
        <v>73</v>
      </c>
      <c r="D16" s="17">
        <f t="shared" si="5"/>
        <v>11.5</v>
      </c>
      <c r="E16" s="17">
        <v>14</v>
      </c>
      <c r="F16" s="17">
        <v>9</v>
      </c>
      <c r="G16" s="18">
        <v>1</v>
      </c>
      <c r="H16" s="19">
        <f t="shared" si="6"/>
        <v>11.5</v>
      </c>
      <c r="I16" s="153">
        <v>7.75</v>
      </c>
      <c r="J16" s="154"/>
      <c r="K16" s="46" t="s">
        <v>160</v>
      </c>
      <c r="L16" s="17" t="str">
        <f t="shared" si="7"/>
        <v>C</v>
      </c>
      <c r="M16" s="16"/>
      <c r="N16" s="16"/>
      <c r="O16" s="20">
        <f t="shared" si="8"/>
        <v>14</v>
      </c>
      <c r="P16" s="20">
        <f t="shared" si="9"/>
        <v>9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13.428571428571429</v>
      </c>
      <c r="E18" s="158"/>
      <c r="F18" s="158"/>
      <c r="G18" s="159" t="s">
        <v>30</v>
      </c>
      <c r="H18" s="159"/>
      <c r="I18" s="85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84" t="s">
        <v>71</v>
      </c>
      <c r="C20" s="45" t="s">
        <v>82</v>
      </c>
      <c r="D20" s="17">
        <f t="shared" ref="D20:D22" si="10">(E20+F20)/2</f>
        <v>14</v>
      </c>
      <c r="E20" s="44">
        <v>12</v>
      </c>
      <c r="F20" s="44">
        <v>16</v>
      </c>
      <c r="G20" s="18">
        <v>2</v>
      </c>
      <c r="H20" s="19">
        <f t="shared" ref="H20:H22" si="11">D20*G20</f>
        <v>28</v>
      </c>
      <c r="I20" s="153">
        <v>14.75</v>
      </c>
      <c r="J20" s="154">
        <v>14.75</v>
      </c>
      <c r="K20" s="46" t="s">
        <v>144</v>
      </c>
      <c r="L20" s="17" t="str">
        <f t="shared" ref="L20:L22" si="12">IF(D20&lt;10,"D",IF(D20&lt;12,"C",IF(D20&lt;14,"C+",IF(D20&lt;15,"B",IF(D20&lt;16,"B+",IF(D20&lt;18,"A",IF(D20&lt;20,"A+")))))))</f>
        <v>B</v>
      </c>
      <c r="M20" s="16"/>
      <c r="N20" s="16"/>
      <c r="O20" s="20">
        <f t="shared" ref="O20:O22" si="13">E20*G20</f>
        <v>24</v>
      </c>
      <c r="P20" s="20">
        <f t="shared" ref="P20:P22" si="14">F20*G20</f>
        <v>32</v>
      </c>
    </row>
    <row r="21" spans="2:16" ht="64.5" thickBot="1" x14ac:dyDescent="0.3">
      <c r="B21" s="84" t="s">
        <v>129</v>
      </c>
      <c r="C21" s="45" t="s">
        <v>83</v>
      </c>
      <c r="D21" s="17">
        <f t="shared" si="10"/>
        <v>12</v>
      </c>
      <c r="E21" s="44">
        <v>15</v>
      </c>
      <c r="F21" s="44">
        <v>9</v>
      </c>
      <c r="G21" s="18">
        <v>4</v>
      </c>
      <c r="H21" s="19">
        <f t="shared" si="11"/>
        <v>48</v>
      </c>
      <c r="I21" s="153">
        <v>5.5</v>
      </c>
      <c r="J21" s="154">
        <v>5.5</v>
      </c>
      <c r="K21" s="46" t="s">
        <v>160</v>
      </c>
      <c r="L21" s="17" t="str">
        <f t="shared" si="12"/>
        <v>C+</v>
      </c>
      <c r="M21" s="16"/>
      <c r="N21" s="16"/>
      <c r="O21" s="20">
        <f t="shared" si="13"/>
        <v>60</v>
      </c>
      <c r="P21" s="20">
        <f t="shared" si="14"/>
        <v>36</v>
      </c>
    </row>
    <row r="22" spans="2:16" ht="64.5" thickBot="1" x14ac:dyDescent="0.3">
      <c r="B22" s="84" t="s">
        <v>130</v>
      </c>
      <c r="C22" s="45" t="s">
        <v>84</v>
      </c>
      <c r="D22" s="17">
        <f t="shared" si="10"/>
        <v>11.75</v>
      </c>
      <c r="E22" s="44">
        <v>12</v>
      </c>
      <c r="F22" s="44">
        <v>11.5</v>
      </c>
      <c r="G22" s="18">
        <v>2</v>
      </c>
      <c r="H22" s="19">
        <f t="shared" si="11"/>
        <v>23.5</v>
      </c>
      <c r="I22" s="153">
        <v>14.375</v>
      </c>
      <c r="J22" s="154">
        <v>14.375</v>
      </c>
      <c r="K22" s="46" t="s">
        <v>135</v>
      </c>
      <c r="L22" s="17" t="str">
        <f t="shared" si="12"/>
        <v>C</v>
      </c>
      <c r="M22" s="16"/>
      <c r="N22" s="16"/>
      <c r="O22" s="20">
        <f t="shared" si="13"/>
        <v>24</v>
      </c>
      <c r="P22" s="20">
        <f t="shared" si="14"/>
        <v>23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12.4375</v>
      </c>
      <c r="E24" s="158"/>
      <c r="F24" s="158"/>
      <c r="G24" s="159" t="s">
        <v>30</v>
      </c>
      <c r="H24" s="159"/>
      <c r="I24" s="85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84" t="s">
        <v>131</v>
      </c>
      <c r="C26" s="43" t="s">
        <v>74</v>
      </c>
      <c r="D26" s="17">
        <f t="shared" ref="D26:D29" si="15">(E26+F26)/2</f>
        <v>14</v>
      </c>
      <c r="E26" s="44">
        <v>14</v>
      </c>
      <c r="F26" s="44">
        <v>14</v>
      </c>
      <c r="G26" s="18">
        <v>1</v>
      </c>
      <c r="H26" s="19">
        <f t="shared" ref="H26:H29" si="16">D26*G26</f>
        <v>14</v>
      </c>
      <c r="I26" s="153">
        <v>12.5</v>
      </c>
      <c r="J26" s="154">
        <v>12.5</v>
      </c>
      <c r="K26" s="46" t="s">
        <v>160</v>
      </c>
      <c r="L26" s="17" t="str">
        <f t="shared" ref="L26:L28" si="17">IF(D26&lt;10,"D",IF(D26&lt;12,"C",IF(D26&lt;14,"C+",IF(D26&lt;15,"B",IF(D26&lt;16,"B+",IF(D26&lt;18,"A",IF(D26&lt;20,"A+")))))))</f>
        <v>B</v>
      </c>
      <c r="M26" s="16"/>
      <c r="N26" s="16"/>
      <c r="O26" s="20">
        <f t="shared" ref="O26:O29" si="18">E26*G26</f>
        <v>14</v>
      </c>
      <c r="P26" s="20">
        <f t="shared" ref="P26:P29" si="19">F26*G26</f>
        <v>14</v>
      </c>
    </row>
    <row r="27" spans="2:16" ht="32.25" thickBot="1" x14ac:dyDescent="0.3">
      <c r="B27" s="84" t="s">
        <v>72</v>
      </c>
      <c r="C27" s="45" t="s">
        <v>85</v>
      </c>
      <c r="D27" s="17">
        <f t="shared" si="15"/>
        <v>16.5</v>
      </c>
      <c r="E27" s="44">
        <v>16.5</v>
      </c>
      <c r="F27" s="44">
        <v>16.5</v>
      </c>
      <c r="G27" s="18">
        <v>2</v>
      </c>
      <c r="H27" s="19">
        <f>D27*G27</f>
        <v>33</v>
      </c>
      <c r="I27" s="153">
        <v>16</v>
      </c>
      <c r="J27" s="154">
        <v>16</v>
      </c>
      <c r="K27" s="46" t="s">
        <v>160</v>
      </c>
      <c r="L27" s="17" t="str">
        <f t="shared" si="17"/>
        <v>A</v>
      </c>
      <c r="M27" s="16"/>
      <c r="N27" s="16"/>
      <c r="O27" s="20">
        <f t="shared" si="18"/>
        <v>33</v>
      </c>
      <c r="P27" s="20">
        <f t="shared" si="19"/>
        <v>33</v>
      </c>
    </row>
    <row r="28" spans="2:16" ht="39.75" customHeight="1" thickBot="1" x14ac:dyDescent="0.3">
      <c r="B28" s="84" t="s">
        <v>132</v>
      </c>
      <c r="C28" s="45" t="s">
        <v>86</v>
      </c>
      <c r="D28" s="17">
        <f t="shared" si="15"/>
        <v>11.25</v>
      </c>
      <c r="E28" s="44">
        <v>10</v>
      </c>
      <c r="F28" s="44">
        <v>12.5</v>
      </c>
      <c r="G28" s="18">
        <v>1</v>
      </c>
      <c r="H28" s="19">
        <f t="shared" si="16"/>
        <v>11.25</v>
      </c>
      <c r="I28" s="153">
        <v>13.375</v>
      </c>
      <c r="J28" s="154">
        <v>13.375</v>
      </c>
      <c r="K28" s="46" t="s">
        <v>140</v>
      </c>
      <c r="L28" s="17" t="str">
        <f t="shared" si="17"/>
        <v>C</v>
      </c>
      <c r="M28" s="16"/>
      <c r="N28" s="16"/>
      <c r="O28" s="20">
        <f t="shared" si="18"/>
        <v>10</v>
      </c>
      <c r="P28" s="20">
        <f t="shared" si="19"/>
        <v>12.5</v>
      </c>
    </row>
    <row r="29" spans="2:16" ht="39" thickBot="1" x14ac:dyDescent="0.3">
      <c r="B29" s="84" t="s">
        <v>133</v>
      </c>
      <c r="C29" s="45" t="s">
        <v>87</v>
      </c>
      <c r="D29" s="17">
        <f t="shared" si="15"/>
        <v>16.5</v>
      </c>
      <c r="E29" s="17">
        <v>16</v>
      </c>
      <c r="F29" s="17">
        <v>17</v>
      </c>
      <c r="G29" s="18">
        <v>1</v>
      </c>
      <c r="H29" s="19">
        <f t="shared" si="16"/>
        <v>16.5</v>
      </c>
      <c r="I29" s="153">
        <v>17</v>
      </c>
      <c r="J29" s="154"/>
      <c r="K29" s="46" t="s">
        <v>160</v>
      </c>
      <c r="L29" s="17" t="str">
        <f>IF(D29&lt;10,"D",IF(D29&lt;12,"C",IF(D29&lt;14,"C+",IF(D29&lt;15,"B",IF(D29&lt;16,"B+",IF(D29&lt;18,"A",IF(D29&lt;20,"A+")))))))</f>
        <v>A</v>
      </c>
      <c r="M29" s="16"/>
      <c r="N29" s="16"/>
      <c r="O29" s="20">
        <f t="shared" si="18"/>
        <v>16</v>
      </c>
      <c r="P29" s="20">
        <f t="shared" si="19"/>
        <v>17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395</v>
      </c>
      <c r="P30" s="16">
        <f>SUM(P5:P29)</f>
        <v>371.5</v>
      </c>
    </row>
    <row r="31" spans="2:16" ht="16.5" thickBot="1" x14ac:dyDescent="0.3">
      <c r="B31" s="25" t="s">
        <v>32</v>
      </c>
      <c r="C31" s="40"/>
      <c r="D31" s="158">
        <f>(SUM(H26:H29)/SUM(G26:G29))</f>
        <v>14.95</v>
      </c>
      <c r="E31" s="158"/>
      <c r="F31" s="158"/>
      <c r="G31" s="182" t="s">
        <v>30</v>
      </c>
      <c r="H31" s="182"/>
      <c r="I31" s="81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13.620689655172415</v>
      </c>
      <c r="P32" s="16">
        <f>P30/P31</f>
        <v>12.810344827586206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>
        <f>O32</f>
        <v>13.620689655172415</v>
      </c>
      <c r="E35" s="73">
        <f>P32</f>
        <v>12.810344827586206</v>
      </c>
      <c r="F35" s="74" t="s">
        <v>156</v>
      </c>
      <c r="G35" s="75">
        <f>(H5+H6+H7+H8+H9+H13+H14+H15+H16+H20+H21+H22+H26+H27+H28+H29)/29</f>
        <v>13.21551724137931</v>
      </c>
      <c r="H35" s="72" t="s">
        <v>40</v>
      </c>
      <c r="I35" s="151" t="s">
        <v>41</v>
      </c>
      <c r="J35" s="152"/>
      <c r="K35" s="30" t="s">
        <v>134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I13:J13"/>
    <mergeCell ref="I4:J4"/>
    <mergeCell ref="I5:J5"/>
    <mergeCell ref="I6:J6"/>
    <mergeCell ref="I7:J7"/>
    <mergeCell ref="I8:J8"/>
    <mergeCell ref="I9:J9"/>
    <mergeCell ref="B10:L10"/>
    <mergeCell ref="D11:F11"/>
    <mergeCell ref="G11:H11"/>
    <mergeCell ref="J11:L11"/>
    <mergeCell ref="B12:L12"/>
    <mergeCell ref="D24:F24"/>
    <mergeCell ref="G24:H24"/>
    <mergeCell ref="J24:L24"/>
    <mergeCell ref="I14:J14"/>
    <mergeCell ref="I15:J15"/>
    <mergeCell ref="I16:J16"/>
    <mergeCell ref="B17:L17"/>
    <mergeCell ref="D18:F18"/>
    <mergeCell ref="G18:H18"/>
    <mergeCell ref="J18:L18"/>
    <mergeCell ref="B19:L19"/>
    <mergeCell ref="I20:J20"/>
    <mergeCell ref="I21:J21"/>
    <mergeCell ref="I22:J22"/>
    <mergeCell ref="B23:L23"/>
    <mergeCell ref="I35:J35"/>
    <mergeCell ref="B25:L25"/>
    <mergeCell ref="I26:J26"/>
    <mergeCell ref="I27:J27"/>
    <mergeCell ref="I28:J28"/>
    <mergeCell ref="I29:J29"/>
    <mergeCell ref="D31:F31"/>
    <mergeCell ref="G31:H31"/>
    <mergeCell ref="J31:L31"/>
    <mergeCell ref="B32:L32"/>
    <mergeCell ref="B33:C33"/>
    <mergeCell ref="G33:H33"/>
    <mergeCell ref="J33:K33"/>
    <mergeCell ref="I34:L34"/>
    <mergeCell ref="B36:H36"/>
    <mergeCell ref="I36:L36"/>
    <mergeCell ref="B37:L37"/>
    <mergeCell ref="B38:L38"/>
    <mergeCell ref="D39:F39"/>
    <mergeCell ref="G39:L40"/>
    <mergeCell ref="C40:C42"/>
    <mergeCell ref="D40:F42"/>
    <mergeCell ref="G41:J41"/>
    <mergeCell ref="K41:L41"/>
    <mergeCell ref="G42:J42"/>
    <mergeCell ref="K42:L42"/>
    <mergeCell ref="C43:C44"/>
    <mergeCell ref="D43:F44"/>
    <mergeCell ref="G43:J43"/>
    <mergeCell ref="K43:L43"/>
    <mergeCell ref="G44:J44"/>
    <mergeCell ref="K44:L44"/>
    <mergeCell ref="C45:C48"/>
    <mergeCell ref="D45:F48"/>
    <mergeCell ref="G45:J48"/>
    <mergeCell ref="K45:L45"/>
    <mergeCell ref="B46:B48"/>
    <mergeCell ref="K46:L4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topLeftCell="A36" zoomScale="90" zoomScaleNormal="90" workbookViewId="0">
      <selection activeCell="B4" sqref="B4:L48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2" t="s">
        <v>24</v>
      </c>
      <c r="C4" s="41" t="s">
        <v>69</v>
      </c>
      <c r="D4" s="83" t="s">
        <v>153</v>
      </c>
      <c r="E4" s="83" t="s">
        <v>154</v>
      </c>
      <c r="F4" s="83" t="s">
        <v>155</v>
      </c>
      <c r="G4" s="83" t="s">
        <v>25</v>
      </c>
      <c r="H4" s="82" t="s">
        <v>26</v>
      </c>
      <c r="I4" s="167" t="s">
        <v>27</v>
      </c>
      <c r="J4" s="168"/>
      <c r="K4" s="83" t="s">
        <v>21</v>
      </c>
      <c r="L4" s="83" t="s">
        <v>28</v>
      </c>
      <c r="M4" s="16"/>
      <c r="N4" s="16"/>
      <c r="O4" s="16"/>
      <c r="P4" s="16"/>
    </row>
    <row r="5" spans="2:16" ht="43.5" customHeight="1" thickBot="1" x14ac:dyDescent="0.3">
      <c r="B5" s="84" t="s">
        <v>70</v>
      </c>
      <c r="C5" s="43" t="s">
        <v>75</v>
      </c>
      <c r="D5" s="17">
        <f>(E5+F5)/2</f>
        <v>13.75</v>
      </c>
      <c r="E5" s="44">
        <v>14.5</v>
      </c>
      <c r="F5" s="44">
        <v>13</v>
      </c>
      <c r="G5" s="18">
        <v>3</v>
      </c>
      <c r="H5" s="19">
        <f>D5*G5</f>
        <v>41.25</v>
      </c>
      <c r="I5" s="153">
        <v>14</v>
      </c>
      <c r="J5" s="154">
        <v>14</v>
      </c>
      <c r="K5" s="46" t="s">
        <v>141</v>
      </c>
      <c r="L5" s="17" t="str">
        <f>IF(D5&lt;10,"D",IF(D5&lt;12,"C",IF(D5&lt;14,"C+",IF(D5&lt;15,"B",IF(D5&lt;16,"B+",IF(D5&lt;18,"A",IF(D5&lt;20,"A+")))))))</f>
        <v>C+</v>
      </c>
      <c r="M5" s="16"/>
      <c r="N5" s="16"/>
      <c r="O5" s="20">
        <f>E5*G5</f>
        <v>43.5</v>
      </c>
      <c r="P5" s="20">
        <f>F5*G5</f>
        <v>39</v>
      </c>
    </row>
    <row r="6" spans="2:16" ht="32.25" thickBot="1" x14ac:dyDescent="0.3">
      <c r="B6" s="84" t="s">
        <v>121</v>
      </c>
      <c r="C6" s="43" t="s">
        <v>76</v>
      </c>
      <c r="D6" s="17">
        <f t="shared" ref="D6:D9" si="0">(E6+F6)/2</f>
        <v>10.5</v>
      </c>
      <c r="E6" s="44">
        <v>13</v>
      </c>
      <c r="F6" s="44">
        <v>8</v>
      </c>
      <c r="G6" s="18">
        <v>1</v>
      </c>
      <c r="H6" s="19">
        <f t="shared" ref="H6:H9" si="1">D6*G6</f>
        <v>10.5</v>
      </c>
      <c r="I6" s="153">
        <v>7.75</v>
      </c>
      <c r="J6" s="154">
        <v>7.75</v>
      </c>
      <c r="K6" s="46" t="s">
        <v>144</v>
      </c>
      <c r="L6" s="17" t="str">
        <f t="shared" ref="L6:L9" si="2">IF(D6&lt;10,"D",IF(D6&lt;12,"C",IF(D6&lt;14,"C+",IF(D6&lt;15,"B",IF(D6&lt;16,"B+",IF(D6&lt;18,"A",IF(D6&lt;20,"A+")))))))</f>
        <v>C</v>
      </c>
      <c r="M6" s="16"/>
      <c r="N6" s="16"/>
      <c r="O6" s="20">
        <f t="shared" ref="O6:O9" si="3">E6*G6</f>
        <v>13</v>
      </c>
      <c r="P6" s="20">
        <f t="shared" ref="P6:P9" si="4">F6*G6</f>
        <v>8</v>
      </c>
    </row>
    <row r="7" spans="2:16" ht="32.25" thickBot="1" x14ac:dyDescent="0.3">
      <c r="B7" s="84" t="s">
        <v>122</v>
      </c>
      <c r="C7" s="43" t="s">
        <v>77</v>
      </c>
      <c r="D7" s="17">
        <f t="shared" si="0"/>
        <v>10.75</v>
      </c>
      <c r="E7" s="44">
        <v>9.5</v>
      </c>
      <c r="F7" s="44">
        <v>12</v>
      </c>
      <c r="G7" s="18">
        <v>2</v>
      </c>
      <c r="H7" s="19">
        <f t="shared" si="1"/>
        <v>21.5</v>
      </c>
      <c r="I7" s="153">
        <v>11.375</v>
      </c>
      <c r="J7" s="154">
        <v>11.375</v>
      </c>
      <c r="K7" s="46" t="s">
        <v>143</v>
      </c>
      <c r="L7" s="17" t="str">
        <f t="shared" si="2"/>
        <v>C</v>
      </c>
      <c r="M7" s="16"/>
      <c r="N7" s="16"/>
      <c r="O7" s="20">
        <f t="shared" si="3"/>
        <v>19</v>
      </c>
      <c r="P7" s="20">
        <f t="shared" si="4"/>
        <v>24</v>
      </c>
    </row>
    <row r="8" spans="2:16" ht="39" thickBot="1" x14ac:dyDescent="0.3">
      <c r="B8" s="84" t="s">
        <v>123</v>
      </c>
      <c r="C8" s="43" t="s">
        <v>78</v>
      </c>
      <c r="D8" s="17">
        <f t="shared" si="0"/>
        <v>16</v>
      </c>
      <c r="E8" s="44">
        <v>18</v>
      </c>
      <c r="F8" s="44">
        <v>14</v>
      </c>
      <c r="G8" s="18">
        <v>2</v>
      </c>
      <c r="H8" s="19">
        <f t="shared" si="1"/>
        <v>32</v>
      </c>
      <c r="I8" s="153">
        <v>12.5</v>
      </c>
      <c r="J8" s="154">
        <v>12.5</v>
      </c>
      <c r="K8" s="46" t="s">
        <v>160</v>
      </c>
      <c r="L8" s="17" t="str">
        <f t="shared" si="2"/>
        <v>A</v>
      </c>
      <c r="M8" s="16"/>
      <c r="N8" s="16"/>
      <c r="O8" s="20">
        <f t="shared" si="3"/>
        <v>36</v>
      </c>
      <c r="P8" s="20">
        <f t="shared" si="4"/>
        <v>28</v>
      </c>
    </row>
    <row r="9" spans="2:16" ht="39" thickBot="1" x14ac:dyDescent="0.3">
      <c r="B9" s="84" t="s">
        <v>124</v>
      </c>
      <c r="C9" s="43" t="s">
        <v>78</v>
      </c>
      <c r="D9" s="17">
        <f t="shared" si="0"/>
        <v>15.5</v>
      </c>
      <c r="E9" s="44">
        <v>15</v>
      </c>
      <c r="F9" s="44">
        <v>16</v>
      </c>
      <c r="G9" s="18">
        <v>1</v>
      </c>
      <c r="H9" s="19">
        <f t="shared" si="1"/>
        <v>15.5</v>
      </c>
      <c r="I9" s="153">
        <v>16</v>
      </c>
      <c r="J9" s="154">
        <v>16</v>
      </c>
      <c r="K9" s="46" t="s">
        <v>141</v>
      </c>
      <c r="L9" s="17" t="str">
        <f t="shared" si="2"/>
        <v>B+</v>
      </c>
      <c r="M9" s="16"/>
      <c r="N9" s="16"/>
      <c r="O9" s="20">
        <f t="shared" si="3"/>
        <v>15</v>
      </c>
      <c r="P9" s="20">
        <f t="shared" si="4"/>
        <v>16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13.416666666666666</v>
      </c>
      <c r="E11" s="158"/>
      <c r="F11" s="158"/>
      <c r="G11" s="159" t="s">
        <v>30</v>
      </c>
      <c r="H11" s="159"/>
      <c r="I11" s="85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84" t="s">
        <v>125</v>
      </c>
      <c r="C13" s="43" t="s">
        <v>79</v>
      </c>
      <c r="D13" s="17">
        <f t="shared" ref="D13:D16" si="5">(E13+F13)/2</f>
        <v>15.5</v>
      </c>
      <c r="E13" s="44">
        <v>14</v>
      </c>
      <c r="F13" s="44">
        <v>17</v>
      </c>
      <c r="G13" s="18">
        <v>2</v>
      </c>
      <c r="H13" s="19">
        <f t="shared" ref="H13:H16" si="6">D13*G13</f>
        <v>31</v>
      </c>
      <c r="I13" s="153">
        <v>16.75</v>
      </c>
      <c r="J13" s="154">
        <v>16.75</v>
      </c>
      <c r="K13" s="46" t="s">
        <v>141</v>
      </c>
      <c r="L13" s="17" t="str">
        <f t="shared" ref="L13:L16" si="7">IF(D13&lt;10,"D",IF(D13&lt;12,"C",IF(D13&lt;14,"C+",IF(D13&lt;15,"B",IF(D13&lt;16,"B+",IF(D13&lt;18,"A",IF(D13&lt;20,"A+")))))))</f>
        <v>B+</v>
      </c>
      <c r="M13" s="16"/>
      <c r="N13" s="16"/>
      <c r="O13" s="20">
        <f t="shared" ref="O13:O16" si="8">E13*G13</f>
        <v>28</v>
      </c>
      <c r="P13" s="20">
        <f t="shared" ref="P13:P16" si="9">F13*G13</f>
        <v>34</v>
      </c>
    </row>
    <row r="14" spans="2:16" ht="48" thickBot="1" x14ac:dyDescent="0.3">
      <c r="B14" s="84" t="s">
        <v>126</v>
      </c>
      <c r="C14" s="45" t="s">
        <v>80</v>
      </c>
      <c r="D14" s="17">
        <f t="shared" si="5"/>
        <v>10.5</v>
      </c>
      <c r="E14" s="44">
        <v>10</v>
      </c>
      <c r="F14" s="44">
        <v>11</v>
      </c>
      <c r="G14" s="18">
        <v>2</v>
      </c>
      <c r="H14" s="19">
        <f t="shared" si="6"/>
        <v>21</v>
      </c>
      <c r="I14" s="153">
        <v>11.75</v>
      </c>
      <c r="J14" s="154">
        <v>11.75</v>
      </c>
      <c r="K14" s="46" t="s">
        <v>143</v>
      </c>
      <c r="L14" s="17" t="str">
        <f t="shared" si="7"/>
        <v>C</v>
      </c>
      <c r="M14" s="16"/>
      <c r="N14" s="16"/>
      <c r="O14" s="20">
        <f t="shared" si="8"/>
        <v>20</v>
      </c>
      <c r="P14" s="20">
        <f t="shared" si="9"/>
        <v>22</v>
      </c>
    </row>
    <row r="15" spans="2:16" ht="37.5" customHeight="1" thickBot="1" x14ac:dyDescent="0.3">
      <c r="B15" s="84" t="s">
        <v>127</v>
      </c>
      <c r="C15" s="45" t="s">
        <v>81</v>
      </c>
      <c r="D15" s="17">
        <f t="shared" si="5"/>
        <v>13</v>
      </c>
      <c r="E15" s="44">
        <v>14</v>
      </c>
      <c r="F15" s="44">
        <v>12</v>
      </c>
      <c r="G15" s="18">
        <v>2</v>
      </c>
      <c r="H15" s="19">
        <f t="shared" si="6"/>
        <v>26</v>
      </c>
      <c r="I15" s="153">
        <v>11.75</v>
      </c>
      <c r="J15" s="154">
        <v>11.75</v>
      </c>
      <c r="K15" s="46" t="s">
        <v>138</v>
      </c>
      <c r="L15" s="17" t="str">
        <f t="shared" si="7"/>
        <v>C+</v>
      </c>
      <c r="M15" s="16"/>
      <c r="N15" s="16"/>
      <c r="O15" s="20">
        <f t="shared" si="8"/>
        <v>28</v>
      </c>
      <c r="P15" s="20">
        <f t="shared" si="9"/>
        <v>24</v>
      </c>
    </row>
    <row r="16" spans="2:16" ht="32.25" thickBot="1" x14ac:dyDescent="0.3">
      <c r="B16" s="84" t="s">
        <v>128</v>
      </c>
      <c r="C16" s="42" t="s">
        <v>73</v>
      </c>
      <c r="D16" s="17">
        <f t="shared" si="5"/>
        <v>10</v>
      </c>
      <c r="E16" s="17">
        <v>15</v>
      </c>
      <c r="F16" s="17">
        <v>5</v>
      </c>
      <c r="G16" s="18">
        <v>1</v>
      </c>
      <c r="H16" s="19">
        <f t="shared" si="6"/>
        <v>10</v>
      </c>
      <c r="I16" s="153">
        <v>7.75</v>
      </c>
      <c r="J16" s="154"/>
      <c r="K16" s="46" t="s">
        <v>141</v>
      </c>
      <c r="L16" s="17" t="str">
        <f t="shared" si="7"/>
        <v>C</v>
      </c>
      <c r="M16" s="16"/>
      <c r="N16" s="16"/>
      <c r="O16" s="20">
        <f t="shared" si="8"/>
        <v>15</v>
      </c>
      <c r="P16" s="20">
        <f t="shared" si="9"/>
        <v>5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12.571428571428571</v>
      </c>
      <c r="E18" s="158"/>
      <c r="F18" s="158"/>
      <c r="G18" s="159" t="s">
        <v>30</v>
      </c>
      <c r="H18" s="159"/>
      <c r="I18" s="85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84" t="s">
        <v>71</v>
      </c>
      <c r="C20" s="45" t="s">
        <v>82</v>
      </c>
      <c r="D20" s="17">
        <f t="shared" ref="D20:D22" si="10">(E20+F20)/2</f>
        <v>14</v>
      </c>
      <c r="E20" s="44">
        <v>10</v>
      </c>
      <c r="F20" s="44">
        <v>18</v>
      </c>
      <c r="G20" s="18">
        <v>2</v>
      </c>
      <c r="H20" s="19">
        <f t="shared" ref="H20:H22" si="11">D20*G20</f>
        <v>28</v>
      </c>
      <c r="I20" s="153">
        <v>14.75</v>
      </c>
      <c r="J20" s="154">
        <v>14.75</v>
      </c>
      <c r="K20" s="46" t="s">
        <v>144</v>
      </c>
      <c r="L20" s="17" t="str">
        <f t="shared" ref="L20:L22" si="12">IF(D20&lt;10,"D",IF(D20&lt;12,"C",IF(D20&lt;14,"C+",IF(D20&lt;15,"B",IF(D20&lt;16,"B+",IF(D20&lt;18,"A",IF(D20&lt;20,"A+")))))))</f>
        <v>B</v>
      </c>
      <c r="M20" s="16"/>
      <c r="N20" s="16"/>
      <c r="O20" s="20">
        <f t="shared" ref="O20:O22" si="13">E20*G20</f>
        <v>20</v>
      </c>
      <c r="P20" s="20">
        <f t="shared" ref="P20:P22" si="14">F20*G20</f>
        <v>36</v>
      </c>
    </row>
    <row r="21" spans="2:16" ht="64.5" thickBot="1" x14ac:dyDescent="0.3">
      <c r="B21" s="84" t="s">
        <v>129</v>
      </c>
      <c r="C21" s="45" t="s">
        <v>83</v>
      </c>
      <c r="D21" s="17">
        <f t="shared" si="10"/>
        <v>9.25</v>
      </c>
      <c r="E21" s="44">
        <v>10.5</v>
      </c>
      <c r="F21" s="44">
        <v>8</v>
      </c>
      <c r="G21" s="18">
        <v>4</v>
      </c>
      <c r="H21" s="19">
        <f t="shared" si="11"/>
        <v>37</v>
      </c>
      <c r="I21" s="153">
        <v>5.5</v>
      </c>
      <c r="J21" s="154">
        <v>5.5</v>
      </c>
      <c r="K21" s="46" t="s">
        <v>144</v>
      </c>
      <c r="L21" s="17" t="str">
        <f t="shared" si="12"/>
        <v>D</v>
      </c>
      <c r="M21" s="16"/>
      <c r="N21" s="16"/>
      <c r="O21" s="20">
        <f t="shared" si="13"/>
        <v>42</v>
      </c>
      <c r="P21" s="20">
        <f t="shared" si="14"/>
        <v>32</v>
      </c>
    </row>
    <row r="22" spans="2:16" ht="64.5" thickBot="1" x14ac:dyDescent="0.3">
      <c r="B22" s="84" t="s">
        <v>130</v>
      </c>
      <c r="C22" s="45" t="s">
        <v>84</v>
      </c>
      <c r="D22" s="17">
        <f t="shared" si="10"/>
        <v>10.5</v>
      </c>
      <c r="E22" s="44">
        <v>10</v>
      </c>
      <c r="F22" s="44">
        <v>11</v>
      </c>
      <c r="G22" s="18">
        <v>2</v>
      </c>
      <c r="H22" s="19">
        <f t="shared" si="11"/>
        <v>21</v>
      </c>
      <c r="I22" s="153">
        <v>14.375</v>
      </c>
      <c r="J22" s="154">
        <v>14.375</v>
      </c>
      <c r="K22" s="46" t="s">
        <v>140</v>
      </c>
      <c r="L22" s="17" t="str">
        <f t="shared" si="12"/>
        <v>C</v>
      </c>
      <c r="M22" s="16"/>
      <c r="N22" s="16"/>
      <c r="O22" s="20">
        <f t="shared" si="13"/>
        <v>20</v>
      </c>
      <c r="P22" s="20">
        <f t="shared" si="14"/>
        <v>22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10.75</v>
      </c>
      <c r="E24" s="158"/>
      <c r="F24" s="158"/>
      <c r="G24" s="159" t="s">
        <v>30</v>
      </c>
      <c r="H24" s="159"/>
      <c r="I24" s="85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84" t="s">
        <v>131</v>
      </c>
      <c r="C26" s="43" t="s">
        <v>74</v>
      </c>
      <c r="D26" s="17">
        <f t="shared" ref="D26:D29" si="15">(E26+F26)/2</f>
        <v>13</v>
      </c>
      <c r="E26" s="44">
        <v>13</v>
      </c>
      <c r="F26" s="44">
        <v>13</v>
      </c>
      <c r="G26" s="18">
        <v>1</v>
      </c>
      <c r="H26" s="19">
        <f t="shared" ref="H26:H29" si="16">D26*G26</f>
        <v>13</v>
      </c>
      <c r="I26" s="153">
        <v>12.5</v>
      </c>
      <c r="J26" s="154">
        <v>12.5</v>
      </c>
      <c r="K26" s="46" t="s">
        <v>141</v>
      </c>
      <c r="L26" s="17" t="str">
        <f t="shared" ref="L26:L28" si="17">IF(D26&lt;10,"D",IF(D26&lt;12,"C",IF(D26&lt;14,"C+",IF(D26&lt;15,"B",IF(D26&lt;16,"B+",IF(D26&lt;18,"A",IF(D26&lt;20,"A+")))))))</f>
        <v>C+</v>
      </c>
      <c r="M26" s="16"/>
      <c r="N26" s="16"/>
      <c r="O26" s="20">
        <f t="shared" ref="O26:O29" si="18">E26*G26</f>
        <v>13</v>
      </c>
      <c r="P26" s="20">
        <f t="shared" ref="P26:P29" si="19">F26*G26</f>
        <v>13</v>
      </c>
    </row>
    <row r="27" spans="2:16" ht="32.25" thickBot="1" x14ac:dyDescent="0.3">
      <c r="B27" s="84" t="s">
        <v>72</v>
      </c>
      <c r="C27" s="45" t="s">
        <v>85</v>
      </c>
      <c r="D27" s="17">
        <f t="shared" si="15"/>
        <v>15.5</v>
      </c>
      <c r="E27" s="44">
        <v>15</v>
      </c>
      <c r="F27" s="44">
        <v>16</v>
      </c>
      <c r="G27" s="18">
        <v>2</v>
      </c>
      <c r="H27" s="19">
        <f>D27*G27</f>
        <v>31</v>
      </c>
      <c r="I27" s="153">
        <v>16</v>
      </c>
      <c r="J27" s="154">
        <v>16</v>
      </c>
      <c r="K27" s="46" t="s">
        <v>139</v>
      </c>
      <c r="L27" s="17" t="str">
        <f t="shared" si="17"/>
        <v>B+</v>
      </c>
      <c r="M27" s="16"/>
      <c r="N27" s="16"/>
      <c r="O27" s="20">
        <f t="shared" si="18"/>
        <v>30</v>
      </c>
      <c r="P27" s="20">
        <f t="shared" si="19"/>
        <v>32</v>
      </c>
    </row>
    <row r="28" spans="2:16" ht="39.75" customHeight="1" thickBot="1" x14ac:dyDescent="0.3">
      <c r="B28" s="84" t="s">
        <v>132</v>
      </c>
      <c r="C28" s="45" t="s">
        <v>86</v>
      </c>
      <c r="D28" s="17">
        <f t="shared" si="15"/>
        <v>11.75</v>
      </c>
      <c r="E28" s="44">
        <v>10</v>
      </c>
      <c r="F28" s="44">
        <v>13.5</v>
      </c>
      <c r="G28" s="18">
        <v>1</v>
      </c>
      <c r="H28" s="19">
        <f t="shared" si="16"/>
        <v>11.75</v>
      </c>
      <c r="I28" s="153">
        <v>13.375</v>
      </c>
      <c r="J28" s="154">
        <v>13.375</v>
      </c>
      <c r="K28" s="46" t="s">
        <v>139</v>
      </c>
      <c r="L28" s="17" t="str">
        <f t="shared" si="17"/>
        <v>C</v>
      </c>
      <c r="M28" s="16"/>
      <c r="N28" s="16"/>
      <c r="O28" s="20">
        <f t="shared" si="18"/>
        <v>10</v>
      </c>
      <c r="P28" s="20">
        <f t="shared" si="19"/>
        <v>13.5</v>
      </c>
    </row>
    <row r="29" spans="2:16" ht="39" thickBot="1" x14ac:dyDescent="0.3">
      <c r="B29" s="84" t="s">
        <v>133</v>
      </c>
      <c r="C29" s="45" t="s">
        <v>87</v>
      </c>
      <c r="D29" s="17">
        <f t="shared" si="15"/>
        <v>16.5</v>
      </c>
      <c r="E29" s="17">
        <v>16</v>
      </c>
      <c r="F29" s="17">
        <v>17</v>
      </c>
      <c r="G29" s="18">
        <v>1</v>
      </c>
      <c r="H29" s="19">
        <f t="shared" si="16"/>
        <v>16.5</v>
      </c>
      <c r="I29" s="153">
        <v>17</v>
      </c>
      <c r="J29" s="154"/>
      <c r="K29" s="46" t="s">
        <v>141</v>
      </c>
      <c r="L29" s="17" t="str">
        <f>IF(D29&lt;10,"D",IF(D29&lt;12,"C",IF(D29&lt;14,"C+",IF(D29&lt;15,"B",IF(D29&lt;16,"B+",IF(D29&lt;18,"A",IF(D29&lt;20,"A+")))))))</f>
        <v>A</v>
      </c>
      <c r="M29" s="16"/>
      <c r="N29" s="16"/>
      <c r="O29" s="20">
        <f t="shared" si="18"/>
        <v>16</v>
      </c>
      <c r="P29" s="20">
        <f t="shared" si="19"/>
        <v>17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368.5</v>
      </c>
      <c r="P30" s="16">
        <f>SUM(P5:P29)</f>
        <v>365.5</v>
      </c>
    </row>
    <row r="31" spans="2:16" ht="16.5" thickBot="1" x14ac:dyDescent="0.3">
      <c r="B31" s="25" t="s">
        <v>32</v>
      </c>
      <c r="C31" s="40"/>
      <c r="D31" s="158">
        <f>(SUM(H26:H29)/SUM(G26:G29))</f>
        <v>14.45</v>
      </c>
      <c r="E31" s="158"/>
      <c r="F31" s="158"/>
      <c r="G31" s="182" t="s">
        <v>30</v>
      </c>
      <c r="H31" s="182"/>
      <c r="I31" s="81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12.706896551724139</v>
      </c>
      <c r="P32" s="16">
        <f>P30/P31</f>
        <v>12.603448275862069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>
        <f>O32</f>
        <v>12.706896551724139</v>
      </c>
      <c r="E35" s="73">
        <f>P32</f>
        <v>12.603448275862069</v>
      </c>
      <c r="F35" s="74" t="s">
        <v>156</v>
      </c>
      <c r="G35" s="75">
        <f>(H5+H6+H7+H8+H9+H13+H14+H15+H16+H20+H21+H22+H26+H27+H28+H29)/29</f>
        <v>12.655172413793103</v>
      </c>
      <c r="H35" s="72" t="s">
        <v>40</v>
      </c>
      <c r="I35" s="151" t="s">
        <v>41</v>
      </c>
      <c r="J35" s="152"/>
      <c r="K35" s="30" t="s">
        <v>108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I13:J13"/>
    <mergeCell ref="I4:J4"/>
    <mergeCell ref="I5:J5"/>
    <mergeCell ref="I6:J6"/>
    <mergeCell ref="I7:J7"/>
    <mergeCell ref="I8:J8"/>
    <mergeCell ref="I9:J9"/>
    <mergeCell ref="B10:L10"/>
    <mergeCell ref="D11:F11"/>
    <mergeCell ref="G11:H11"/>
    <mergeCell ref="J11:L11"/>
    <mergeCell ref="B12:L12"/>
    <mergeCell ref="D24:F24"/>
    <mergeCell ref="G24:H24"/>
    <mergeCell ref="J24:L24"/>
    <mergeCell ref="I14:J14"/>
    <mergeCell ref="I15:J15"/>
    <mergeCell ref="I16:J16"/>
    <mergeCell ref="B17:L17"/>
    <mergeCell ref="D18:F18"/>
    <mergeCell ref="G18:H18"/>
    <mergeCell ref="J18:L18"/>
    <mergeCell ref="B19:L19"/>
    <mergeCell ref="I20:J20"/>
    <mergeCell ref="I21:J21"/>
    <mergeCell ref="I22:J22"/>
    <mergeCell ref="B23:L23"/>
    <mergeCell ref="I35:J35"/>
    <mergeCell ref="B25:L25"/>
    <mergeCell ref="I26:J26"/>
    <mergeCell ref="I27:J27"/>
    <mergeCell ref="I28:J28"/>
    <mergeCell ref="I29:J29"/>
    <mergeCell ref="D31:F31"/>
    <mergeCell ref="G31:H31"/>
    <mergeCell ref="J31:L31"/>
    <mergeCell ref="B32:L32"/>
    <mergeCell ref="B33:C33"/>
    <mergeCell ref="G33:H33"/>
    <mergeCell ref="J33:K33"/>
    <mergeCell ref="I34:L34"/>
    <mergeCell ref="B36:H36"/>
    <mergeCell ref="I36:L36"/>
    <mergeCell ref="B37:L37"/>
    <mergeCell ref="B38:L38"/>
    <mergeCell ref="D39:F39"/>
    <mergeCell ref="G39:L40"/>
    <mergeCell ref="C40:C42"/>
    <mergeCell ref="D40:F42"/>
    <mergeCell ref="G41:J41"/>
    <mergeCell ref="K41:L41"/>
    <mergeCell ref="G42:J42"/>
    <mergeCell ref="K42:L42"/>
    <mergeCell ref="C43:C44"/>
    <mergeCell ref="D43:F44"/>
    <mergeCell ref="G43:J43"/>
    <mergeCell ref="K43:L43"/>
    <mergeCell ref="G44:J44"/>
    <mergeCell ref="K44:L44"/>
    <mergeCell ref="C45:C48"/>
    <mergeCell ref="D45:F48"/>
    <mergeCell ref="G45:J48"/>
    <mergeCell ref="K45:L45"/>
    <mergeCell ref="B46:B48"/>
    <mergeCell ref="K46:L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zoomScale="90" zoomScaleNormal="90" workbookViewId="0">
      <selection sqref="A1:XFD1048576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2" t="s">
        <v>24</v>
      </c>
      <c r="C4" s="41" t="s">
        <v>69</v>
      </c>
      <c r="D4" s="83" t="s">
        <v>153</v>
      </c>
      <c r="E4" s="83" t="s">
        <v>154</v>
      </c>
      <c r="F4" s="83" t="s">
        <v>155</v>
      </c>
      <c r="G4" s="83" t="s">
        <v>25</v>
      </c>
      <c r="H4" s="82" t="s">
        <v>26</v>
      </c>
      <c r="I4" s="167" t="s">
        <v>27</v>
      </c>
      <c r="J4" s="168"/>
      <c r="K4" s="83" t="s">
        <v>21</v>
      </c>
      <c r="L4" s="83" t="s">
        <v>28</v>
      </c>
      <c r="M4" s="16"/>
      <c r="N4" s="16"/>
      <c r="O4" s="16"/>
      <c r="P4" s="16"/>
    </row>
    <row r="5" spans="2:16" ht="43.5" customHeight="1" thickBot="1" x14ac:dyDescent="0.3">
      <c r="B5" s="84" t="s">
        <v>70</v>
      </c>
      <c r="C5" s="43" t="s">
        <v>75</v>
      </c>
      <c r="D5" s="17">
        <f>(E5+F5)/2</f>
        <v>0</v>
      </c>
      <c r="E5" s="44"/>
      <c r="F5" s="44"/>
      <c r="G5" s="18">
        <v>3</v>
      </c>
      <c r="H5" s="19">
        <f>D5*G5</f>
        <v>0</v>
      </c>
      <c r="I5" s="153">
        <v>14</v>
      </c>
      <c r="J5" s="154">
        <v>14</v>
      </c>
      <c r="K5" s="46" t="s">
        <v>157</v>
      </c>
      <c r="L5" s="17" t="str">
        <f>IF(D5&lt;10,"D",IF(D5&lt;12,"C",IF(D5&lt;14,"C+",IF(D5&lt;15,"B",IF(D5&lt;16,"B+",IF(D5&lt;18,"A",IF(D5&lt;20,"A+")))))))</f>
        <v>D</v>
      </c>
      <c r="M5" s="16"/>
      <c r="N5" s="16"/>
      <c r="O5" s="20">
        <f>E5*G5</f>
        <v>0</v>
      </c>
      <c r="P5" s="20">
        <f>F5*G5</f>
        <v>0</v>
      </c>
    </row>
    <row r="6" spans="2:16" ht="32.25" thickBot="1" x14ac:dyDescent="0.3">
      <c r="B6" s="84" t="s">
        <v>121</v>
      </c>
      <c r="C6" s="43" t="s">
        <v>76</v>
      </c>
      <c r="D6" s="17">
        <f t="shared" ref="D6:D9" si="0">(E6+F6)/2</f>
        <v>0</v>
      </c>
      <c r="E6" s="44"/>
      <c r="F6" s="44"/>
      <c r="G6" s="18">
        <v>1</v>
      </c>
      <c r="H6" s="19">
        <f t="shared" ref="H6:H9" si="1">D6*G6</f>
        <v>0</v>
      </c>
      <c r="I6" s="153">
        <v>7.75</v>
      </c>
      <c r="J6" s="154">
        <v>7.75</v>
      </c>
      <c r="K6" s="46" t="s">
        <v>157</v>
      </c>
      <c r="L6" s="17" t="str">
        <f t="shared" ref="L6:L9" si="2">IF(D6&lt;10,"D",IF(D6&lt;12,"C",IF(D6&lt;14,"C+",IF(D6&lt;15,"B",IF(D6&lt;16,"B+",IF(D6&lt;18,"A",IF(D6&lt;20,"A+")))))))</f>
        <v>D</v>
      </c>
      <c r="M6" s="16"/>
      <c r="N6" s="16"/>
      <c r="O6" s="20">
        <f t="shared" ref="O6:O9" si="3">E6*G6</f>
        <v>0</v>
      </c>
      <c r="P6" s="20">
        <f t="shared" ref="P6:P9" si="4">F6*G6</f>
        <v>0</v>
      </c>
    </row>
    <row r="7" spans="2:16" ht="32.25" thickBot="1" x14ac:dyDescent="0.3">
      <c r="B7" s="84" t="s">
        <v>122</v>
      </c>
      <c r="C7" s="43" t="s">
        <v>77</v>
      </c>
      <c r="D7" s="17">
        <f t="shared" si="0"/>
        <v>0</v>
      </c>
      <c r="E7" s="44"/>
      <c r="F7" s="44"/>
      <c r="G7" s="18">
        <v>2</v>
      </c>
      <c r="H7" s="19">
        <f t="shared" si="1"/>
        <v>0</v>
      </c>
      <c r="I7" s="153">
        <v>11.375</v>
      </c>
      <c r="J7" s="154">
        <v>11.375</v>
      </c>
      <c r="K7" s="46" t="s">
        <v>157</v>
      </c>
      <c r="L7" s="17" t="str">
        <f t="shared" si="2"/>
        <v>D</v>
      </c>
      <c r="M7" s="16"/>
      <c r="N7" s="16"/>
      <c r="O7" s="20">
        <f t="shared" si="3"/>
        <v>0</v>
      </c>
      <c r="P7" s="20">
        <f t="shared" si="4"/>
        <v>0</v>
      </c>
    </row>
    <row r="8" spans="2:16" ht="39" thickBot="1" x14ac:dyDescent="0.3">
      <c r="B8" s="84" t="s">
        <v>123</v>
      </c>
      <c r="C8" s="43" t="s">
        <v>78</v>
      </c>
      <c r="D8" s="17">
        <f t="shared" si="0"/>
        <v>0</v>
      </c>
      <c r="E8" s="44"/>
      <c r="F8" s="44"/>
      <c r="G8" s="18">
        <v>2</v>
      </c>
      <c r="H8" s="19">
        <f t="shared" si="1"/>
        <v>0</v>
      </c>
      <c r="I8" s="153">
        <v>12.5</v>
      </c>
      <c r="J8" s="154">
        <v>12.5</v>
      </c>
      <c r="K8" s="46" t="s">
        <v>157</v>
      </c>
      <c r="L8" s="17" t="str">
        <f t="shared" si="2"/>
        <v>D</v>
      </c>
      <c r="M8" s="16"/>
      <c r="N8" s="16"/>
      <c r="O8" s="20">
        <f t="shared" si="3"/>
        <v>0</v>
      </c>
      <c r="P8" s="20">
        <f t="shared" si="4"/>
        <v>0</v>
      </c>
    </row>
    <row r="9" spans="2:16" ht="39" thickBot="1" x14ac:dyDescent="0.3">
      <c r="B9" s="84" t="s">
        <v>124</v>
      </c>
      <c r="C9" s="43" t="s">
        <v>78</v>
      </c>
      <c r="D9" s="17">
        <f t="shared" si="0"/>
        <v>0</v>
      </c>
      <c r="E9" s="44"/>
      <c r="F9" s="44"/>
      <c r="G9" s="18">
        <v>1</v>
      </c>
      <c r="H9" s="19">
        <f t="shared" si="1"/>
        <v>0</v>
      </c>
      <c r="I9" s="153">
        <v>16</v>
      </c>
      <c r="J9" s="154">
        <v>16</v>
      </c>
      <c r="K9" s="46" t="s">
        <v>157</v>
      </c>
      <c r="L9" s="17" t="str">
        <f t="shared" si="2"/>
        <v>D</v>
      </c>
      <c r="M9" s="16"/>
      <c r="N9" s="16"/>
      <c r="O9" s="20">
        <f t="shared" si="3"/>
        <v>0</v>
      </c>
      <c r="P9" s="20">
        <f t="shared" si="4"/>
        <v>0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0</v>
      </c>
      <c r="E11" s="158"/>
      <c r="F11" s="158"/>
      <c r="G11" s="159" t="s">
        <v>30</v>
      </c>
      <c r="H11" s="159"/>
      <c r="I11" s="85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84" t="s">
        <v>125</v>
      </c>
      <c r="C13" s="43" t="s">
        <v>79</v>
      </c>
      <c r="D13" s="17">
        <f t="shared" ref="D13:D16" si="5">(E13+F13)/2</f>
        <v>0</v>
      </c>
      <c r="E13" s="44"/>
      <c r="F13" s="44"/>
      <c r="G13" s="18">
        <v>2</v>
      </c>
      <c r="H13" s="19">
        <f t="shared" ref="H13:H16" si="6">D13*G13</f>
        <v>0</v>
      </c>
      <c r="I13" s="153">
        <v>16.75</v>
      </c>
      <c r="J13" s="154">
        <v>16.75</v>
      </c>
      <c r="K13" s="46" t="s">
        <v>157</v>
      </c>
      <c r="L13" s="17" t="str">
        <f t="shared" ref="L13:L16" si="7">IF(D13&lt;10,"D",IF(D13&lt;12,"C",IF(D13&lt;14,"C+",IF(D13&lt;15,"B",IF(D13&lt;16,"B+",IF(D13&lt;18,"A",IF(D13&lt;20,"A+")))))))</f>
        <v>D</v>
      </c>
      <c r="M13" s="16"/>
      <c r="N13" s="16"/>
      <c r="O13" s="20">
        <f t="shared" ref="O13:O16" si="8">E13*G13</f>
        <v>0</v>
      </c>
      <c r="P13" s="20">
        <f t="shared" ref="P13:P16" si="9">F13*G13</f>
        <v>0</v>
      </c>
    </row>
    <row r="14" spans="2:16" ht="48" thickBot="1" x14ac:dyDescent="0.3">
      <c r="B14" s="84" t="s">
        <v>126</v>
      </c>
      <c r="C14" s="45" t="s">
        <v>80</v>
      </c>
      <c r="D14" s="17">
        <f t="shared" si="5"/>
        <v>0</v>
      </c>
      <c r="E14" s="44"/>
      <c r="F14" s="44"/>
      <c r="G14" s="18">
        <v>2</v>
      </c>
      <c r="H14" s="19">
        <f t="shared" si="6"/>
        <v>0</v>
      </c>
      <c r="I14" s="153">
        <v>11.75</v>
      </c>
      <c r="J14" s="154">
        <v>11.75</v>
      </c>
      <c r="K14" s="46" t="s">
        <v>157</v>
      </c>
      <c r="L14" s="17" t="str">
        <f t="shared" si="7"/>
        <v>D</v>
      </c>
      <c r="M14" s="16"/>
      <c r="N14" s="16"/>
      <c r="O14" s="20">
        <f t="shared" si="8"/>
        <v>0</v>
      </c>
      <c r="P14" s="20">
        <f t="shared" si="9"/>
        <v>0</v>
      </c>
    </row>
    <row r="15" spans="2:16" ht="37.5" customHeight="1" thickBot="1" x14ac:dyDescent="0.3">
      <c r="B15" s="84" t="s">
        <v>127</v>
      </c>
      <c r="C15" s="45" t="s">
        <v>81</v>
      </c>
      <c r="D15" s="17">
        <f t="shared" si="5"/>
        <v>0</v>
      </c>
      <c r="E15" s="44"/>
      <c r="F15" s="44"/>
      <c r="G15" s="18">
        <v>2</v>
      </c>
      <c r="H15" s="19">
        <f t="shared" si="6"/>
        <v>0</v>
      </c>
      <c r="I15" s="153">
        <v>11.75</v>
      </c>
      <c r="J15" s="154">
        <v>11.75</v>
      </c>
      <c r="K15" s="46" t="s">
        <v>157</v>
      </c>
      <c r="L15" s="17" t="str">
        <f t="shared" si="7"/>
        <v>D</v>
      </c>
      <c r="M15" s="16"/>
      <c r="N15" s="16"/>
      <c r="O15" s="20">
        <f t="shared" si="8"/>
        <v>0</v>
      </c>
      <c r="P15" s="20">
        <f t="shared" si="9"/>
        <v>0</v>
      </c>
    </row>
    <row r="16" spans="2:16" ht="32.25" thickBot="1" x14ac:dyDescent="0.3">
      <c r="B16" s="84" t="s">
        <v>128</v>
      </c>
      <c r="C16" s="42" t="s">
        <v>73</v>
      </c>
      <c r="D16" s="17">
        <f t="shared" si="5"/>
        <v>0</v>
      </c>
      <c r="E16" s="17"/>
      <c r="F16" s="17"/>
      <c r="G16" s="18">
        <v>1</v>
      </c>
      <c r="H16" s="19">
        <f t="shared" si="6"/>
        <v>0</v>
      </c>
      <c r="I16" s="153">
        <v>7.75</v>
      </c>
      <c r="J16" s="154"/>
      <c r="K16" s="46" t="s">
        <v>157</v>
      </c>
      <c r="L16" s="17" t="str">
        <f t="shared" si="7"/>
        <v>D</v>
      </c>
      <c r="M16" s="16"/>
      <c r="N16" s="16"/>
      <c r="O16" s="20">
        <f t="shared" si="8"/>
        <v>0</v>
      </c>
      <c r="P16" s="20">
        <f t="shared" si="9"/>
        <v>0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0</v>
      </c>
      <c r="E18" s="158"/>
      <c r="F18" s="158"/>
      <c r="G18" s="159" t="s">
        <v>30</v>
      </c>
      <c r="H18" s="159"/>
      <c r="I18" s="85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84" t="s">
        <v>71</v>
      </c>
      <c r="C20" s="45" t="s">
        <v>82</v>
      </c>
      <c r="D20" s="17">
        <f t="shared" ref="D20:D22" si="10">(E20+F20)/2</f>
        <v>0</v>
      </c>
      <c r="E20" s="44"/>
      <c r="F20" s="44"/>
      <c r="G20" s="18">
        <v>2</v>
      </c>
      <c r="H20" s="19">
        <f t="shared" ref="H20:H22" si="11">D20*G20</f>
        <v>0</v>
      </c>
      <c r="I20" s="153">
        <v>14.75</v>
      </c>
      <c r="J20" s="154">
        <v>14.75</v>
      </c>
      <c r="K20" s="46" t="s">
        <v>157</v>
      </c>
      <c r="L20" s="17" t="str">
        <f t="shared" ref="L20:L22" si="12">IF(D20&lt;10,"D",IF(D20&lt;12,"C",IF(D20&lt;14,"C+",IF(D20&lt;15,"B",IF(D20&lt;16,"B+",IF(D20&lt;18,"A",IF(D20&lt;20,"A+")))))))</f>
        <v>D</v>
      </c>
      <c r="M20" s="16"/>
      <c r="N20" s="16"/>
      <c r="O20" s="20">
        <f t="shared" ref="O20:O22" si="13">E20*G20</f>
        <v>0</v>
      </c>
      <c r="P20" s="20">
        <f t="shared" ref="P20:P22" si="14">F20*G20</f>
        <v>0</v>
      </c>
    </row>
    <row r="21" spans="2:16" ht="64.5" thickBot="1" x14ac:dyDescent="0.3">
      <c r="B21" s="84" t="s">
        <v>129</v>
      </c>
      <c r="C21" s="45" t="s">
        <v>83</v>
      </c>
      <c r="D21" s="17">
        <f t="shared" si="10"/>
        <v>0</v>
      </c>
      <c r="E21" s="44"/>
      <c r="F21" s="44"/>
      <c r="G21" s="18">
        <v>4</v>
      </c>
      <c r="H21" s="19">
        <f t="shared" si="11"/>
        <v>0</v>
      </c>
      <c r="I21" s="153">
        <v>5.5</v>
      </c>
      <c r="J21" s="154">
        <v>5.5</v>
      </c>
      <c r="K21" s="46" t="s">
        <v>157</v>
      </c>
      <c r="L21" s="17" t="str">
        <f t="shared" si="12"/>
        <v>D</v>
      </c>
      <c r="M21" s="16"/>
      <c r="N21" s="16"/>
      <c r="O21" s="20">
        <f t="shared" si="13"/>
        <v>0</v>
      </c>
      <c r="P21" s="20">
        <f t="shared" si="14"/>
        <v>0</v>
      </c>
    </row>
    <row r="22" spans="2:16" ht="64.5" thickBot="1" x14ac:dyDescent="0.3">
      <c r="B22" s="84" t="s">
        <v>130</v>
      </c>
      <c r="C22" s="45" t="s">
        <v>84</v>
      </c>
      <c r="D22" s="17">
        <f t="shared" si="10"/>
        <v>0</v>
      </c>
      <c r="E22" s="44"/>
      <c r="F22" s="44"/>
      <c r="G22" s="18">
        <v>2</v>
      </c>
      <c r="H22" s="19">
        <f t="shared" si="11"/>
        <v>0</v>
      </c>
      <c r="I22" s="153">
        <v>14.375</v>
      </c>
      <c r="J22" s="154">
        <v>14.375</v>
      </c>
      <c r="K22" s="46" t="s">
        <v>157</v>
      </c>
      <c r="L22" s="17" t="str">
        <f t="shared" si="12"/>
        <v>D</v>
      </c>
      <c r="M22" s="16"/>
      <c r="N22" s="16"/>
      <c r="O22" s="20">
        <f t="shared" si="13"/>
        <v>0</v>
      </c>
      <c r="P22" s="20">
        <f t="shared" si="14"/>
        <v>0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0</v>
      </c>
      <c r="E24" s="158"/>
      <c r="F24" s="158"/>
      <c r="G24" s="159" t="s">
        <v>30</v>
      </c>
      <c r="H24" s="159"/>
      <c r="I24" s="85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84" t="s">
        <v>131</v>
      </c>
      <c r="C26" s="43" t="s">
        <v>74</v>
      </c>
      <c r="D26" s="17">
        <f t="shared" ref="D26:D29" si="15">(E26+F26)/2</f>
        <v>0</v>
      </c>
      <c r="E26" s="44"/>
      <c r="F26" s="44"/>
      <c r="G26" s="18">
        <v>1</v>
      </c>
      <c r="H26" s="19">
        <f t="shared" ref="H26:H29" si="16">D26*G26</f>
        <v>0</v>
      </c>
      <c r="I26" s="153">
        <v>12.5</v>
      </c>
      <c r="J26" s="154">
        <v>12.5</v>
      </c>
      <c r="K26" s="46" t="s">
        <v>157</v>
      </c>
      <c r="L26" s="17" t="str">
        <f t="shared" ref="L26:L28" si="17">IF(D26&lt;10,"D",IF(D26&lt;12,"C",IF(D26&lt;14,"C+",IF(D26&lt;15,"B",IF(D26&lt;16,"B+",IF(D26&lt;18,"A",IF(D26&lt;20,"A+")))))))</f>
        <v>D</v>
      </c>
      <c r="M26" s="16"/>
      <c r="N26" s="16"/>
      <c r="O26" s="20">
        <f t="shared" ref="O26:O29" si="18">E26*G26</f>
        <v>0</v>
      </c>
      <c r="P26" s="20">
        <f t="shared" ref="P26:P29" si="19">F26*G26</f>
        <v>0</v>
      </c>
    </row>
    <row r="27" spans="2:16" ht="32.25" thickBot="1" x14ac:dyDescent="0.3">
      <c r="B27" s="84" t="s">
        <v>72</v>
      </c>
      <c r="C27" s="45" t="s">
        <v>85</v>
      </c>
      <c r="D27" s="17">
        <f t="shared" si="15"/>
        <v>0</v>
      </c>
      <c r="E27" s="44"/>
      <c r="F27" s="44"/>
      <c r="G27" s="18">
        <v>2</v>
      </c>
      <c r="H27" s="19">
        <f>D27*G27</f>
        <v>0</v>
      </c>
      <c r="I27" s="153">
        <v>16</v>
      </c>
      <c r="J27" s="154">
        <v>16</v>
      </c>
      <c r="K27" s="46" t="s">
        <v>157</v>
      </c>
      <c r="L27" s="17" t="str">
        <f t="shared" si="17"/>
        <v>D</v>
      </c>
      <c r="M27" s="16"/>
      <c r="N27" s="16"/>
      <c r="O27" s="20">
        <f t="shared" si="18"/>
        <v>0</v>
      </c>
      <c r="P27" s="20">
        <f t="shared" si="19"/>
        <v>0</v>
      </c>
    </row>
    <row r="28" spans="2:16" ht="39.75" customHeight="1" thickBot="1" x14ac:dyDescent="0.3">
      <c r="B28" s="84" t="s">
        <v>132</v>
      </c>
      <c r="C28" s="45" t="s">
        <v>86</v>
      </c>
      <c r="D28" s="17">
        <f t="shared" si="15"/>
        <v>0</v>
      </c>
      <c r="E28" s="44"/>
      <c r="F28" s="44"/>
      <c r="G28" s="18">
        <v>1</v>
      </c>
      <c r="H28" s="19">
        <f t="shared" si="16"/>
        <v>0</v>
      </c>
      <c r="I28" s="153">
        <v>13.375</v>
      </c>
      <c r="J28" s="154">
        <v>13.375</v>
      </c>
      <c r="K28" s="46" t="s">
        <v>157</v>
      </c>
      <c r="L28" s="17" t="str">
        <f t="shared" si="17"/>
        <v>D</v>
      </c>
      <c r="M28" s="16"/>
      <c r="N28" s="16"/>
      <c r="O28" s="20">
        <f t="shared" si="18"/>
        <v>0</v>
      </c>
      <c r="P28" s="20">
        <f t="shared" si="19"/>
        <v>0</v>
      </c>
    </row>
    <row r="29" spans="2:16" ht="39" thickBot="1" x14ac:dyDescent="0.3">
      <c r="B29" s="84" t="s">
        <v>133</v>
      </c>
      <c r="C29" s="45" t="s">
        <v>87</v>
      </c>
      <c r="D29" s="17">
        <f t="shared" si="15"/>
        <v>16.5</v>
      </c>
      <c r="E29" s="17">
        <v>16</v>
      </c>
      <c r="F29" s="17">
        <v>17</v>
      </c>
      <c r="G29" s="18">
        <v>1</v>
      </c>
      <c r="H29" s="19">
        <f t="shared" si="16"/>
        <v>16.5</v>
      </c>
      <c r="I29" s="153">
        <v>17</v>
      </c>
      <c r="J29" s="154"/>
      <c r="K29" s="46" t="s">
        <v>157</v>
      </c>
      <c r="L29" s="17" t="str">
        <f>IF(D29&lt;10,"D",IF(D29&lt;12,"C",IF(D29&lt;14,"C+",IF(D29&lt;15,"B",IF(D29&lt;16,"B+",IF(D29&lt;18,"A",IF(D29&lt;20,"A+")))))))</f>
        <v>A</v>
      </c>
      <c r="M29" s="16"/>
      <c r="N29" s="16"/>
      <c r="O29" s="20">
        <f t="shared" si="18"/>
        <v>16</v>
      </c>
      <c r="P29" s="20">
        <f t="shared" si="19"/>
        <v>17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16</v>
      </c>
      <c r="P30" s="16">
        <f>SUM(P5:P29)</f>
        <v>17</v>
      </c>
    </row>
    <row r="31" spans="2:16" ht="16.5" thickBot="1" x14ac:dyDescent="0.3">
      <c r="B31" s="25" t="s">
        <v>32</v>
      </c>
      <c r="C31" s="40"/>
      <c r="D31" s="158">
        <f>(SUM(H26:H29)/SUM(G26:G29))</f>
        <v>3.3</v>
      </c>
      <c r="E31" s="158"/>
      <c r="F31" s="158"/>
      <c r="G31" s="182" t="s">
        <v>30</v>
      </c>
      <c r="H31" s="182"/>
      <c r="I31" s="81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0.55172413793103448</v>
      </c>
      <c r="P32" s="16">
        <f>P30/P31</f>
        <v>0.58620689655172409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>
        <f>O32</f>
        <v>0.55172413793103448</v>
      </c>
      <c r="E35" s="73">
        <f>P32</f>
        <v>0.58620689655172409</v>
      </c>
      <c r="F35" s="74" t="s">
        <v>156</v>
      </c>
      <c r="G35" s="75">
        <f>(H5+H6+H7+H8+H9+H13+H14+H15+H16+H20+H21+H22+H26+H27+H28+H29)/29</f>
        <v>0.56896551724137934</v>
      </c>
      <c r="H35" s="72" t="s">
        <v>40</v>
      </c>
      <c r="I35" s="151" t="s">
        <v>41</v>
      </c>
      <c r="J35" s="152"/>
      <c r="K35" s="30" t="s">
        <v>158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CNA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I13:J13"/>
    <mergeCell ref="I4:J4"/>
    <mergeCell ref="I5:J5"/>
    <mergeCell ref="I6:J6"/>
    <mergeCell ref="I7:J7"/>
    <mergeCell ref="I8:J8"/>
    <mergeCell ref="I9:J9"/>
    <mergeCell ref="B10:L10"/>
    <mergeCell ref="D11:F11"/>
    <mergeCell ref="G11:H11"/>
    <mergeCell ref="J11:L11"/>
    <mergeCell ref="B12:L12"/>
    <mergeCell ref="D24:F24"/>
    <mergeCell ref="G24:H24"/>
    <mergeCell ref="J24:L24"/>
    <mergeCell ref="I14:J14"/>
    <mergeCell ref="I15:J15"/>
    <mergeCell ref="I16:J16"/>
    <mergeCell ref="B17:L17"/>
    <mergeCell ref="D18:F18"/>
    <mergeCell ref="G18:H18"/>
    <mergeCell ref="J18:L18"/>
    <mergeCell ref="B19:L19"/>
    <mergeCell ref="I20:J20"/>
    <mergeCell ref="I21:J21"/>
    <mergeCell ref="I22:J22"/>
    <mergeCell ref="B23:L23"/>
    <mergeCell ref="I35:J35"/>
    <mergeCell ref="B25:L25"/>
    <mergeCell ref="I26:J26"/>
    <mergeCell ref="I27:J27"/>
    <mergeCell ref="I28:J28"/>
    <mergeCell ref="I29:J29"/>
    <mergeCell ref="D31:F31"/>
    <mergeCell ref="G31:H31"/>
    <mergeCell ref="J31:L31"/>
    <mergeCell ref="B32:L32"/>
    <mergeCell ref="B33:C33"/>
    <mergeCell ref="G33:H33"/>
    <mergeCell ref="J33:K33"/>
    <mergeCell ref="I34:L34"/>
    <mergeCell ref="B36:H36"/>
    <mergeCell ref="I36:L36"/>
    <mergeCell ref="B37:L37"/>
    <mergeCell ref="B38:L38"/>
    <mergeCell ref="D39:F39"/>
    <mergeCell ref="G39:L40"/>
    <mergeCell ref="C40:C42"/>
    <mergeCell ref="D40:F42"/>
    <mergeCell ref="G41:J41"/>
    <mergeCell ref="K41:L41"/>
    <mergeCell ref="G42:J42"/>
    <mergeCell ref="K42:L42"/>
    <mergeCell ref="C43:C44"/>
    <mergeCell ref="D43:F44"/>
    <mergeCell ref="G43:J43"/>
    <mergeCell ref="K43:L43"/>
    <mergeCell ref="G44:J44"/>
    <mergeCell ref="K44:L44"/>
    <mergeCell ref="C45:C48"/>
    <mergeCell ref="D45:F48"/>
    <mergeCell ref="G45:J48"/>
    <mergeCell ref="K45:L45"/>
    <mergeCell ref="B46:B48"/>
    <mergeCell ref="K46:L4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topLeftCell="A32" zoomScale="90" zoomScaleNormal="90" workbookViewId="0">
      <selection activeCell="B4" sqref="B4:L48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2" t="s">
        <v>24</v>
      </c>
      <c r="C4" s="41" t="s">
        <v>69</v>
      </c>
      <c r="D4" s="83" t="s">
        <v>153</v>
      </c>
      <c r="E4" s="83" t="s">
        <v>154</v>
      </c>
      <c r="F4" s="83" t="s">
        <v>155</v>
      </c>
      <c r="G4" s="83" t="s">
        <v>25</v>
      </c>
      <c r="H4" s="82" t="s">
        <v>26</v>
      </c>
      <c r="I4" s="167" t="s">
        <v>27</v>
      </c>
      <c r="J4" s="168"/>
      <c r="K4" s="83" t="s">
        <v>21</v>
      </c>
      <c r="L4" s="83" t="s">
        <v>28</v>
      </c>
      <c r="M4" s="16"/>
      <c r="N4" s="16"/>
      <c r="O4" s="16"/>
      <c r="P4" s="16"/>
    </row>
    <row r="5" spans="2:16" ht="43.5" customHeight="1" thickBot="1" x14ac:dyDescent="0.3">
      <c r="B5" s="84" t="s">
        <v>70</v>
      </c>
      <c r="C5" s="43" t="s">
        <v>75</v>
      </c>
      <c r="D5" s="44">
        <v>9</v>
      </c>
      <c r="E5" s="44">
        <v>9</v>
      </c>
      <c r="F5" s="44"/>
      <c r="G5" s="18">
        <v>3</v>
      </c>
      <c r="H5" s="19">
        <f>D5*G5</f>
        <v>27</v>
      </c>
      <c r="I5" s="153">
        <v>14</v>
      </c>
      <c r="J5" s="154">
        <v>14</v>
      </c>
      <c r="K5" s="46" t="s">
        <v>141</v>
      </c>
      <c r="L5" s="17" t="str">
        <f>IF(D5&lt;10,"D",IF(D5&lt;12,"C",IF(D5&lt;14,"C+",IF(D5&lt;15,"B",IF(D5&lt;16,"B+",IF(D5&lt;18,"A",IF(D5&lt;20,"A+")))))))</f>
        <v>D</v>
      </c>
      <c r="M5" s="16"/>
      <c r="N5" s="16"/>
      <c r="O5" s="20">
        <f>E5*G5</f>
        <v>27</v>
      </c>
      <c r="P5" s="20">
        <f>F5*G5</f>
        <v>0</v>
      </c>
    </row>
    <row r="6" spans="2:16" ht="32.25" thickBot="1" x14ac:dyDescent="0.3">
      <c r="B6" s="84" t="s">
        <v>121</v>
      </c>
      <c r="C6" s="43" t="s">
        <v>76</v>
      </c>
      <c r="D6" s="44">
        <v>10</v>
      </c>
      <c r="E6" s="44">
        <v>10</v>
      </c>
      <c r="F6" s="44"/>
      <c r="G6" s="18">
        <v>1</v>
      </c>
      <c r="H6" s="19">
        <f t="shared" ref="H6:H9" si="0">D6*G6</f>
        <v>10</v>
      </c>
      <c r="I6" s="153">
        <v>7.75</v>
      </c>
      <c r="J6" s="154">
        <v>7.75</v>
      </c>
      <c r="K6" s="46" t="s">
        <v>141</v>
      </c>
      <c r="L6" s="17" t="str">
        <f t="shared" ref="L6:L9" si="1">IF(D6&lt;10,"D",IF(D6&lt;12,"C",IF(D6&lt;14,"C+",IF(D6&lt;15,"B",IF(D6&lt;16,"B+",IF(D6&lt;18,"A",IF(D6&lt;20,"A+")))))))</f>
        <v>C</v>
      </c>
      <c r="M6" s="16"/>
      <c r="N6" s="16"/>
      <c r="O6" s="20">
        <f t="shared" ref="O6:O9" si="2">E6*G6</f>
        <v>10</v>
      </c>
      <c r="P6" s="20">
        <f t="shared" ref="P6:P9" si="3">F6*G6</f>
        <v>0</v>
      </c>
    </row>
    <row r="7" spans="2:16" ht="32.25" thickBot="1" x14ac:dyDescent="0.3">
      <c r="B7" s="84" t="s">
        <v>122</v>
      </c>
      <c r="C7" s="43" t="s">
        <v>77</v>
      </c>
      <c r="D7" s="44">
        <v>9.5</v>
      </c>
      <c r="E7" s="44">
        <v>9.5</v>
      </c>
      <c r="F7" s="44"/>
      <c r="G7" s="18">
        <v>2</v>
      </c>
      <c r="H7" s="19">
        <f t="shared" si="0"/>
        <v>19</v>
      </c>
      <c r="I7" s="153">
        <v>11.375</v>
      </c>
      <c r="J7" s="154">
        <v>11.375</v>
      </c>
      <c r="K7" s="46" t="s">
        <v>139</v>
      </c>
      <c r="L7" s="17" t="str">
        <f t="shared" si="1"/>
        <v>D</v>
      </c>
      <c r="M7" s="16"/>
      <c r="N7" s="16"/>
      <c r="O7" s="20">
        <f t="shared" si="2"/>
        <v>19</v>
      </c>
      <c r="P7" s="20">
        <f t="shared" si="3"/>
        <v>0</v>
      </c>
    </row>
    <row r="8" spans="2:16" ht="39" thickBot="1" x14ac:dyDescent="0.3">
      <c r="B8" s="84" t="s">
        <v>123</v>
      </c>
      <c r="C8" s="43" t="s">
        <v>78</v>
      </c>
      <c r="D8" s="44">
        <v>6</v>
      </c>
      <c r="E8" s="44">
        <v>6</v>
      </c>
      <c r="F8" s="44"/>
      <c r="G8" s="18">
        <v>2</v>
      </c>
      <c r="H8" s="19">
        <f t="shared" si="0"/>
        <v>12</v>
      </c>
      <c r="I8" s="153">
        <v>12.5</v>
      </c>
      <c r="J8" s="154">
        <v>12.5</v>
      </c>
      <c r="K8" s="46" t="s">
        <v>142</v>
      </c>
      <c r="L8" s="17" t="str">
        <f t="shared" si="1"/>
        <v>D</v>
      </c>
      <c r="M8" s="16"/>
      <c r="N8" s="16"/>
      <c r="O8" s="20">
        <f t="shared" si="2"/>
        <v>12</v>
      </c>
      <c r="P8" s="20">
        <f t="shared" si="3"/>
        <v>0</v>
      </c>
    </row>
    <row r="9" spans="2:16" ht="39" thickBot="1" x14ac:dyDescent="0.3">
      <c r="B9" s="84" t="s">
        <v>124</v>
      </c>
      <c r="C9" s="43" t="s">
        <v>78</v>
      </c>
      <c r="D9" s="44">
        <v>15</v>
      </c>
      <c r="E9" s="44">
        <v>15</v>
      </c>
      <c r="F9" s="44"/>
      <c r="G9" s="18">
        <v>1</v>
      </c>
      <c r="H9" s="19">
        <f t="shared" si="0"/>
        <v>15</v>
      </c>
      <c r="I9" s="153">
        <v>16</v>
      </c>
      <c r="J9" s="154">
        <v>16</v>
      </c>
      <c r="K9" s="46" t="s">
        <v>142</v>
      </c>
      <c r="L9" s="17" t="str">
        <f t="shared" si="1"/>
        <v>B+</v>
      </c>
      <c r="M9" s="16"/>
      <c r="N9" s="16"/>
      <c r="O9" s="20">
        <f t="shared" si="2"/>
        <v>15</v>
      </c>
      <c r="P9" s="20">
        <f t="shared" si="3"/>
        <v>0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9.2222222222222214</v>
      </c>
      <c r="E11" s="158"/>
      <c r="F11" s="158"/>
      <c r="G11" s="159" t="s">
        <v>30</v>
      </c>
      <c r="H11" s="159"/>
      <c r="I11" s="85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84" t="s">
        <v>125</v>
      </c>
      <c r="C13" s="43" t="s">
        <v>79</v>
      </c>
      <c r="D13" s="44">
        <v>6</v>
      </c>
      <c r="E13" s="44">
        <v>6</v>
      </c>
      <c r="F13" s="44"/>
      <c r="G13" s="18">
        <v>2</v>
      </c>
      <c r="H13" s="19">
        <f t="shared" ref="H13:H16" si="4">D13*G13</f>
        <v>12</v>
      </c>
      <c r="I13" s="153">
        <v>16.75</v>
      </c>
      <c r="J13" s="154">
        <v>16.75</v>
      </c>
      <c r="K13" s="46" t="s">
        <v>142</v>
      </c>
      <c r="L13" s="17" t="str">
        <f t="shared" ref="L13:L16" si="5">IF(D13&lt;10,"D",IF(D13&lt;12,"C",IF(D13&lt;14,"C+",IF(D13&lt;15,"B",IF(D13&lt;16,"B+",IF(D13&lt;18,"A",IF(D13&lt;20,"A+")))))))</f>
        <v>D</v>
      </c>
      <c r="M13" s="16"/>
      <c r="N13" s="16"/>
      <c r="O13" s="20">
        <f t="shared" ref="O13:O16" si="6">E13*G13</f>
        <v>12</v>
      </c>
      <c r="P13" s="20">
        <f t="shared" ref="P13:P16" si="7">F13*G13</f>
        <v>0</v>
      </c>
    </row>
    <row r="14" spans="2:16" ht="48" thickBot="1" x14ac:dyDescent="0.3">
      <c r="B14" s="84" t="s">
        <v>126</v>
      </c>
      <c r="C14" s="45" t="s">
        <v>80</v>
      </c>
      <c r="D14" s="44">
        <v>10</v>
      </c>
      <c r="E14" s="44">
        <v>10</v>
      </c>
      <c r="F14" s="44"/>
      <c r="G14" s="18">
        <v>2</v>
      </c>
      <c r="H14" s="19">
        <f t="shared" si="4"/>
        <v>20</v>
      </c>
      <c r="I14" s="153">
        <v>11.75</v>
      </c>
      <c r="J14" s="154">
        <v>11.75</v>
      </c>
      <c r="K14" s="46" t="s">
        <v>140</v>
      </c>
      <c r="L14" s="17" t="str">
        <f t="shared" si="5"/>
        <v>C</v>
      </c>
      <c r="M14" s="16"/>
      <c r="N14" s="16"/>
      <c r="O14" s="20">
        <f t="shared" si="6"/>
        <v>20</v>
      </c>
      <c r="P14" s="20">
        <f t="shared" si="7"/>
        <v>0</v>
      </c>
    </row>
    <row r="15" spans="2:16" ht="37.5" customHeight="1" thickBot="1" x14ac:dyDescent="0.3">
      <c r="B15" s="84" t="s">
        <v>127</v>
      </c>
      <c r="C15" s="45" t="s">
        <v>81</v>
      </c>
      <c r="D15" s="44">
        <v>7</v>
      </c>
      <c r="E15" s="44">
        <v>7</v>
      </c>
      <c r="F15" s="44"/>
      <c r="G15" s="18">
        <v>2</v>
      </c>
      <c r="H15" s="19">
        <f t="shared" si="4"/>
        <v>14</v>
      </c>
      <c r="I15" s="153">
        <v>11.75</v>
      </c>
      <c r="J15" s="154">
        <v>11.75</v>
      </c>
      <c r="K15" s="46" t="s">
        <v>142</v>
      </c>
      <c r="L15" s="17" t="str">
        <f t="shared" si="5"/>
        <v>D</v>
      </c>
      <c r="M15" s="16"/>
      <c r="N15" s="16"/>
      <c r="O15" s="20">
        <f t="shared" si="6"/>
        <v>14</v>
      </c>
      <c r="P15" s="20">
        <f t="shared" si="7"/>
        <v>0</v>
      </c>
    </row>
    <row r="16" spans="2:16" ht="32.25" thickBot="1" x14ac:dyDescent="0.3">
      <c r="B16" s="84" t="s">
        <v>128</v>
      </c>
      <c r="C16" s="42" t="s">
        <v>73</v>
      </c>
      <c r="D16" s="17">
        <v>4</v>
      </c>
      <c r="E16" s="17">
        <v>4</v>
      </c>
      <c r="F16" s="17"/>
      <c r="G16" s="18">
        <v>1</v>
      </c>
      <c r="H16" s="19">
        <f t="shared" si="4"/>
        <v>4</v>
      </c>
      <c r="I16" s="153">
        <v>7.75</v>
      </c>
      <c r="J16" s="154"/>
      <c r="K16" s="46" t="s">
        <v>135</v>
      </c>
      <c r="L16" s="17" t="str">
        <f t="shared" si="5"/>
        <v>D</v>
      </c>
      <c r="M16" s="16"/>
      <c r="N16" s="16"/>
      <c r="O16" s="20">
        <f t="shared" si="6"/>
        <v>4</v>
      </c>
      <c r="P16" s="20">
        <f t="shared" si="7"/>
        <v>0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7.1428571428571432</v>
      </c>
      <c r="E18" s="158"/>
      <c r="F18" s="158"/>
      <c r="G18" s="159" t="s">
        <v>30</v>
      </c>
      <c r="H18" s="159"/>
      <c r="I18" s="85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84" t="s">
        <v>71</v>
      </c>
      <c r="C20" s="45" t="s">
        <v>82</v>
      </c>
      <c r="D20" s="44">
        <v>6</v>
      </c>
      <c r="E20" s="44">
        <v>6</v>
      </c>
      <c r="F20" s="44"/>
      <c r="G20" s="18">
        <v>2</v>
      </c>
      <c r="H20" s="19">
        <f t="shared" ref="H20:H22" si="8">D20*G20</f>
        <v>12</v>
      </c>
      <c r="I20" s="153">
        <v>14.75</v>
      </c>
      <c r="J20" s="154">
        <v>14.75</v>
      </c>
      <c r="K20" s="46" t="s">
        <v>142</v>
      </c>
      <c r="L20" s="17" t="str">
        <f t="shared" ref="L20:L22" si="9">IF(D20&lt;10,"D",IF(D20&lt;12,"C",IF(D20&lt;14,"C+",IF(D20&lt;15,"B",IF(D20&lt;16,"B+",IF(D20&lt;18,"A",IF(D20&lt;20,"A+")))))))</f>
        <v>D</v>
      </c>
      <c r="M20" s="16"/>
      <c r="N20" s="16"/>
      <c r="O20" s="20">
        <f t="shared" ref="O20:O22" si="10">E20*G20</f>
        <v>12</v>
      </c>
      <c r="P20" s="20">
        <f t="shared" ref="P20:P22" si="11">F20*G20</f>
        <v>0</v>
      </c>
    </row>
    <row r="21" spans="2:16" ht="64.5" thickBot="1" x14ac:dyDescent="0.3">
      <c r="B21" s="84" t="s">
        <v>129</v>
      </c>
      <c r="C21" s="45" t="s">
        <v>83</v>
      </c>
      <c r="D21" s="44">
        <v>8</v>
      </c>
      <c r="E21" s="44">
        <v>8</v>
      </c>
      <c r="F21" s="44"/>
      <c r="G21" s="18">
        <v>4</v>
      </c>
      <c r="H21" s="19">
        <f t="shared" si="8"/>
        <v>32</v>
      </c>
      <c r="I21" s="153">
        <v>5.5</v>
      </c>
      <c r="J21" s="154">
        <v>5.5</v>
      </c>
      <c r="K21" s="46" t="s">
        <v>138</v>
      </c>
      <c r="L21" s="17" t="str">
        <f t="shared" si="9"/>
        <v>D</v>
      </c>
      <c r="M21" s="16"/>
      <c r="N21" s="16"/>
      <c r="O21" s="20">
        <f t="shared" si="10"/>
        <v>32</v>
      </c>
      <c r="P21" s="20">
        <f t="shared" si="11"/>
        <v>0</v>
      </c>
    </row>
    <row r="22" spans="2:16" ht="64.5" thickBot="1" x14ac:dyDescent="0.3">
      <c r="B22" s="84" t="s">
        <v>130</v>
      </c>
      <c r="C22" s="45" t="s">
        <v>84</v>
      </c>
      <c r="D22" s="44">
        <v>9</v>
      </c>
      <c r="E22" s="44">
        <v>9</v>
      </c>
      <c r="F22" s="44"/>
      <c r="G22" s="18">
        <v>2</v>
      </c>
      <c r="H22" s="19">
        <f t="shared" si="8"/>
        <v>18</v>
      </c>
      <c r="I22" s="153">
        <v>14.375</v>
      </c>
      <c r="J22" s="154">
        <v>14.375</v>
      </c>
      <c r="K22" s="46" t="s">
        <v>142</v>
      </c>
      <c r="L22" s="17" t="str">
        <f t="shared" si="9"/>
        <v>D</v>
      </c>
      <c r="M22" s="16"/>
      <c r="N22" s="16"/>
      <c r="O22" s="20">
        <f t="shared" si="10"/>
        <v>18</v>
      </c>
      <c r="P22" s="20">
        <f t="shared" si="11"/>
        <v>0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7.75</v>
      </c>
      <c r="E24" s="158"/>
      <c r="F24" s="158"/>
      <c r="G24" s="159" t="s">
        <v>30</v>
      </c>
      <c r="H24" s="159"/>
      <c r="I24" s="85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84" t="s">
        <v>131</v>
      </c>
      <c r="C26" s="43" t="s">
        <v>74</v>
      </c>
      <c r="D26" s="44">
        <v>11</v>
      </c>
      <c r="E26" s="44">
        <v>11</v>
      </c>
      <c r="F26" s="44"/>
      <c r="G26" s="18">
        <v>1</v>
      </c>
      <c r="H26" s="19">
        <f t="shared" ref="H26:H29" si="12">D26*G26</f>
        <v>11</v>
      </c>
      <c r="I26" s="153">
        <v>12.5</v>
      </c>
      <c r="J26" s="154">
        <v>12.5</v>
      </c>
      <c r="K26" s="46" t="s">
        <v>142</v>
      </c>
      <c r="L26" s="17" t="str">
        <f t="shared" ref="L26:L28" si="13">IF(D26&lt;10,"D",IF(D26&lt;12,"C",IF(D26&lt;14,"C+",IF(D26&lt;15,"B",IF(D26&lt;16,"B+",IF(D26&lt;18,"A",IF(D26&lt;20,"A+")))))))</f>
        <v>C</v>
      </c>
      <c r="M26" s="16"/>
      <c r="N26" s="16"/>
      <c r="O26" s="20">
        <f t="shared" ref="O26:O29" si="14">E26*G26</f>
        <v>11</v>
      </c>
      <c r="P26" s="20">
        <f t="shared" ref="P26:P29" si="15">F26*G26</f>
        <v>0</v>
      </c>
    </row>
    <row r="27" spans="2:16" ht="32.25" thickBot="1" x14ac:dyDescent="0.3">
      <c r="B27" s="84" t="s">
        <v>72</v>
      </c>
      <c r="C27" s="45" t="s">
        <v>85</v>
      </c>
      <c r="D27" s="44">
        <v>15</v>
      </c>
      <c r="E27" s="44">
        <v>15</v>
      </c>
      <c r="F27" s="44"/>
      <c r="G27" s="18">
        <v>2</v>
      </c>
      <c r="H27" s="19">
        <f>D27*G27</f>
        <v>30</v>
      </c>
      <c r="I27" s="153">
        <v>16</v>
      </c>
      <c r="J27" s="154">
        <v>16</v>
      </c>
      <c r="K27" s="46" t="s">
        <v>141</v>
      </c>
      <c r="L27" s="17" t="str">
        <f t="shared" si="13"/>
        <v>B+</v>
      </c>
      <c r="M27" s="16"/>
      <c r="N27" s="16"/>
      <c r="O27" s="20">
        <f t="shared" si="14"/>
        <v>30</v>
      </c>
      <c r="P27" s="20">
        <f t="shared" si="15"/>
        <v>0</v>
      </c>
    </row>
    <row r="28" spans="2:16" ht="39.75" customHeight="1" thickBot="1" x14ac:dyDescent="0.3">
      <c r="B28" s="84" t="s">
        <v>132</v>
      </c>
      <c r="C28" s="45" t="s">
        <v>86</v>
      </c>
      <c r="D28" s="44">
        <v>16</v>
      </c>
      <c r="E28" s="44">
        <v>16</v>
      </c>
      <c r="F28" s="44"/>
      <c r="G28" s="18">
        <v>1</v>
      </c>
      <c r="H28" s="19">
        <f t="shared" si="12"/>
        <v>16</v>
      </c>
      <c r="I28" s="153">
        <v>13.375</v>
      </c>
      <c r="J28" s="154">
        <v>13.375</v>
      </c>
      <c r="K28" s="46" t="s">
        <v>142</v>
      </c>
      <c r="L28" s="17" t="str">
        <f t="shared" si="13"/>
        <v>A</v>
      </c>
      <c r="M28" s="16"/>
      <c r="N28" s="16"/>
      <c r="O28" s="20">
        <f t="shared" si="14"/>
        <v>16</v>
      </c>
      <c r="P28" s="20">
        <f t="shared" si="15"/>
        <v>0</v>
      </c>
    </row>
    <row r="29" spans="2:16" ht="39" thickBot="1" x14ac:dyDescent="0.3">
      <c r="B29" s="84" t="s">
        <v>133</v>
      </c>
      <c r="C29" s="45" t="s">
        <v>87</v>
      </c>
      <c r="D29" s="17">
        <v>16</v>
      </c>
      <c r="E29" s="17">
        <v>16</v>
      </c>
      <c r="F29" s="17"/>
      <c r="G29" s="18">
        <v>1</v>
      </c>
      <c r="H29" s="19">
        <f t="shared" si="12"/>
        <v>16</v>
      </c>
      <c r="I29" s="153">
        <v>17</v>
      </c>
      <c r="J29" s="154"/>
      <c r="K29" s="46" t="s">
        <v>142</v>
      </c>
      <c r="L29" s="17" t="str">
        <f>IF(D29&lt;10,"D",IF(D29&lt;12,"C",IF(D29&lt;14,"C+",IF(D29&lt;15,"B",IF(D29&lt;16,"B+",IF(D29&lt;18,"A",IF(D29&lt;20,"A+")))))))</f>
        <v>A</v>
      </c>
      <c r="M29" s="16"/>
      <c r="N29" s="16"/>
      <c r="O29" s="20">
        <f t="shared" si="14"/>
        <v>16</v>
      </c>
      <c r="P29" s="20">
        <f t="shared" si="15"/>
        <v>0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268</v>
      </c>
      <c r="P30" s="16">
        <f>SUM(P5:P29)</f>
        <v>0</v>
      </c>
    </row>
    <row r="31" spans="2:16" ht="16.5" thickBot="1" x14ac:dyDescent="0.3">
      <c r="B31" s="25" t="s">
        <v>32</v>
      </c>
      <c r="C31" s="40"/>
      <c r="D31" s="158">
        <f>(SUM(H26:H29)/SUM(G26:G29))</f>
        <v>14.6</v>
      </c>
      <c r="E31" s="158"/>
      <c r="F31" s="158"/>
      <c r="G31" s="182" t="s">
        <v>30</v>
      </c>
      <c r="H31" s="182"/>
      <c r="I31" s="81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9.2413793103448274</v>
      </c>
      <c r="P32" s="16">
        <f>P30/P31</f>
        <v>0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>
        <f>O32</f>
        <v>9.2413793103448274</v>
      </c>
      <c r="E35" s="73"/>
      <c r="F35" s="74" t="s">
        <v>156</v>
      </c>
      <c r="G35" s="75">
        <f>(H5+H6+H7+H8+H9+H13+H14+H15+H16+H20+H21+H22+H26+H27+H28+H29)/29</f>
        <v>9.2413793103448274</v>
      </c>
      <c r="H35" s="72" t="s">
        <v>40</v>
      </c>
      <c r="I35" s="151" t="s">
        <v>41</v>
      </c>
      <c r="J35" s="152"/>
      <c r="K35" s="30" t="s">
        <v>113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CNA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I13:J13"/>
    <mergeCell ref="I4:J4"/>
    <mergeCell ref="I5:J5"/>
    <mergeCell ref="I6:J6"/>
    <mergeCell ref="I7:J7"/>
    <mergeCell ref="I8:J8"/>
    <mergeCell ref="I9:J9"/>
    <mergeCell ref="B10:L10"/>
    <mergeCell ref="D11:F11"/>
    <mergeCell ref="G11:H11"/>
    <mergeCell ref="J11:L11"/>
    <mergeCell ref="B12:L12"/>
    <mergeCell ref="D24:F24"/>
    <mergeCell ref="G24:H24"/>
    <mergeCell ref="J24:L24"/>
    <mergeCell ref="I14:J14"/>
    <mergeCell ref="I15:J15"/>
    <mergeCell ref="I16:J16"/>
    <mergeCell ref="B17:L17"/>
    <mergeCell ref="D18:F18"/>
    <mergeCell ref="G18:H18"/>
    <mergeCell ref="J18:L18"/>
    <mergeCell ref="B19:L19"/>
    <mergeCell ref="I20:J20"/>
    <mergeCell ref="I21:J21"/>
    <mergeCell ref="I22:J22"/>
    <mergeCell ref="B23:L23"/>
    <mergeCell ref="I35:J35"/>
    <mergeCell ref="B25:L25"/>
    <mergeCell ref="I26:J26"/>
    <mergeCell ref="I27:J27"/>
    <mergeCell ref="I28:J28"/>
    <mergeCell ref="I29:J29"/>
    <mergeCell ref="D31:F31"/>
    <mergeCell ref="G31:H31"/>
    <mergeCell ref="J31:L31"/>
    <mergeCell ref="B32:L32"/>
    <mergeCell ref="B33:C33"/>
    <mergeCell ref="G33:H33"/>
    <mergeCell ref="J33:K33"/>
    <mergeCell ref="I34:L34"/>
    <mergeCell ref="B36:H36"/>
    <mergeCell ref="I36:L36"/>
    <mergeCell ref="B37:L37"/>
    <mergeCell ref="B38:L38"/>
    <mergeCell ref="D39:F39"/>
    <mergeCell ref="G39:L40"/>
    <mergeCell ref="C40:C42"/>
    <mergeCell ref="D40:F42"/>
    <mergeCell ref="G41:J41"/>
    <mergeCell ref="K41:L41"/>
    <mergeCell ref="G42:J42"/>
    <mergeCell ref="K42:L42"/>
    <mergeCell ref="C43:C44"/>
    <mergeCell ref="D43:F44"/>
    <mergeCell ref="G43:J43"/>
    <mergeCell ref="K43:L43"/>
    <mergeCell ref="G44:J44"/>
    <mergeCell ref="K44:L44"/>
    <mergeCell ref="C45:C48"/>
    <mergeCell ref="D45:F48"/>
    <mergeCell ref="G45:J48"/>
    <mergeCell ref="K45:L45"/>
    <mergeCell ref="B46:B48"/>
    <mergeCell ref="K46:L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tabSelected="1" topLeftCell="C29" zoomScale="90" zoomScaleNormal="90" workbookViewId="0">
      <selection activeCell="B4" sqref="B4:L48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2" t="s">
        <v>24</v>
      </c>
      <c r="C4" s="41" t="s">
        <v>69</v>
      </c>
      <c r="D4" s="83" t="s">
        <v>153</v>
      </c>
      <c r="E4" s="83" t="s">
        <v>154</v>
      </c>
      <c r="F4" s="83" t="s">
        <v>155</v>
      </c>
      <c r="G4" s="83" t="s">
        <v>25</v>
      </c>
      <c r="H4" s="82" t="s">
        <v>26</v>
      </c>
      <c r="I4" s="167" t="s">
        <v>27</v>
      </c>
      <c r="J4" s="168"/>
      <c r="K4" s="83" t="s">
        <v>21</v>
      </c>
      <c r="L4" s="83" t="s">
        <v>28</v>
      </c>
      <c r="M4" s="16"/>
      <c r="N4" s="16"/>
      <c r="O4" s="16"/>
      <c r="P4" s="16"/>
    </row>
    <row r="5" spans="2:16" ht="43.5" customHeight="1" thickBot="1" x14ac:dyDescent="0.3">
      <c r="B5" s="84" t="s">
        <v>70</v>
      </c>
      <c r="C5" s="43" t="s">
        <v>75</v>
      </c>
      <c r="D5" s="44">
        <v>11</v>
      </c>
      <c r="E5" s="44"/>
      <c r="F5" s="44">
        <v>11</v>
      </c>
      <c r="G5" s="18">
        <v>3</v>
      </c>
      <c r="H5" s="19">
        <f>D5*G5</f>
        <v>33</v>
      </c>
      <c r="I5" s="153">
        <v>14</v>
      </c>
      <c r="J5" s="154">
        <v>14</v>
      </c>
      <c r="K5" s="46" t="s">
        <v>135</v>
      </c>
      <c r="L5" s="17" t="str">
        <f>IF(D5&lt;10,"D",IF(D5&lt;12,"C",IF(D5&lt;14,"C+",IF(D5&lt;15,"B",IF(D5&lt;16,"B+",IF(D5&lt;18,"A",IF(D5&lt;20,"A+")))))))</f>
        <v>C</v>
      </c>
      <c r="M5" s="16"/>
      <c r="N5" s="16"/>
      <c r="O5" s="20">
        <f>E5*G5</f>
        <v>0</v>
      </c>
      <c r="P5" s="20">
        <f>F5*G5</f>
        <v>33</v>
      </c>
    </row>
    <row r="6" spans="2:16" ht="32.25" thickBot="1" x14ac:dyDescent="0.3">
      <c r="B6" s="84" t="s">
        <v>121</v>
      </c>
      <c r="C6" s="43" t="s">
        <v>76</v>
      </c>
      <c r="D6" s="44">
        <v>5</v>
      </c>
      <c r="E6" s="44"/>
      <c r="F6" s="44">
        <v>5</v>
      </c>
      <c r="G6" s="18">
        <v>1</v>
      </c>
      <c r="H6" s="19">
        <f t="shared" ref="H6:H9" si="0">D6*G6</f>
        <v>5</v>
      </c>
      <c r="I6" s="153">
        <v>7.75</v>
      </c>
      <c r="J6" s="154">
        <v>7.75</v>
      </c>
      <c r="K6" s="46" t="s">
        <v>140</v>
      </c>
      <c r="L6" s="17" t="str">
        <f t="shared" ref="L6:L9" si="1">IF(D6&lt;10,"D",IF(D6&lt;12,"C",IF(D6&lt;14,"C+",IF(D6&lt;15,"B",IF(D6&lt;16,"B+",IF(D6&lt;18,"A",IF(D6&lt;20,"A+")))))))</f>
        <v>D</v>
      </c>
      <c r="M6" s="16"/>
      <c r="N6" s="16"/>
      <c r="O6" s="20">
        <f t="shared" ref="O6:O9" si="2">E6*G6</f>
        <v>0</v>
      </c>
      <c r="P6" s="20">
        <f t="shared" ref="P6:P9" si="3">F6*G6</f>
        <v>5</v>
      </c>
    </row>
    <row r="7" spans="2:16" ht="32.25" thickBot="1" x14ac:dyDescent="0.3">
      <c r="B7" s="84" t="s">
        <v>122</v>
      </c>
      <c r="C7" s="43" t="s">
        <v>77</v>
      </c>
      <c r="D7" s="44">
        <v>11.5</v>
      </c>
      <c r="E7" s="44"/>
      <c r="F7" s="44">
        <v>11.5</v>
      </c>
      <c r="G7" s="18">
        <v>2</v>
      </c>
      <c r="H7" s="19">
        <f t="shared" si="0"/>
        <v>23</v>
      </c>
      <c r="I7" s="153">
        <v>11.375</v>
      </c>
      <c r="J7" s="154">
        <v>11.375</v>
      </c>
      <c r="K7" s="46" t="s">
        <v>138</v>
      </c>
      <c r="L7" s="17" t="str">
        <f t="shared" si="1"/>
        <v>C</v>
      </c>
      <c r="M7" s="16"/>
      <c r="N7" s="16"/>
      <c r="O7" s="20">
        <f t="shared" si="2"/>
        <v>0</v>
      </c>
      <c r="P7" s="20">
        <f t="shared" si="3"/>
        <v>23</v>
      </c>
    </row>
    <row r="8" spans="2:16" ht="39" thickBot="1" x14ac:dyDescent="0.3">
      <c r="B8" s="84" t="s">
        <v>123</v>
      </c>
      <c r="C8" s="43" t="s">
        <v>78</v>
      </c>
      <c r="D8" s="44">
        <v>10</v>
      </c>
      <c r="E8" s="44"/>
      <c r="F8" s="44">
        <v>10</v>
      </c>
      <c r="G8" s="18">
        <v>2</v>
      </c>
      <c r="H8" s="19">
        <f t="shared" si="0"/>
        <v>20</v>
      </c>
      <c r="I8" s="153">
        <v>12.5</v>
      </c>
      <c r="J8" s="154">
        <v>12.5</v>
      </c>
      <c r="K8" s="46" t="s">
        <v>135</v>
      </c>
      <c r="L8" s="17" t="str">
        <f t="shared" si="1"/>
        <v>C</v>
      </c>
      <c r="M8" s="16"/>
      <c r="N8" s="16"/>
      <c r="O8" s="20">
        <f t="shared" si="2"/>
        <v>0</v>
      </c>
      <c r="P8" s="20">
        <f t="shared" si="3"/>
        <v>20</v>
      </c>
    </row>
    <row r="9" spans="2:16" ht="39" thickBot="1" x14ac:dyDescent="0.3">
      <c r="B9" s="84" t="s">
        <v>124</v>
      </c>
      <c r="C9" s="43" t="s">
        <v>78</v>
      </c>
      <c r="D9" s="44">
        <v>16</v>
      </c>
      <c r="E9" s="44"/>
      <c r="F9" s="44">
        <v>16</v>
      </c>
      <c r="G9" s="18">
        <v>1</v>
      </c>
      <c r="H9" s="19">
        <f t="shared" si="0"/>
        <v>16</v>
      </c>
      <c r="I9" s="153">
        <v>16</v>
      </c>
      <c r="J9" s="154">
        <v>16</v>
      </c>
      <c r="K9" s="46" t="s">
        <v>136</v>
      </c>
      <c r="L9" s="17" t="str">
        <f t="shared" si="1"/>
        <v>A</v>
      </c>
      <c r="M9" s="16"/>
      <c r="N9" s="16"/>
      <c r="O9" s="20">
        <f t="shared" si="2"/>
        <v>0</v>
      </c>
      <c r="P9" s="20">
        <f t="shared" si="3"/>
        <v>16</v>
      </c>
    </row>
    <row r="10" spans="2:16" ht="16.5" thickBot="1" x14ac:dyDescent="0.3">
      <c r="B10" s="155" t="s">
        <v>137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7"/>
      <c r="M10" s="16"/>
      <c r="N10" s="16"/>
      <c r="O10" s="16"/>
      <c r="P10" s="16"/>
    </row>
    <row r="11" spans="2:16" ht="16.5" thickBot="1" x14ac:dyDescent="0.3">
      <c r="B11" s="21" t="s">
        <v>29</v>
      </c>
      <c r="C11" s="39"/>
      <c r="D11" s="158">
        <f>(SUM(H5:H9)/SUM(G5:G9))</f>
        <v>10.777777777777779</v>
      </c>
      <c r="E11" s="158"/>
      <c r="F11" s="158"/>
      <c r="G11" s="159" t="s">
        <v>30</v>
      </c>
      <c r="H11" s="159"/>
      <c r="I11" s="85"/>
      <c r="J11" s="150"/>
      <c r="K11" s="150"/>
      <c r="L11" s="160"/>
      <c r="M11" s="16"/>
      <c r="N11" s="16"/>
      <c r="O11" s="16"/>
      <c r="P11" s="16"/>
    </row>
    <row r="12" spans="2:16" ht="16.5" thickBot="1" x14ac:dyDescent="0.3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6"/>
      <c r="N12" s="16"/>
      <c r="O12" s="16"/>
      <c r="P12" s="16"/>
    </row>
    <row r="13" spans="2:16" ht="32.25" thickBot="1" x14ac:dyDescent="0.3">
      <c r="B13" s="84" t="s">
        <v>125</v>
      </c>
      <c r="C13" s="43" t="s">
        <v>79</v>
      </c>
      <c r="D13" s="44">
        <v>15</v>
      </c>
      <c r="E13" s="44"/>
      <c r="F13" s="44">
        <v>15</v>
      </c>
      <c r="G13" s="18">
        <v>2</v>
      </c>
      <c r="H13" s="19">
        <f t="shared" ref="H13:H16" si="4">D13*G13</f>
        <v>30</v>
      </c>
      <c r="I13" s="153">
        <v>16.75</v>
      </c>
      <c r="J13" s="154">
        <v>16.75</v>
      </c>
      <c r="K13" s="46" t="s">
        <v>138</v>
      </c>
      <c r="L13" s="17" t="str">
        <f t="shared" ref="L13:L16" si="5">IF(D13&lt;10,"D",IF(D13&lt;12,"C",IF(D13&lt;14,"C+",IF(D13&lt;15,"B",IF(D13&lt;16,"B+",IF(D13&lt;18,"A",IF(D13&lt;20,"A+")))))))</f>
        <v>B+</v>
      </c>
      <c r="M13" s="16"/>
      <c r="N13" s="16"/>
      <c r="O13" s="20">
        <f t="shared" ref="O13:O16" si="6">E13*G13</f>
        <v>0</v>
      </c>
      <c r="P13" s="20">
        <f t="shared" ref="P13:P16" si="7">F13*G13</f>
        <v>30</v>
      </c>
    </row>
    <row r="14" spans="2:16" ht="48" thickBot="1" x14ac:dyDescent="0.3">
      <c r="B14" s="84" t="s">
        <v>126</v>
      </c>
      <c r="C14" s="45" t="s">
        <v>80</v>
      </c>
      <c r="D14" s="44">
        <v>5</v>
      </c>
      <c r="E14" s="44"/>
      <c r="F14" s="44">
        <v>5</v>
      </c>
      <c r="G14" s="18">
        <v>2</v>
      </c>
      <c r="H14" s="19">
        <f t="shared" si="4"/>
        <v>10</v>
      </c>
      <c r="I14" s="153">
        <v>11.75</v>
      </c>
      <c r="J14" s="154">
        <v>11.75</v>
      </c>
      <c r="K14" s="46" t="s">
        <v>142</v>
      </c>
      <c r="L14" s="17" t="str">
        <f t="shared" si="5"/>
        <v>D</v>
      </c>
      <c r="M14" s="16"/>
      <c r="N14" s="16"/>
      <c r="O14" s="20">
        <f t="shared" si="6"/>
        <v>0</v>
      </c>
      <c r="P14" s="20">
        <f t="shared" si="7"/>
        <v>10</v>
      </c>
    </row>
    <row r="15" spans="2:16" ht="37.5" customHeight="1" thickBot="1" x14ac:dyDescent="0.3">
      <c r="B15" s="84" t="s">
        <v>127</v>
      </c>
      <c r="C15" s="45" t="s">
        <v>81</v>
      </c>
      <c r="D15" s="44">
        <v>9</v>
      </c>
      <c r="E15" s="44"/>
      <c r="F15" s="44">
        <v>9</v>
      </c>
      <c r="G15" s="18">
        <v>2</v>
      </c>
      <c r="H15" s="19">
        <f t="shared" si="4"/>
        <v>18</v>
      </c>
      <c r="I15" s="153">
        <v>11.75</v>
      </c>
      <c r="J15" s="154">
        <v>11.75</v>
      </c>
      <c r="K15" s="46" t="s">
        <v>135</v>
      </c>
      <c r="L15" s="17" t="str">
        <f t="shared" si="5"/>
        <v>D</v>
      </c>
      <c r="M15" s="16"/>
      <c r="N15" s="16"/>
      <c r="O15" s="20">
        <f t="shared" si="6"/>
        <v>0</v>
      </c>
      <c r="P15" s="20">
        <f t="shared" si="7"/>
        <v>18</v>
      </c>
    </row>
    <row r="16" spans="2:16" ht="32.25" thickBot="1" x14ac:dyDescent="0.3">
      <c r="B16" s="84" t="s">
        <v>128</v>
      </c>
      <c r="C16" s="42" t="s">
        <v>73</v>
      </c>
      <c r="D16" s="17">
        <v>9</v>
      </c>
      <c r="E16" s="17"/>
      <c r="F16" s="17">
        <v>9</v>
      </c>
      <c r="G16" s="18">
        <v>1</v>
      </c>
      <c r="H16" s="19">
        <f t="shared" si="4"/>
        <v>9</v>
      </c>
      <c r="I16" s="153">
        <v>7.75</v>
      </c>
      <c r="J16" s="154"/>
      <c r="K16" s="46" t="s">
        <v>141</v>
      </c>
      <c r="L16" s="17" t="str">
        <f t="shared" si="5"/>
        <v>D</v>
      </c>
      <c r="M16" s="16"/>
      <c r="N16" s="16"/>
      <c r="O16" s="20">
        <f t="shared" si="6"/>
        <v>0</v>
      </c>
      <c r="P16" s="20">
        <f t="shared" si="7"/>
        <v>9</v>
      </c>
    </row>
    <row r="17" spans="2:16" ht="16.5" thickBot="1" x14ac:dyDescent="0.3">
      <c r="B17" s="155" t="s">
        <v>31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7"/>
      <c r="M17" s="16"/>
      <c r="N17" s="16"/>
      <c r="O17" s="16"/>
      <c r="P17" s="16"/>
    </row>
    <row r="18" spans="2:16" ht="16.5" thickBot="1" x14ac:dyDescent="0.3">
      <c r="B18" s="21" t="s">
        <v>32</v>
      </c>
      <c r="C18" s="39"/>
      <c r="D18" s="158">
        <f>(SUM(H13:H16)/SUM(G13:G16))</f>
        <v>9.5714285714285712</v>
      </c>
      <c r="E18" s="158"/>
      <c r="F18" s="158"/>
      <c r="G18" s="159" t="s">
        <v>30</v>
      </c>
      <c r="H18" s="159"/>
      <c r="I18" s="85"/>
      <c r="J18" s="150"/>
      <c r="K18" s="150"/>
      <c r="L18" s="160"/>
      <c r="M18" s="16"/>
      <c r="N18" s="16"/>
      <c r="O18" s="16"/>
      <c r="P18" s="16"/>
    </row>
    <row r="19" spans="2:16" ht="16.5" thickBot="1" x14ac:dyDescent="0.3">
      <c r="B19" s="161"/>
      <c r="C19" s="162"/>
      <c r="D19" s="162"/>
      <c r="E19" s="162"/>
      <c r="F19" s="162"/>
      <c r="G19" s="162"/>
      <c r="H19" s="162"/>
      <c r="I19" s="162"/>
      <c r="J19" s="162"/>
      <c r="K19" s="162"/>
      <c r="L19" s="163"/>
      <c r="M19" s="16"/>
      <c r="N19" s="16"/>
      <c r="O19" s="16"/>
      <c r="P19" s="16"/>
    </row>
    <row r="20" spans="2:16" ht="51.75" thickBot="1" x14ac:dyDescent="0.3">
      <c r="B20" s="84" t="s">
        <v>71</v>
      </c>
      <c r="C20" s="45" t="s">
        <v>82</v>
      </c>
      <c r="D20" s="44">
        <v>11</v>
      </c>
      <c r="E20" s="44"/>
      <c r="F20" s="44">
        <v>11</v>
      </c>
      <c r="G20" s="18">
        <v>2</v>
      </c>
      <c r="H20" s="19">
        <f t="shared" ref="H20:H22" si="8">D20*G20</f>
        <v>22</v>
      </c>
      <c r="I20" s="153">
        <v>14.75</v>
      </c>
      <c r="J20" s="154">
        <v>14.75</v>
      </c>
      <c r="K20" s="46" t="s">
        <v>140</v>
      </c>
      <c r="L20" s="17" t="str">
        <f t="shared" ref="L20:L22" si="9">IF(D20&lt;10,"D",IF(D20&lt;12,"C",IF(D20&lt;14,"C+",IF(D20&lt;15,"B",IF(D20&lt;16,"B+",IF(D20&lt;18,"A",IF(D20&lt;20,"A+")))))))</f>
        <v>C</v>
      </c>
      <c r="M20" s="16"/>
      <c r="N20" s="16"/>
      <c r="O20" s="20">
        <f t="shared" ref="O20:O22" si="10">E20*G20</f>
        <v>0</v>
      </c>
      <c r="P20" s="20">
        <f t="shared" ref="P20:P22" si="11">F20*G20</f>
        <v>22</v>
      </c>
    </row>
    <row r="21" spans="2:16" ht="64.5" thickBot="1" x14ac:dyDescent="0.3">
      <c r="B21" s="84" t="s">
        <v>129</v>
      </c>
      <c r="C21" s="45" t="s">
        <v>83</v>
      </c>
      <c r="D21" s="44">
        <v>7</v>
      </c>
      <c r="E21" s="44"/>
      <c r="F21" s="44">
        <v>7</v>
      </c>
      <c r="G21" s="18">
        <v>4</v>
      </c>
      <c r="H21" s="19">
        <f t="shared" si="8"/>
        <v>28</v>
      </c>
      <c r="I21" s="153">
        <v>5.5</v>
      </c>
      <c r="J21" s="154">
        <v>5.5</v>
      </c>
      <c r="K21" s="46" t="s">
        <v>139</v>
      </c>
      <c r="L21" s="17" t="str">
        <f t="shared" si="9"/>
        <v>D</v>
      </c>
      <c r="M21" s="16"/>
      <c r="N21" s="16"/>
      <c r="O21" s="20">
        <f t="shared" si="10"/>
        <v>0</v>
      </c>
      <c r="P21" s="20">
        <f t="shared" si="11"/>
        <v>28</v>
      </c>
    </row>
    <row r="22" spans="2:16" ht="64.5" thickBot="1" x14ac:dyDescent="0.3">
      <c r="B22" s="84" t="s">
        <v>130</v>
      </c>
      <c r="C22" s="45" t="s">
        <v>84</v>
      </c>
      <c r="D22" s="44">
        <v>13.5</v>
      </c>
      <c r="E22" s="44"/>
      <c r="F22" s="44">
        <v>13.5</v>
      </c>
      <c r="G22" s="18">
        <v>2</v>
      </c>
      <c r="H22" s="19">
        <f t="shared" si="8"/>
        <v>27</v>
      </c>
      <c r="I22" s="153">
        <v>14.375</v>
      </c>
      <c r="J22" s="154">
        <v>14.375</v>
      </c>
      <c r="K22" s="46" t="s">
        <v>144</v>
      </c>
      <c r="L22" s="17" t="str">
        <f t="shared" si="9"/>
        <v>C+</v>
      </c>
      <c r="M22" s="16"/>
      <c r="N22" s="16"/>
      <c r="O22" s="20">
        <f t="shared" si="10"/>
        <v>0</v>
      </c>
      <c r="P22" s="20">
        <f t="shared" si="11"/>
        <v>27</v>
      </c>
    </row>
    <row r="23" spans="2:16" ht="16.5" thickBot="1" x14ac:dyDescent="0.3">
      <c r="B23" s="155" t="s">
        <v>33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7"/>
      <c r="M23" s="16"/>
      <c r="N23" s="16"/>
      <c r="O23" s="16"/>
      <c r="P23" s="16"/>
    </row>
    <row r="24" spans="2:16" ht="16.5" thickBot="1" x14ac:dyDescent="0.3">
      <c r="B24" s="21" t="s">
        <v>29</v>
      </c>
      <c r="C24" s="39"/>
      <c r="D24" s="158">
        <f>(SUM(H20:H22)/SUM(G20:G22))</f>
        <v>9.625</v>
      </c>
      <c r="E24" s="158"/>
      <c r="F24" s="158"/>
      <c r="G24" s="159" t="s">
        <v>30</v>
      </c>
      <c r="H24" s="159"/>
      <c r="I24" s="85"/>
      <c r="J24" s="150"/>
      <c r="K24" s="150"/>
      <c r="L24" s="160"/>
      <c r="M24" s="16"/>
      <c r="N24" s="16"/>
      <c r="O24" s="16"/>
      <c r="P24" s="16"/>
    </row>
    <row r="25" spans="2:16" ht="16.5" thickBot="1" x14ac:dyDescent="0.3">
      <c r="B25" s="169"/>
      <c r="C25" s="170"/>
      <c r="D25" s="170"/>
      <c r="E25" s="170"/>
      <c r="F25" s="170"/>
      <c r="G25" s="170"/>
      <c r="H25" s="170"/>
      <c r="I25" s="172"/>
      <c r="J25" s="172"/>
      <c r="K25" s="172"/>
      <c r="L25" s="171"/>
      <c r="M25" s="16"/>
      <c r="N25" s="16"/>
      <c r="O25" s="16"/>
      <c r="P25" s="16"/>
    </row>
    <row r="26" spans="2:16" ht="51.75" thickBot="1" x14ac:dyDescent="0.3">
      <c r="B26" s="84" t="s">
        <v>131</v>
      </c>
      <c r="C26" s="43" t="s">
        <v>74</v>
      </c>
      <c r="D26" s="44">
        <v>13</v>
      </c>
      <c r="E26" s="44"/>
      <c r="F26" s="44">
        <v>13</v>
      </c>
      <c r="G26" s="18">
        <v>1</v>
      </c>
      <c r="H26" s="19">
        <f t="shared" ref="H26:H29" si="12">D26*G26</f>
        <v>13</v>
      </c>
      <c r="I26" s="153">
        <v>12.5</v>
      </c>
      <c r="J26" s="154">
        <v>12.5</v>
      </c>
      <c r="K26" s="46" t="s">
        <v>141</v>
      </c>
      <c r="L26" s="17" t="str">
        <f t="shared" ref="L26:L28" si="13">IF(D26&lt;10,"D",IF(D26&lt;12,"C",IF(D26&lt;14,"C+",IF(D26&lt;15,"B",IF(D26&lt;16,"B+",IF(D26&lt;18,"A",IF(D26&lt;20,"A+")))))))</f>
        <v>C+</v>
      </c>
      <c r="M26" s="16"/>
      <c r="N26" s="16"/>
      <c r="O26" s="20">
        <f t="shared" ref="O26:O29" si="14">E26*G26</f>
        <v>0</v>
      </c>
      <c r="P26" s="20">
        <f t="shared" ref="P26:P29" si="15">F26*G26</f>
        <v>13</v>
      </c>
    </row>
    <row r="27" spans="2:16" ht="32.25" thickBot="1" x14ac:dyDescent="0.3">
      <c r="B27" s="84" t="s">
        <v>72</v>
      </c>
      <c r="C27" s="45" t="s">
        <v>85</v>
      </c>
      <c r="D27" s="44">
        <v>16</v>
      </c>
      <c r="E27" s="44"/>
      <c r="F27" s="44">
        <v>16</v>
      </c>
      <c r="G27" s="18">
        <v>2</v>
      </c>
      <c r="H27" s="19">
        <f>D27*G27</f>
        <v>32</v>
      </c>
      <c r="I27" s="153">
        <v>16</v>
      </c>
      <c r="J27" s="154">
        <v>16</v>
      </c>
      <c r="K27" s="46" t="s">
        <v>144</v>
      </c>
      <c r="L27" s="17" t="str">
        <f t="shared" si="13"/>
        <v>A</v>
      </c>
      <c r="M27" s="16"/>
      <c r="N27" s="16"/>
      <c r="O27" s="20">
        <f t="shared" si="14"/>
        <v>0</v>
      </c>
      <c r="P27" s="20">
        <f t="shared" si="15"/>
        <v>32</v>
      </c>
    </row>
    <row r="28" spans="2:16" ht="39.75" customHeight="1" thickBot="1" x14ac:dyDescent="0.3">
      <c r="B28" s="84" t="s">
        <v>132</v>
      </c>
      <c r="C28" s="45" t="s">
        <v>86</v>
      </c>
      <c r="D28" s="44">
        <v>11.5</v>
      </c>
      <c r="E28" s="44"/>
      <c r="F28" s="44">
        <v>11.5</v>
      </c>
      <c r="G28" s="18">
        <v>1</v>
      </c>
      <c r="H28" s="19">
        <f t="shared" si="12"/>
        <v>11.5</v>
      </c>
      <c r="I28" s="153">
        <v>13.375</v>
      </c>
      <c r="J28" s="154">
        <v>13.375</v>
      </c>
      <c r="K28" s="46" t="s">
        <v>135</v>
      </c>
      <c r="L28" s="17" t="str">
        <f t="shared" si="13"/>
        <v>C</v>
      </c>
      <c r="M28" s="16"/>
      <c r="N28" s="16"/>
      <c r="O28" s="20">
        <f t="shared" si="14"/>
        <v>0</v>
      </c>
      <c r="P28" s="20">
        <f t="shared" si="15"/>
        <v>11.5</v>
      </c>
    </row>
    <row r="29" spans="2:16" ht="39" thickBot="1" x14ac:dyDescent="0.3">
      <c r="B29" s="84" t="s">
        <v>133</v>
      </c>
      <c r="C29" s="45" t="s">
        <v>87</v>
      </c>
      <c r="D29" s="17">
        <v>17</v>
      </c>
      <c r="E29" s="17"/>
      <c r="F29" s="17">
        <v>17</v>
      </c>
      <c r="G29" s="18">
        <v>1</v>
      </c>
      <c r="H29" s="19">
        <f t="shared" si="12"/>
        <v>17</v>
      </c>
      <c r="I29" s="153">
        <v>17</v>
      </c>
      <c r="J29" s="154"/>
      <c r="K29" s="46" t="s">
        <v>143</v>
      </c>
      <c r="L29" s="17" t="str">
        <f>IF(D29&lt;10,"D",IF(D29&lt;12,"C",IF(D29&lt;14,"C+",IF(D29&lt;15,"B",IF(D29&lt;16,"B+",IF(D29&lt;18,"A",IF(D29&lt;20,"A+")))))))</f>
        <v>A</v>
      </c>
      <c r="M29" s="16"/>
      <c r="N29" s="16"/>
      <c r="O29" s="20">
        <f t="shared" si="14"/>
        <v>0</v>
      </c>
      <c r="P29" s="20">
        <f t="shared" si="15"/>
        <v>17</v>
      </c>
    </row>
    <row r="30" spans="2:16" ht="16.5" thickBot="1" x14ac:dyDescent="0.3"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  <c r="M30" s="16"/>
      <c r="N30" s="16"/>
      <c r="O30" s="16">
        <f>SUM(O5:O29)</f>
        <v>0</v>
      </c>
      <c r="P30" s="16">
        <f>SUM(P5:P29)</f>
        <v>314.5</v>
      </c>
    </row>
    <row r="31" spans="2:16" ht="16.5" thickBot="1" x14ac:dyDescent="0.3">
      <c r="B31" s="25" t="s">
        <v>32</v>
      </c>
      <c r="C31" s="40"/>
      <c r="D31" s="158">
        <f>(SUM(H26:H29)/SUM(G26:G29))</f>
        <v>14.7</v>
      </c>
      <c r="E31" s="158"/>
      <c r="F31" s="158"/>
      <c r="G31" s="182" t="s">
        <v>30</v>
      </c>
      <c r="H31" s="182"/>
      <c r="I31" s="81"/>
      <c r="J31" s="126"/>
      <c r="K31" s="126"/>
      <c r="L31" s="127"/>
      <c r="M31" s="16"/>
      <c r="N31" s="16"/>
      <c r="O31" s="16">
        <v>29</v>
      </c>
      <c r="P31" s="16">
        <v>29</v>
      </c>
    </row>
    <row r="32" spans="2:16" ht="16.5" thickBot="1" x14ac:dyDescent="0.3"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6"/>
      <c r="M32" s="16"/>
      <c r="N32" s="16"/>
      <c r="O32" s="16">
        <f>O30/O31</f>
        <v>0</v>
      </c>
      <c r="P32" s="16">
        <f>P30/P31</f>
        <v>10.844827586206897</v>
      </c>
    </row>
    <row r="33" spans="2:16" ht="48" thickBot="1" x14ac:dyDescent="0.3">
      <c r="B33" s="125" t="s">
        <v>35</v>
      </c>
      <c r="C33" s="127"/>
      <c r="D33" s="26" t="s">
        <v>36</v>
      </c>
      <c r="E33" s="33">
        <v>11.84</v>
      </c>
      <c r="F33" s="27" t="s">
        <v>37</v>
      </c>
      <c r="G33" s="148">
        <v>13.22</v>
      </c>
      <c r="H33" s="148"/>
      <c r="I33" s="27" t="s">
        <v>38</v>
      </c>
      <c r="J33" s="149">
        <v>9.24</v>
      </c>
      <c r="K33" s="150"/>
      <c r="L33" s="28"/>
      <c r="M33" s="29"/>
      <c r="N33" s="29"/>
      <c r="O33" s="29"/>
      <c r="P33" s="29"/>
    </row>
    <row r="34" spans="2:16" ht="15.75" x14ac:dyDescent="0.25">
      <c r="B34" s="67"/>
      <c r="C34" s="68"/>
      <c r="D34" s="69" t="s">
        <v>154</v>
      </c>
      <c r="E34" s="69" t="s">
        <v>155</v>
      </c>
      <c r="F34" s="68"/>
      <c r="G34" s="68"/>
      <c r="H34" s="70"/>
      <c r="I34" s="128"/>
      <c r="J34" s="129"/>
      <c r="K34" s="129"/>
      <c r="L34" s="130"/>
      <c r="M34" s="16"/>
      <c r="N34" s="16"/>
      <c r="O34" s="16"/>
      <c r="P34" s="16"/>
    </row>
    <row r="35" spans="2:16" ht="15.75" x14ac:dyDescent="0.25">
      <c r="B35" s="71" t="s">
        <v>39</v>
      </c>
      <c r="C35" s="72"/>
      <c r="D35" s="73"/>
      <c r="E35" s="73">
        <f>P32</f>
        <v>10.844827586206897</v>
      </c>
      <c r="F35" s="74" t="s">
        <v>156</v>
      </c>
      <c r="G35" s="75">
        <f>(H5+H6+H7+H8+H9+H13+H14+H15+H16+H20+H21+H22+H26+H27+H28+H29)/29</f>
        <v>10.844827586206897</v>
      </c>
      <c r="H35" s="72" t="s">
        <v>40</v>
      </c>
      <c r="I35" s="151" t="s">
        <v>41</v>
      </c>
      <c r="J35" s="152"/>
      <c r="K35" s="30" t="s">
        <v>111</v>
      </c>
      <c r="L35" s="31" t="s">
        <v>159</v>
      </c>
      <c r="M35" s="16"/>
      <c r="N35" s="16"/>
      <c r="O35" s="16"/>
      <c r="P35" s="16"/>
    </row>
    <row r="36" spans="2:16" ht="16.5" thickBot="1" x14ac:dyDescent="0.3">
      <c r="B36" s="117"/>
      <c r="C36" s="118"/>
      <c r="D36" s="118"/>
      <c r="E36" s="118"/>
      <c r="F36" s="118"/>
      <c r="G36" s="118"/>
      <c r="H36" s="118"/>
      <c r="I36" s="119"/>
      <c r="J36" s="120"/>
      <c r="K36" s="120"/>
      <c r="L36" s="121"/>
      <c r="M36" s="16"/>
      <c r="N36" s="16"/>
      <c r="O36" s="16"/>
      <c r="P36" s="16"/>
    </row>
    <row r="37" spans="2:16" ht="16.5" thickBot="1" x14ac:dyDescent="0.3">
      <c r="B37" s="122" t="s">
        <v>42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4"/>
      <c r="M37" s="16"/>
      <c r="N37" s="16"/>
      <c r="O37" s="16"/>
      <c r="P37" s="16"/>
    </row>
    <row r="38" spans="2:16" ht="16.5" thickBot="1" x14ac:dyDescent="0.3">
      <c r="B38" s="125" t="s">
        <v>43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  <c r="M38" s="16"/>
      <c r="N38" s="16"/>
      <c r="O38" s="16"/>
      <c r="P38" s="16"/>
    </row>
    <row r="39" spans="2:16" ht="16.5" thickBot="1" x14ac:dyDescent="0.3">
      <c r="B39" s="22" t="s">
        <v>44</v>
      </c>
      <c r="C39" s="26"/>
      <c r="D39" s="164" t="s">
        <v>45</v>
      </c>
      <c r="E39" s="165"/>
      <c r="F39" s="166"/>
      <c r="G39" s="141" t="s">
        <v>46</v>
      </c>
      <c r="H39" s="142"/>
      <c r="I39" s="142"/>
      <c r="J39" s="142"/>
      <c r="K39" s="142"/>
      <c r="L39" s="111"/>
      <c r="M39" s="16"/>
      <c r="N39" s="16"/>
      <c r="O39" s="16"/>
      <c r="P39" s="16"/>
    </row>
    <row r="40" spans="2:16" ht="16.5" thickBot="1" x14ac:dyDescent="0.3">
      <c r="B40" s="65" t="s">
        <v>47</v>
      </c>
      <c r="C40" s="108"/>
      <c r="D40" s="173" t="str">
        <f>IF(G35&lt;10,"CNA",IF(G35&lt;12,"CMA",IF(G35&lt;14,"CA",IF(G35&lt;16,"CBA",IF(G35&lt;20,"CTBA")))))</f>
        <v>CMA</v>
      </c>
      <c r="E40" s="174" t="e">
        <f>IF(#REF!&lt;10,"D",IF(#REF!&lt;12,"C",IF(#REF!&lt;14,"C+",IF(#REF!&lt;15,"B",IF(#REF!&lt;16,"B+",IF(#REF!&lt;18,"A",IF(#REF!&lt;20,"A+")))))))</f>
        <v>#REF!</v>
      </c>
      <c r="F40" s="175" t="e">
        <f>IF(#REF!&lt;10,"D",IF(#REF!&lt;12,"C",IF(#REF!&lt;14,"C+",IF(#REF!&lt;15,"B",IF(#REF!&lt;16,"B+",IF(#REF!&lt;18,"A",IF(#REF!&lt;20,"A+")))))))</f>
        <v>#REF!</v>
      </c>
      <c r="G40" s="143"/>
      <c r="H40" s="144"/>
      <c r="I40" s="144"/>
      <c r="J40" s="144"/>
      <c r="K40" s="144"/>
      <c r="L40" s="145"/>
      <c r="M40" s="16"/>
      <c r="N40" s="16"/>
      <c r="O40" s="16"/>
      <c r="P40" s="16"/>
    </row>
    <row r="41" spans="2:16" ht="16.5" thickBot="1" x14ac:dyDescent="0.3">
      <c r="B41" s="65" t="s">
        <v>48</v>
      </c>
      <c r="C41" s="109"/>
      <c r="D41" s="176" t="e">
        <f>IF(#REF!&lt;10,"D",IF(#REF!&lt;12,"C",IF(#REF!&lt;14,"C+",IF(#REF!&lt;15,"B",IF(#REF!&lt;16,"B+",IF(#REF!&lt;18,"A",IF(#REF!&lt;20,"A+")))))))</f>
        <v>#REF!</v>
      </c>
      <c r="E41" s="177" t="e">
        <f>IF(#REF!&lt;10,"D",IF(#REF!&lt;12,"C",IF(#REF!&lt;14,"C+",IF(#REF!&lt;15,"B",IF(#REF!&lt;16,"B+",IF(#REF!&lt;18,"A",IF(#REF!&lt;20,"A+")))))))</f>
        <v>#REF!</v>
      </c>
      <c r="F41" s="178" t="e">
        <f>IF(#REF!&lt;10,"D",IF(#REF!&lt;12,"C",IF(#REF!&lt;14,"C+",IF(#REF!&lt;15,"B",IF(#REF!&lt;16,"B+",IF(#REF!&lt;18,"A",IF(#REF!&lt;20,"A+")))))))</f>
        <v>#REF!</v>
      </c>
      <c r="G41" s="125" t="s">
        <v>49</v>
      </c>
      <c r="H41" s="126"/>
      <c r="I41" s="126"/>
      <c r="J41" s="127"/>
      <c r="K41" s="141" t="s">
        <v>50</v>
      </c>
      <c r="L41" s="111"/>
      <c r="M41" s="16"/>
      <c r="N41" s="16"/>
      <c r="O41" s="16"/>
      <c r="P41" s="16"/>
    </row>
    <row r="42" spans="2:16" ht="16.5" thickBot="1" x14ac:dyDescent="0.3">
      <c r="B42" s="66" t="s">
        <v>51</v>
      </c>
      <c r="C42" s="110"/>
      <c r="D42" s="179" t="e">
        <f>IF(#REF!&lt;10,"D",IF(#REF!&lt;12,"C",IF(#REF!&lt;14,"C+",IF(#REF!&lt;15,"B",IF(#REF!&lt;16,"B+",IF(#REF!&lt;18,"A",IF(#REF!&lt;20,"A+")))))))</f>
        <v>#REF!</v>
      </c>
      <c r="E42" s="180" t="e">
        <f>IF(#REF!&lt;10,"D",IF(#REF!&lt;12,"C",IF(#REF!&lt;14,"C+",IF(#REF!&lt;15,"B",IF(#REF!&lt;16,"B+",IF(#REF!&lt;18,"A",IF(#REF!&lt;20,"A+")))))))</f>
        <v>#REF!</v>
      </c>
      <c r="F42" s="181" t="e">
        <f>IF(#REF!&lt;10,"D",IF(#REF!&lt;12,"C",IF(#REF!&lt;14,"C+",IF(#REF!&lt;15,"B",IF(#REF!&lt;16,"B+",IF(#REF!&lt;18,"A",IF(#REF!&lt;20,"A+")))))))</f>
        <v>#REF!</v>
      </c>
      <c r="G42" s="125" t="s">
        <v>52</v>
      </c>
      <c r="H42" s="126"/>
      <c r="I42" s="126"/>
      <c r="J42" s="127"/>
      <c r="K42" s="146" t="s">
        <v>53</v>
      </c>
      <c r="L42" s="147"/>
      <c r="M42" s="16"/>
      <c r="N42" s="16"/>
      <c r="O42" s="16"/>
      <c r="P42" s="16"/>
    </row>
    <row r="43" spans="2:16" ht="16.5" thickBot="1" x14ac:dyDescent="0.3">
      <c r="B43" s="66" t="s">
        <v>54</v>
      </c>
      <c r="C43" s="111"/>
      <c r="D43" s="141" t="s">
        <v>55</v>
      </c>
      <c r="E43" s="142"/>
      <c r="F43" s="111"/>
      <c r="G43" s="125" t="s">
        <v>56</v>
      </c>
      <c r="H43" s="126"/>
      <c r="I43" s="126"/>
      <c r="J43" s="127"/>
      <c r="K43" s="146"/>
      <c r="L43" s="147"/>
      <c r="M43" s="16"/>
      <c r="N43" s="16"/>
      <c r="O43" s="16"/>
      <c r="P43" s="16"/>
    </row>
    <row r="44" spans="2:16" ht="16.5" thickBot="1" x14ac:dyDescent="0.3">
      <c r="B44" s="32" t="s">
        <v>57</v>
      </c>
      <c r="C44" s="112"/>
      <c r="D44" s="143"/>
      <c r="E44" s="144"/>
      <c r="F44" s="145"/>
      <c r="G44" s="125" t="s">
        <v>58</v>
      </c>
      <c r="H44" s="126"/>
      <c r="I44" s="126"/>
      <c r="J44" s="127"/>
      <c r="K44" s="137" t="s">
        <v>59</v>
      </c>
      <c r="L44" s="138"/>
      <c r="M44" s="16"/>
      <c r="N44" s="16"/>
      <c r="O44" s="16"/>
      <c r="P44" s="16"/>
    </row>
    <row r="45" spans="2:16" ht="31.5" x14ac:dyDescent="0.25">
      <c r="B45" s="22" t="s">
        <v>60</v>
      </c>
      <c r="C45" s="140"/>
      <c r="D45" s="128"/>
      <c r="E45" s="129"/>
      <c r="F45" s="130"/>
      <c r="G45" s="128"/>
      <c r="H45" s="129"/>
      <c r="I45" s="129"/>
      <c r="J45" s="130"/>
      <c r="K45" s="137" t="s">
        <v>61</v>
      </c>
      <c r="L45" s="138"/>
      <c r="M45" s="16"/>
      <c r="N45" s="16"/>
      <c r="O45" s="16"/>
      <c r="P45" s="16"/>
    </row>
    <row r="46" spans="2:16" ht="15.75" x14ac:dyDescent="0.25">
      <c r="B46" s="139"/>
      <c r="C46" s="139"/>
      <c r="D46" s="131"/>
      <c r="E46" s="132"/>
      <c r="F46" s="133"/>
      <c r="G46" s="131"/>
      <c r="H46" s="132"/>
      <c r="I46" s="132"/>
      <c r="J46" s="133"/>
      <c r="K46" s="113"/>
      <c r="L46" s="114"/>
      <c r="M46" s="16"/>
      <c r="N46" s="16"/>
      <c r="O46" s="16"/>
      <c r="P46" s="16"/>
    </row>
    <row r="47" spans="2:16" ht="15.75" x14ac:dyDescent="0.25">
      <c r="B47" s="139"/>
      <c r="C47" s="139"/>
      <c r="D47" s="131"/>
      <c r="E47" s="132"/>
      <c r="F47" s="133"/>
      <c r="G47" s="131"/>
      <c r="H47" s="132"/>
      <c r="I47" s="132"/>
      <c r="J47" s="133"/>
      <c r="K47" s="113"/>
      <c r="L47" s="114"/>
      <c r="M47" s="16"/>
      <c r="N47" s="16"/>
      <c r="O47" s="16"/>
      <c r="P47" s="16"/>
    </row>
    <row r="48" spans="2:16" ht="16.5" thickBot="1" x14ac:dyDescent="0.3">
      <c r="B48" s="112"/>
      <c r="C48" s="112"/>
      <c r="D48" s="134"/>
      <c r="E48" s="135"/>
      <c r="F48" s="136"/>
      <c r="G48" s="134"/>
      <c r="H48" s="135"/>
      <c r="I48" s="135"/>
      <c r="J48" s="136"/>
      <c r="K48" s="115"/>
      <c r="L48" s="116"/>
      <c r="M48" s="16"/>
      <c r="N48" s="16"/>
      <c r="O48" s="16"/>
      <c r="P48" s="16"/>
    </row>
  </sheetData>
  <mergeCells count="65">
    <mergeCell ref="C45:C48"/>
    <mergeCell ref="D45:F48"/>
    <mergeCell ref="G45:J48"/>
    <mergeCell ref="K45:L45"/>
    <mergeCell ref="B46:B48"/>
    <mergeCell ref="K46:L48"/>
    <mergeCell ref="G42:J42"/>
    <mergeCell ref="K42:L42"/>
    <mergeCell ref="C43:C44"/>
    <mergeCell ref="D43:F44"/>
    <mergeCell ref="G43:J43"/>
    <mergeCell ref="K43:L43"/>
    <mergeCell ref="G44:J44"/>
    <mergeCell ref="K44:L44"/>
    <mergeCell ref="B36:H36"/>
    <mergeCell ref="I36:L36"/>
    <mergeCell ref="B37:L37"/>
    <mergeCell ref="B38:L38"/>
    <mergeCell ref="D39:F39"/>
    <mergeCell ref="G39:L40"/>
    <mergeCell ref="C40:C42"/>
    <mergeCell ref="D40:F42"/>
    <mergeCell ref="G41:J41"/>
    <mergeCell ref="K41:L41"/>
    <mergeCell ref="B32:L32"/>
    <mergeCell ref="B33:C33"/>
    <mergeCell ref="G33:H33"/>
    <mergeCell ref="J33:K33"/>
    <mergeCell ref="I34:L34"/>
    <mergeCell ref="I35:J35"/>
    <mergeCell ref="B25:L25"/>
    <mergeCell ref="I26:J26"/>
    <mergeCell ref="I27:J27"/>
    <mergeCell ref="I28:J28"/>
    <mergeCell ref="I29:J29"/>
    <mergeCell ref="D31:F31"/>
    <mergeCell ref="G31:H31"/>
    <mergeCell ref="J31:L31"/>
    <mergeCell ref="B19:L19"/>
    <mergeCell ref="I20:J20"/>
    <mergeCell ref="I21:J21"/>
    <mergeCell ref="I22:J22"/>
    <mergeCell ref="B23:L23"/>
    <mergeCell ref="D24:F24"/>
    <mergeCell ref="G24:H24"/>
    <mergeCell ref="J24:L24"/>
    <mergeCell ref="I14:J14"/>
    <mergeCell ref="I15:J15"/>
    <mergeCell ref="I16:J16"/>
    <mergeCell ref="B17:L17"/>
    <mergeCell ref="D18:F18"/>
    <mergeCell ref="G18:H18"/>
    <mergeCell ref="J18:L18"/>
    <mergeCell ref="B10:L10"/>
    <mergeCell ref="D11:F11"/>
    <mergeCell ref="G11:H11"/>
    <mergeCell ref="J11:L11"/>
    <mergeCell ref="B12:L12"/>
    <mergeCell ref="I13:J13"/>
    <mergeCell ref="I4:J4"/>
    <mergeCell ref="I5:J5"/>
    <mergeCell ref="I6:J6"/>
    <mergeCell ref="I7:J7"/>
    <mergeCell ref="I8:J8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SEQUENCE 3</vt:lpstr>
      <vt:lpstr>SEQUENCE 4</vt:lpstr>
      <vt:lpstr>BORDEREAU</vt:lpstr>
      <vt:lpstr>ATEBA</vt:lpstr>
      <vt:lpstr>AYE</vt:lpstr>
      <vt:lpstr>AYANGMA</vt:lpstr>
      <vt:lpstr>AYISSI</vt:lpstr>
      <vt:lpstr>BEKOLO</vt:lpstr>
      <vt:lpstr>BENGONO</vt:lpstr>
      <vt:lpstr>LOMA</vt:lpstr>
      <vt:lpstr>MBOUE</vt:lpstr>
      <vt:lpstr>ONANINA</vt:lpstr>
      <vt:lpstr>POUABE</vt:lpstr>
      <vt:lpstr>TAMA</vt:lpstr>
      <vt:lpstr>EBOUKA</vt:lpstr>
      <vt:lpstr>NGONO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florampeck</dc:creator>
  <cp:lastModifiedBy>ch'croute</cp:lastModifiedBy>
  <dcterms:created xsi:type="dcterms:W3CDTF">2020-10-20T19:24:02Z</dcterms:created>
  <dcterms:modified xsi:type="dcterms:W3CDTF">2026-04-01T15:12:38Z</dcterms:modified>
</cp:coreProperties>
</file>