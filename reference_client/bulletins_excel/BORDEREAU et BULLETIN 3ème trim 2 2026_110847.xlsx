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'croute\Desktop\BULLETIN COPRIFAN\bulletin fanion 2025-2026\3e\Trim 3\"/>
    </mc:Choice>
  </mc:AlternateContent>
  <bookViews>
    <workbookView xWindow="360" yWindow="330" windowWidth="11640" windowHeight="7110" tabRatio="967" firstSheet="7" activeTab="18"/>
  </bookViews>
  <sheets>
    <sheet name="SEQUENCE 5" sheetId="16" r:id="rId1"/>
    <sheet name="SEQUENCE 6" sheetId="18" r:id="rId2"/>
    <sheet name="BORDEREAU" sheetId="24" r:id="rId3"/>
    <sheet name="APOULIE" sheetId="26" r:id="rId4"/>
    <sheet name="ASSENA" sheetId="30" r:id="rId5"/>
    <sheet name="BISSO" sheetId="31" r:id="rId6"/>
    <sheet name="LOMA" sheetId="32" r:id="rId7"/>
    <sheet name="MADJI" sheetId="33" r:id="rId8"/>
    <sheet name="MANGWA" sheetId="34" r:id="rId9"/>
    <sheet name="MBARGA A." sheetId="35" r:id="rId10"/>
    <sheet name="MBARGA N." sheetId="36" r:id="rId11"/>
    <sheet name="MEKOUL" sheetId="37" r:id="rId12"/>
    <sheet name="MEWOULA" sheetId="38" r:id="rId13"/>
    <sheet name="MPENE" sheetId="39" r:id="rId14"/>
    <sheet name="NGECHEJI" sheetId="40" r:id="rId15"/>
    <sheet name="NKE" sheetId="41" r:id="rId16"/>
    <sheet name="NKENGUE" sheetId="42" r:id="rId17"/>
    <sheet name="POUGNONG" sheetId="43" r:id="rId18"/>
    <sheet name="SAMBOKOLONG" sheetId="44" r:id="rId19"/>
  </sheets>
  <calcPr calcId="162913"/>
</workbook>
</file>

<file path=xl/calcChain.xml><?xml version="1.0" encoding="utf-8"?>
<calcChain xmlns="http://schemas.openxmlformats.org/spreadsheetml/2006/main">
  <c r="C30" i="44" l="1"/>
  <c r="C30" i="43"/>
  <c r="C30" i="42"/>
  <c r="C30" i="41"/>
  <c r="C30" i="40"/>
  <c r="C30" i="38"/>
  <c r="C30" i="37"/>
  <c r="C30" i="34"/>
  <c r="C30" i="33"/>
  <c r="O30" i="33"/>
  <c r="C30" i="32"/>
  <c r="O30" i="32"/>
  <c r="F36" i="31" l="1"/>
  <c r="F36" i="30"/>
  <c r="F36" i="26"/>
  <c r="O30" i="26"/>
  <c r="O29" i="26"/>
  <c r="E45" i="44" l="1"/>
  <c r="D45" i="44"/>
  <c r="C45" i="44"/>
  <c r="E44" i="44"/>
  <c r="D44" i="44"/>
  <c r="C44" i="44"/>
  <c r="E43" i="44"/>
  <c r="D43" i="44"/>
  <c r="O30" i="44"/>
  <c r="N30" i="44"/>
  <c r="K30" i="44"/>
  <c r="O29" i="44"/>
  <c r="N29" i="44"/>
  <c r="C29" i="44"/>
  <c r="K29" i="44" s="1"/>
  <c r="O28" i="44"/>
  <c r="N28" i="44"/>
  <c r="C28" i="44"/>
  <c r="K28" i="44" s="1"/>
  <c r="O27" i="44"/>
  <c r="N27" i="44"/>
  <c r="C27" i="44"/>
  <c r="G27" i="44" s="1"/>
  <c r="O23" i="44"/>
  <c r="N23" i="44"/>
  <c r="C23" i="44"/>
  <c r="K23" i="44" s="1"/>
  <c r="O22" i="44"/>
  <c r="N22" i="44"/>
  <c r="G22" i="44"/>
  <c r="C22" i="44"/>
  <c r="K22" i="44" s="1"/>
  <c r="O21" i="44"/>
  <c r="N21" i="44"/>
  <c r="K21" i="44"/>
  <c r="C21" i="44"/>
  <c r="G21" i="44" s="1"/>
  <c r="O20" i="44"/>
  <c r="N20" i="44"/>
  <c r="C20" i="44"/>
  <c r="K20" i="44" s="1"/>
  <c r="O16" i="44"/>
  <c r="N16" i="44"/>
  <c r="K16" i="44"/>
  <c r="C16" i="44"/>
  <c r="G16" i="44" s="1"/>
  <c r="O15" i="44"/>
  <c r="N15" i="44"/>
  <c r="C15" i="44"/>
  <c r="G15" i="44" s="1"/>
  <c r="O14" i="44"/>
  <c r="N14" i="44"/>
  <c r="C14" i="44"/>
  <c r="K14" i="44" s="1"/>
  <c r="O13" i="44"/>
  <c r="N13" i="44"/>
  <c r="C13" i="44"/>
  <c r="G13" i="44" s="1"/>
  <c r="O9" i="44"/>
  <c r="N9" i="44"/>
  <c r="K9" i="44"/>
  <c r="C9" i="44"/>
  <c r="G9" i="44" s="1"/>
  <c r="O8" i="44"/>
  <c r="N8" i="44"/>
  <c r="C8" i="44"/>
  <c r="K8" i="44" s="1"/>
  <c r="O7" i="44"/>
  <c r="N7" i="44"/>
  <c r="C7" i="44"/>
  <c r="G7" i="44" s="1"/>
  <c r="O6" i="44"/>
  <c r="N6" i="44"/>
  <c r="C6" i="44"/>
  <c r="K6" i="44" s="1"/>
  <c r="O5" i="44"/>
  <c r="N5" i="44"/>
  <c r="C5" i="44"/>
  <c r="G5" i="44" s="1"/>
  <c r="E45" i="43"/>
  <c r="D45" i="43"/>
  <c r="C45" i="43"/>
  <c r="E44" i="43"/>
  <c r="D44" i="43"/>
  <c r="C44" i="43"/>
  <c r="E43" i="43"/>
  <c r="D43" i="43"/>
  <c r="O30" i="43"/>
  <c r="N30" i="43"/>
  <c r="K30" i="43"/>
  <c r="O29" i="43"/>
  <c r="N29" i="43"/>
  <c r="C29" i="43"/>
  <c r="K29" i="43" s="1"/>
  <c r="O28" i="43"/>
  <c r="N28" i="43"/>
  <c r="G28" i="43"/>
  <c r="C28" i="43"/>
  <c r="K28" i="43" s="1"/>
  <c r="O27" i="43"/>
  <c r="N27" i="43"/>
  <c r="K27" i="43"/>
  <c r="C27" i="43"/>
  <c r="G27" i="43" s="1"/>
  <c r="O23" i="43"/>
  <c r="N23" i="43"/>
  <c r="C23" i="43"/>
  <c r="K23" i="43" s="1"/>
  <c r="O22" i="43"/>
  <c r="N22" i="43"/>
  <c r="K22" i="43"/>
  <c r="G22" i="43"/>
  <c r="C22" i="43"/>
  <c r="O21" i="43"/>
  <c r="N21" i="43"/>
  <c r="K21" i="43"/>
  <c r="C21" i="43"/>
  <c r="G21" i="43" s="1"/>
  <c r="O20" i="43"/>
  <c r="N20" i="43"/>
  <c r="C20" i="43"/>
  <c r="K20" i="43" s="1"/>
  <c r="O16" i="43"/>
  <c r="N16" i="43"/>
  <c r="C16" i="43"/>
  <c r="K16" i="43" s="1"/>
  <c r="O15" i="43"/>
  <c r="N15" i="43"/>
  <c r="C15" i="43"/>
  <c r="G15" i="43" s="1"/>
  <c r="O14" i="43"/>
  <c r="N14" i="43"/>
  <c r="C14" i="43"/>
  <c r="K14" i="43" s="1"/>
  <c r="O13" i="43"/>
  <c r="N13" i="43"/>
  <c r="C13" i="43"/>
  <c r="K13" i="43" s="1"/>
  <c r="O9" i="43"/>
  <c r="N9" i="43"/>
  <c r="K9" i="43"/>
  <c r="C9" i="43"/>
  <c r="G9" i="43" s="1"/>
  <c r="O8" i="43"/>
  <c r="N8" i="43"/>
  <c r="C8" i="43"/>
  <c r="K8" i="43" s="1"/>
  <c r="O7" i="43"/>
  <c r="N7" i="43"/>
  <c r="C7" i="43"/>
  <c r="K7" i="43" s="1"/>
  <c r="O6" i="43"/>
  <c r="N6" i="43"/>
  <c r="C6" i="43"/>
  <c r="G6" i="43" s="1"/>
  <c r="O5" i="43"/>
  <c r="N5" i="43"/>
  <c r="C5" i="43"/>
  <c r="G5" i="43" s="1"/>
  <c r="E45" i="42"/>
  <c r="D45" i="42"/>
  <c r="C45" i="42"/>
  <c r="E44" i="42"/>
  <c r="D44" i="42"/>
  <c r="C44" i="42"/>
  <c r="E43" i="42"/>
  <c r="D43" i="42"/>
  <c r="O30" i="42"/>
  <c r="N30" i="42"/>
  <c r="K30" i="42"/>
  <c r="O29" i="42"/>
  <c r="N29" i="42"/>
  <c r="C29" i="42"/>
  <c r="K29" i="42" s="1"/>
  <c r="O28" i="42"/>
  <c r="N28" i="42"/>
  <c r="C28" i="42"/>
  <c r="K28" i="42" s="1"/>
  <c r="O27" i="42"/>
  <c r="N27" i="42"/>
  <c r="C27" i="42"/>
  <c r="K27" i="42" s="1"/>
  <c r="O23" i="42"/>
  <c r="N23" i="42"/>
  <c r="C23" i="42"/>
  <c r="K23" i="42" s="1"/>
  <c r="O22" i="42"/>
  <c r="N22" i="42"/>
  <c r="G22" i="42"/>
  <c r="C22" i="42"/>
  <c r="K22" i="42" s="1"/>
  <c r="O21" i="42"/>
  <c r="N21" i="42"/>
  <c r="K21" i="42"/>
  <c r="G21" i="42"/>
  <c r="C21" i="42"/>
  <c r="O20" i="42"/>
  <c r="N20" i="42"/>
  <c r="K20" i="42"/>
  <c r="C20" i="42"/>
  <c r="G20" i="42" s="1"/>
  <c r="O16" i="42"/>
  <c r="N16" i="42"/>
  <c r="C16" i="42"/>
  <c r="K16" i="42" s="1"/>
  <c r="O15" i="42"/>
  <c r="N15" i="42"/>
  <c r="C15" i="42"/>
  <c r="K15" i="42" s="1"/>
  <c r="O14" i="42"/>
  <c r="N14" i="42"/>
  <c r="C14" i="42"/>
  <c r="G14" i="42" s="1"/>
  <c r="O13" i="42"/>
  <c r="N13" i="42"/>
  <c r="C13" i="42"/>
  <c r="K13" i="42" s="1"/>
  <c r="O9" i="42"/>
  <c r="N9" i="42"/>
  <c r="C9" i="42"/>
  <c r="K9" i="42" s="1"/>
  <c r="O8" i="42"/>
  <c r="N8" i="42"/>
  <c r="C8" i="42"/>
  <c r="G8" i="42" s="1"/>
  <c r="O7" i="42"/>
  <c r="N7" i="42"/>
  <c r="C7" i="42"/>
  <c r="K7" i="42" s="1"/>
  <c r="O6" i="42"/>
  <c r="N6" i="42"/>
  <c r="C6" i="42"/>
  <c r="K6" i="42" s="1"/>
  <c r="O5" i="42"/>
  <c r="O31" i="42" s="1"/>
  <c r="O33" i="42" s="1"/>
  <c r="N5" i="42"/>
  <c r="C5" i="42"/>
  <c r="K5" i="42" s="1"/>
  <c r="E45" i="41"/>
  <c r="D45" i="41"/>
  <c r="C45" i="41"/>
  <c r="E44" i="41"/>
  <c r="D44" i="41"/>
  <c r="C44" i="41"/>
  <c r="E43" i="41"/>
  <c r="D43" i="41"/>
  <c r="O30" i="41"/>
  <c r="N30" i="41"/>
  <c r="K30" i="41"/>
  <c r="O29" i="41"/>
  <c r="N29" i="41"/>
  <c r="C29" i="41"/>
  <c r="G29" i="41" s="1"/>
  <c r="O28" i="41"/>
  <c r="N28" i="41"/>
  <c r="K28" i="41"/>
  <c r="C28" i="41"/>
  <c r="G28" i="41" s="1"/>
  <c r="O27" i="41"/>
  <c r="N27" i="41"/>
  <c r="C27" i="41"/>
  <c r="K27" i="41" s="1"/>
  <c r="O23" i="41"/>
  <c r="N23" i="41"/>
  <c r="C23" i="41"/>
  <c r="K23" i="41" s="1"/>
  <c r="O22" i="41"/>
  <c r="N22" i="41"/>
  <c r="C22" i="41"/>
  <c r="K22" i="41" s="1"/>
  <c r="O21" i="41"/>
  <c r="N21" i="41"/>
  <c r="K21" i="41"/>
  <c r="G21" i="41"/>
  <c r="C21" i="41"/>
  <c r="O20" i="41"/>
  <c r="N20" i="41"/>
  <c r="C20" i="41"/>
  <c r="K20" i="41" s="1"/>
  <c r="O16" i="41"/>
  <c r="N16" i="41"/>
  <c r="C16" i="41"/>
  <c r="K16" i="41" s="1"/>
  <c r="O15" i="41"/>
  <c r="N15" i="41"/>
  <c r="C15" i="41"/>
  <c r="G15" i="41" s="1"/>
  <c r="O14" i="41"/>
  <c r="N14" i="41"/>
  <c r="C14" i="41"/>
  <c r="K14" i="41" s="1"/>
  <c r="O13" i="41"/>
  <c r="N13" i="41"/>
  <c r="C13" i="41"/>
  <c r="K13" i="41" s="1"/>
  <c r="O9" i="41"/>
  <c r="N9" i="41"/>
  <c r="C9" i="41"/>
  <c r="K9" i="41" s="1"/>
  <c r="O8" i="41"/>
  <c r="N8" i="41"/>
  <c r="C8" i="41"/>
  <c r="K8" i="41" s="1"/>
  <c r="O7" i="41"/>
  <c r="N7" i="41"/>
  <c r="C7" i="41"/>
  <c r="G7" i="41" s="1"/>
  <c r="O6" i="41"/>
  <c r="N6" i="41"/>
  <c r="C6" i="41"/>
  <c r="K6" i="41" s="1"/>
  <c r="O5" i="41"/>
  <c r="N5" i="41"/>
  <c r="C5" i="41"/>
  <c r="G5" i="41" s="1"/>
  <c r="E45" i="40"/>
  <c r="D45" i="40"/>
  <c r="C45" i="40"/>
  <c r="E44" i="40"/>
  <c r="D44" i="40"/>
  <c r="C44" i="40"/>
  <c r="E43" i="40"/>
  <c r="D43" i="40"/>
  <c r="O30" i="40"/>
  <c r="N30" i="40"/>
  <c r="K30" i="40"/>
  <c r="O29" i="40"/>
  <c r="N29" i="40"/>
  <c r="C29" i="40"/>
  <c r="G29" i="40" s="1"/>
  <c r="O28" i="40"/>
  <c r="N28" i="40"/>
  <c r="K28" i="40"/>
  <c r="G28" i="40"/>
  <c r="C28" i="40"/>
  <c r="O27" i="40"/>
  <c r="N27" i="40"/>
  <c r="K27" i="40"/>
  <c r="C27" i="40"/>
  <c r="G27" i="40" s="1"/>
  <c r="O23" i="40"/>
  <c r="N23" i="40"/>
  <c r="C23" i="40"/>
  <c r="K23" i="40" s="1"/>
  <c r="O22" i="40"/>
  <c r="N22" i="40"/>
  <c r="C22" i="40"/>
  <c r="K22" i="40" s="1"/>
  <c r="O21" i="40"/>
  <c r="N21" i="40"/>
  <c r="C21" i="40"/>
  <c r="G21" i="40" s="1"/>
  <c r="O20" i="40"/>
  <c r="N20" i="40"/>
  <c r="C20" i="40"/>
  <c r="K20" i="40" s="1"/>
  <c r="O16" i="40"/>
  <c r="N16" i="40"/>
  <c r="C16" i="40"/>
  <c r="K16" i="40" s="1"/>
  <c r="O15" i="40"/>
  <c r="N15" i="40"/>
  <c r="G15" i="40"/>
  <c r="C15" i="40"/>
  <c r="K15" i="40" s="1"/>
  <c r="O14" i="40"/>
  <c r="N14" i="40"/>
  <c r="C14" i="40"/>
  <c r="K14" i="40" s="1"/>
  <c r="O13" i="40"/>
  <c r="N13" i="40"/>
  <c r="C13" i="40"/>
  <c r="G13" i="40" s="1"/>
  <c r="O9" i="40"/>
  <c r="N9" i="40"/>
  <c r="C9" i="40"/>
  <c r="K9" i="40" s="1"/>
  <c r="O8" i="40"/>
  <c r="N8" i="40"/>
  <c r="C8" i="40"/>
  <c r="K8" i="40" s="1"/>
  <c r="O7" i="40"/>
  <c r="N7" i="40"/>
  <c r="C7" i="40"/>
  <c r="G7" i="40" s="1"/>
  <c r="O6" i="40"/>
  <c r="N6" i="40"/>
  <c r="G6" i="40"/>
  <c r="C6" i="40"/>
  <c r="K6" i="40" s="1"/>
  <c r="O5" i="40"/>
  <c r="N5" i="40"/>
  <c r="C5" i="40"/>
  <c r="K5" i="40" s="1"/>
  <c r="E45" i="39"/>
  <c r="D45" i="39"/>
  <c r="C45" i="39"/>
  <c r="E44" i="39"/>
  <c r="D44" i="39"/>
  <c r="C44" i="39"/>
  <c r="E43" i="39"/>
  <c r="D43" i="39"/>
  <c r="O30" i="39"/>
  <c r="N30" i="39"/>
  <c r="C30" i="39"/>
  <c r="K30" i="39" s="1"/>
  <c r="O29" i="39"/>
  <c r="N29" i="39"/>
  <c r="C29" i="39"/>
  <c r="G29" i="39" s="1"/>
  <c r="O28" i="39"/>
  <c r="N28" i="39"/>
  <c r="K28" i="39"/>
  <c r="G28" i="39"/>
  <c r="C28" i="39"/>
  <c r="O27" i="39"/>
  <c r="N27" i="39"/>
  <c r="K27" i="39"/>
  <c r="C27" i="39"/>
  <c r="G27" i="39" s="1"/>
  <c r="O23" i="39"/>
  <c r="N23" i="39"/>
  <c r="C23" i="39"/>
  <c r="G23" i="39" s="1"/>
  <c r="O22" i="39"/>
  <c r="N22" i="39"/>
  <c r="K22" i="39"/>
  <c r="G22" i="39"/>
  <c r="C22" i="39"/>
  <c r="O21" i="39"/>
  <c r="N21" i="39"/>
  <c r="K21" i="39"/>
  <c r="C21" i="39"/>
  <c r="G21" i="39" s="1"/>
  <c r="O20" i="39"/>
  <c r="N20" i="39"/>
  <c r="C20" i="39"/>
  <c r="K20" i="39" s="1"/>
  <c r="O16" i="39"/>
  <c r="N16" i="39"/>
  <c r="K16" i="39"/>
  <c r="G16" i="39"/>
  <c r="C16" i="39"/>
  <c r="O15" i="39"/>
  <c r="N15" i="39"/>
  <c r="K15" i="39"/>
  <c r="C15" i="39"/>
  <c r="G15" i="39" s="1"/>
  <c r="O14" i="39"/>
  <c r="N14" i="39"/>
  <c r="G14" i="39"/>
  <c r="C14" i="39"/>
  <c r="K14" i="39" s="1"/>
  <c r="O13" i="39"/>
  <c r="N13" i="39"/>
  <c r="C13" i="39"/>
  <c r="K13" i="39" s="1"/>
  <c r="O9" i="39"/>
  <c r="N9" i="39"/>
  <c r="K9" i="39"/>
  <c r="C9" i="39"/>
  <c r="G9" i="39" s="1"/>
  <c r="O8" i="39"/>
  <c r="N8" i="39"/>
  <c r="C8" i="39"/>
  <c r="K8" i="39" s="1"/>
  <c r="O7" i="39"/>
  <c r="N7" i="39"/>
  <c r="C7" i="39"/>
  <c r="K7" i="39" s="1"/>
  <c r="O6" i="39"/>
  <c r="N6" i="39"/>
  <c r="K6" i="39"/>
  <c r="G6" i="39"/>
  <c r="C6" i="39"/>
  <c r="O5" i="39"/>
  <c r="O31" i="39" s="1"/>
  <c r="O33" i="39" s="1"/>
  <c r="N5" i="39"/>
  <c r="N31" i="39" s="1"/>
  <c r="N33" i="39" s="1"/>
  <c r="C36" i="39" s="1"/>
  <c r="K5" i="39"/>
  <c r="C5" i="39"/>
  <c r="G5" i="39" s="1"/>
  <c r="E45" i="38"/>
  <c r="D45" i="38"/>
  <c r="C45" i="38"/>
  <c r="E44" i="38"/>
  <c r="D44" i="38"/>
  <c r="C44" i="38"/>
  <c r="E43" i="38"/>
  <c r="D43" i="38"/>
  <c r="O30" i="38"/>
  <c r="N30" i="38"/>
  <c r="K30" i="38"/>
  <c r="O29" i="38"/>
  <c r="N29" i="38"/>
  <c r="C29" i="38"/>
  <c r="K29" i="38" s="1"/>
  <c r="O28" i="38"/>
  <c r="N28" i="38"/>
  <c r="C28" i="38"/>
  <c r="G28" i="38" s="1"/>
  <c r="O27" i="38"/>
  <c r="N27" i="38"/>
  <c r="C27" i="38"/>
  <c r="G27" i="38" s="1"/>
  <c r="O23" i="38"/>
  <c r="N23" i="38"/>
  <c r="C23" i="38"/>
  <c r="G23" i="38" s="1"/>
  <c r="O22" i="38"/>
  <c r="N22" i="38"/>
  <c r="C22" i="38"/>
  <c r="K22" i="38" s="1"/>
  <c r="O21" i="38"/>
  <c r="N21" i="38"/>
  <c r="C21" i="38"/>
  <c r="G21" i="38" s="1"/>
  <c r="O20" i="38"/>
  <c r="N20" i="38"/>
  <c r="C20" i="38"/>
  <c r="K20" i="38" s="1"/>
  <c r="O16" i="38"/>
  <c r="N16" i="38"/>
  <c r="K16" i="38"/>
  <c r="G16" i="38"/>
  <c r="C16" i="38"/>
  <c r="O15" i="38"/>
  <c r="N15" i="38"/>
  <c r="K15" i="38"/>
  <c r="C15" i="38"/>
  <c r="G15" i="38" s="1"/>
  <c r="O14" i="38"/>
  <c r="N14" i="38"/>
  <c r="C14" i="38"/>
  <c r="K14" i="38" s="1"/>
  <c r="O13" i="38"/>
  <c r="N13" i="38"/>
  <c r="C13" i="38"/>
  <c r="K13" i="38" s="1"/>
  <c r="O9" i="38"/>
  <c r="N9" i="38"/>
  <c r="C9" i="38"/>
  <c r="G9" i="38" s="1"/>
  <c r="O8" i="38"/>
  <c r="N8" i="38"/>
  <c r="C8" i="38"/>
  <c r="K8" i="38" s="1"/>
  <c r="O7" i="38"/>
  <c r="N7" i="38"/>
  <c r="C7" i="38"/>
  <c r="K7" i="38" s="1"/>
  <c r="O6" i="38"/>
  <c r="N6" i="38"/>
  <c r="G6" i="38"/>
  <c r="C6" i="38"/>
  <c r="K6" i="38" s="1"/>
  <c r="O5" i="38"/>
  <c r="N5" i="38"/>
  <c r="K5" i="38"/>
  <c r="C5" i="38"/>
  <c r="G5" i="38" s="1"/>
  <c r="E45" i="37"/>
  <c r="D45" i="37"/>
  <c r="C45" i="37"/>
  <c r="E44" i="37"/>
  <c r="D44" i="37"/>
  <c r="C44" i="37"/>
  <c r="E43" i="37"/>
  <c r="D43" i="37"/>
  <c r="O30" i="37"/>
  <c r="N30" i="37"/>
  <c r="K30" i="37"/>
  <c r="O29" i="37"/>
  <c r="N29" i="37"/>
  <c r="C29" i="37"/>
  <c r="G29" i="37" s="1"/>
  <c r="O28" i="37"/>
  <c r="N28" i="37"/>
  <c r="C28" i="37"/>
  <c r="G28" i="37" s="1"/>
  <c r="O27" i="37"/>
  <c r="N27" i="37"/>
  <c r="C27" i="37"/>
  <c r="G27" i="37" s="1"/>
  <c r="O23" i="37"/>
  <c r="N23" i="37"/>
  <c r="C23" i="37"/>
  <c r="G23" i="37" s="1"/>
  <c r="O22" i="37"/>
  <c r="N22" i="37"/>
  <c r="C22" i="37"/>
  <c r="K22" i="37" s="1"/>
  <c r="O21" i="37"/>
  <c r="N21" i="37"/>
  <c r="C21" i="37"/>
  <c r="G21" i="37" s="1"/>
  <c r="O20" i="37"/>
  <c r="N20" i="37"/>
  <c r="C20" i="37"/>
  <c r="K20" i="37" s="1"/>
  <c r="O16" i="37"/>
  <c r="N16" i="37"/>
  <c r="K16" i="37"/>
  <c r="G16" i="37"/>
  <c r="C16" i="37"/>
  <c r="O15" i="37"/>
  <c r="N15" i="37"/>
  <c r="K15" i="37"/>
  <c r="C15" i="37"/>
  <c r="G15" i="37" s="1"/>
  <c r="O14" i="37"/>
  <c r="N14" i="37"/>
  <c r="C14" i="37"/>
  <c r="K14" i="37" s="1"/>
  <c r="O13" i="37"/>
  <c r="N13" i="37"/>
  <c r="C13" i="37"/>
  <c r="G13" i="37" s="1"/>
  <c r="O9" i="37"/>
  <c r="N9" i="37"/>
  <c r="C9" i="37"/>
  <c r="G9" i="37" s="1"/>
  <c r="O8" i="37"/>
  <c r="N8" i="37"/>
  <c r="C8" i="37"/>
  <c r="K8" i="37" s="1"/>
  <c r="O7" i="37"/>
  <c r="N7" i="37"/>
  <c r="C7" i="37"/>
  <c r="G7" i="37" s="1"/>
  <c r="O6" i="37"/>
  <c r="N6" i="37"/>
  <c r="G6" i="37"/>
  <c r="C6" i="37"/>
  <c r="K6" i="37" s="1"/>
  <c r="O5" i="37"/>
  <c r="N5" i="37"/>
  <c r="K5" i="37"/>
  <c r="C5" i="37"/>
  <c r="G5" i="37" s="1"/>
  <c r="E45" i="36"/>
  <c r="D45" i="36"/>
  <c r="C45" i="36"/>
  <c r="E44" i="36"/>
  <c r="D44" i="36"/>
  <c r="C44" i="36"/>
  <c r="E43" i="36"/>
  <c r="D43" i="36"/>
  <c r="O30" i="36"/>
  <c r="N30" i="36"/>
  <c r="C30" i="36"/>
  <c r="K30" i="36" s="1"/>
  <c r="O29" i="36"/>
  <c r="N29" i="36"/>
  <c r="C29" i="36"/>
  <c r="K29" i="36" s="1"/>
  <c r="O28" i="36"/>
  <c r="N28" i="36"/>
  <c r="K28" i="36"/>
  <c r="G28" i="36"/>
  <c r="C28" i="36"/>
  <c r="O27" i="36"/>
  <c r="N27" i="36"/>
  <c r="K27" i="36"/>
  <c r="G27" i="36"/>
  <c r="C27" i="36"/>
  <c r="O23" i="36"/>
  <c r="N23" i="36"/>
  <c r="C23" i="36"/>
  <c r="K23" i="36" s="1"/>
  <c r="O22" i="36"/>
  <c r="N22" i="36"/>
  <c r="K22" i="36"/>
  <c r="G22" i="36"/>
  <c r="C22" i="36"/>
  <c r="O21" i="36"/>
  <c r="N21" i="36"/>
  <c r="K21" i="36"/>
  <c r="G21" i="36"/>
  <c r="C21" i="36"/>
  <c r="O20" i="36"/>
  <c r="N20" i="36"/>
  <c r="C20" i="36"/>
  <c r="K20" i="36" s="1"/>
  <c r="O16" i="36"/>
  <c r="N16" i="36"/>
  <c r="K16" i="36"/>
  <c r="G16" i="36"/>
  <c r="C16" i="36"/>
  <c r="O15" i="36"/>
  <c r="N15" i="36"/>
  <c r="K15" i="36"/>
  <c r="G15" i="36"/>
  <c r="C15" i="36"/>
  <c r="O14" i="36"/>
  <c r="N14" i="36"/>
  <c r="C14" i="36"/>
  <c r="K14" i="36" s="1"/>
  <c r="O13" i="36"/>
  <c r="N13" i="36"/>
  <c r="C13" i="36"/>
  <c r="K13" i="36" s="1"/>
  <c r="O9" i="36"/>
  <c r="N9" i="36"/>
  <c r="K9" i="36"/>
  <c r="G9" i="36"/>
  <c r="C9" i="36"/>
  <c r="O8" i="36"/>
  <c r="N8" i="36"/>
  <c r="C8" i="36"/>
  <c r="K8" i="36" s="1"/>
  <c r="O7" i="36"/>
  <c r="N7" i="36"/>
  <c r="C7" i="36"/>
  <c r="K7" i="36" s="1"/>
  <c r="O6" i="36"/>
  <c r="N6" i="36"/>
  <c r="K6" i="36"/>
  <c r="G6" i="36"/>
  <c r="C6" i="36"/>
  <c r="O5" i="36"/>
  <c r="O31" i="36" s="1"/>
  <c r="O33" i="36" s="1"/>
  <c r="N5" i="36"/>
  <c r="N31" i="36" s="1"/>
  <c r="N33" i="36" s="1"/>
  <c r="C36" i="36" s="1"/>
  <c r="K5" i="36"/>
  <c r="G5" i="36"/>
  <c r="C5" i="36"/>
  <c r="E45" i="35"/>
  <c r="D45" i="35"/>
  <c r="C45" i="35"/>
  <c r="E44" i="35"/>
  <c r="D44" i="35"/>
  <c r="C44" i="35"/>
  <c r="E43" i="35"/>
  <c r="D43" i="35"/>
  <c r="O30" i="35"/>
  <c r="N30" i="35"/>
  <c r="C30" i="35"/>
  <c r="K30" i="35" s="1"/>
  <c r="O29" i="35"/>
  <c r="N29" i="35"/>
  <c r="C29" i="35"/>
  <c r="K29" i="35" s="1"/>
  <c r="O28" i="35"/>
  <c r="N28" i="35"/>
  <c r="K28" i="35"/>
  <c r="G28" i="35"/>
  <c r="C28" i="35"/>
  <c r="O27" i="35"/>
  <c r="N27" i="35"/>
  <c r="K27" i="35"/>
  <c r="C27" i="35"/>
  <c r="G27" i="35" s="1"/>
  <c r="O23" i="35"/>
  <c r="N23" i="35"/>
  <c r="C23" i="35"/>
  <c r="K23" i="35" s="1"/>
  <c r="O22" i="35"/>
  <c r="N22" i="35"/>
  <c r="K22" i="35"/>
  <c r="G22" i="35"/>
  <c r="C22" i="35"/>
  <c r="O21" i="35"/>
  <c r="N21" i="35"/>
  <c r="K21" i="35"/>
  <c r="C21" i="35"/>
  <c r="G21" i="35" s="1"/>
  <c r="O20" i="35"/>
  <c r="N20" i="35"/>
  <c r="C20" i="35"/>
  <c r="K20" i="35" s="1"/>
  <c r="O16" i="35"/>
  <c r="N16" i="35"/>
  <c r="K16" i="35"/>
  <c r="G16" i="35"/>
  <c r="C16" i="35"/>
  <c r="O15" i="35"/>
  <c r="N15" i="35"/>
  <c r="K15" i="35"/>
  <c r="C15" i="35"/>
  <c r="G15" i="35" s="1"/>
  <c r="O14" i="35"/>
  <c r="N14" i="35"/>
  <c r="C14" i="35"/>
  <c r="K14" i="35" s="1"/>
  <c r="O13" i="35"/>
  <c r="N13" i="35"/>
  <c r="C13" i="35"/>
  <c r="K13" i="35" s="1"/>
  <c r="O9" i="35"/>
  <c r="N9" i="35"/>
  <c r="K9" i="35"/>
  <c r="C9" i="35"/>
  <c r="G9" i="35" s="1"/>
  <c r="O8" i="35"/>
  <c r="N8" i="35"/>
  <c r="C8" i="35"/>
  <c r="K8" i="35" s="1"/>
  <c r="O7" i="35"/>
  <c r="N7" i="35"/>
  <c r="C7" i="35"/>
  <c r="K7" i="35" s="1"/>
  <c r="O6" i="35"/>
  <c r="N6" i="35"/>
  <c r="K6" i="35"/>
  <c r="G6" i="35"/>
  <c r="C6" i="35"/>
  <c r="O5" i="35"/>
  <c r="O31" i="35" s="1"/>
  <c r="O33" i="35" s="1"/>
  <c r="N5" i="35"/>
  <c r="N31" i="35" s="1"/>
  <c r="N33" i="35" s="1"/>
  <c r="C36" i="35" s="1"/>
  <c r="K5" i="35"/>
  <c r="C5" i="35"/>
  <c r="G5" i="35" s="1"/>
  <c r="E45" i="34"/>
  <c r="D45" i="34"/>
  <c r="C45" i="34"/>
  <c r="E44" i="34"/>
  <c r="D44" i="34"/>
  <c r="C44" i="34"/>
  <c r="E43" i="34"/>
  <c r="D43" i="34"/>
  <c r="O30" i="34"/>
  <c r="N30" i="34"/>
  <c r="K30" i="34"/>
  <c r="O29" i="34"/>
  <c r="N29" i="34"/>
  <c r="C29" i="34"/>
  <c r="K29" i="34" s="1"/>
  <c r="O28" i="34"/>
  <c r="N28" i="34"/>
  <c r="K28" i="34"/>
  <c r="G28" i="34"/>
  <c r="C28" i="34"/>
  <c r="O27" i="34"/>
  <c r="N27" i="34"/>
  <c r="K27" i="34"/>
  <c r="C27" i="34"/>
  <c r="G27" i="34" s="1"/>
  <c r="O23" i="34"/>
  <c r="N23" i="34"/>
  <c r="C23" i="34"/>
  <c r="K23" i="34" s="1"/>
  <c r="O22" i="34"/>
  <c r="N22" i="34"/>
  <c r="K22" i="34"/>
  <c r="G22" i="34"/>
  <c r="C22" i="34"/>
  <c r="O21" i="34"/>
  <c r="N21" i="34"/>
  <c r="K21" i="34"/>
  <c r="C21" i="34"/>
  <c r="G21" i="34" s="1"/>
  <c r="O20" i="34"/>
  <c r="N20" i="34"/>
  <c r="C20" i="34"/>
  <c r="K20" i="34" s="1"/>
  <c r="O16" i="34"/>
  <c r="N16" i="34"/>
  <c r="K16" i="34"/>
  <c r="C16" i="34"/>
  <c r="G16" i="34" s="1"/>
  <c r="O15" i="34"/>
  <c r="N15" i="34"/>
  <c r="C15" i="34"/>
  <c r="K15" i="34" s="1"/>
  <c r="O14" i="34"/>
  <c r="N14" i="34"/>
  <c r="C14" i="34"/>
  <c r="K14" i="34" s="1"/>
  <c r="O13" i="34"/>
  <c r="N13" i="34"/>
  <c r="C13" i="34"/>
  <c r="K13" i="34" s="1"/>
  <c r="O9" i="34"/>
  <c r="N9" i="34"/>
  <c r="C9" i="34"/>
  <c r="K9" i="34" s="1"/>
  <c r="O8" i="34"/>
  <c r="N8" i="34"/>
  <c r="C8" i="34"/>
  <c r="K8" i="34" s="1"/>
  <c r="O7" i="34"/>
  <c r="N7" i="34"/>
  <c r="C7" i="34"/>
  <c r="K7" i="34" s="1"/>
  <c r="O6" i="34"/>
  <c r="N6" i="34"/>
  <c r="K6" i="34"/>
  <c r="G6" i="34"/>
  <c r="C6" i="34"/>
  <c r="O5" i="34"/>
  <c r="N5" i="34"/>
  <c r="K5" i="34"/>
  <c r="G5" i="34"/>
  <c r="C5" i="34"/>
  <c r="E45" i="33"/>
  <c r="D45" i="33"/>
  <c r="C45" i="33"/>
  <c r="E44" i="33"/>
  <c r="D44" i="33"/>
  <c r="C44" i="33"/>
  <c r="E43" i="33"/>
  <c r="D43" i="33"/>
  <c r="N30" i="33"/>
  <c r="K30" i="33"/>
  <c r="O29" i="33"/>
  <c r="N29" i="33"/>
  <c r="C29" i="33"/>
  <c r="K29" i="33" s="1"/>
  <c r="O28" i="33"/>
  <c r="N28" i="33"/>
  <c r="K28" i="33"/>
  <c r="G28" i="33"/>
  <c r="C28" i="33"/>
  <c r="O27" i="33"/>
  <c r="N27" i="33"/>
  <c r="K27" i="33"/>
  <c r="C27" i="33"/>
  <c r="G27" i="33" s="1"/>
  <c r="O23" i="33"/>
  <c r="N23" i="33"/>
  <c r="C23" i="33"/>
  <c r="G23" i="33" s="1"/>
  <c r="O22" i="33"/>
  <c r="N22" i="33"/>
  <c r="K22" i="33"/>
  <c r="C22" i="33"/>
  <c r="G22" i="33" s="1"/>
  <c r="O21" i="33"/>
  <c r="N21" i="33"/>
  <c r="C21" i="33"/>
  <c r="G21" i="33" s="1"/>
  <c r="O20" i="33"/>
  <c r="N20" i="33"/>
  <c r="C20" i="33"/>
  <c r="K20" i="33" s="1"/>
  <c r="O16" i="33"/>
  <c r="N16" i="33"/>
  <c r="C16" i="33"/>
  <c r="K16" i="33" s="1"/>
  <c r="O15" i="33"/>
  <c r="N15" i="33"/>
  <c r="C15" i="33"/>
  <c r="G15" i="33" s="1"/>
  <c r="O14" i="33"/>
  <c r="N14" i="33"/>
  <c r="C14" i="33"/>
  <c r="K14" i="33" s="1"/>
  <c r="O13" i="33"/>
  <c r="N13" i="33"/>
  <c r="C13" i="33"/>
  <c r="G13" i="33" s="1"/>
  <c r="O9" i="33"/>
  <c r="N9" i="33"/>
  <c r="C9" i="33"/>
  <c r="G9" i="33" s="1"/>
  <c r="O8" i="33"/>
  <c r="N8" i="33"/>
  <c r="C8" i="33"/>
  <c r="K8" i="33" s="1"/>
  <c r="O7" i="33"/>
  <c r="N7" i="33"/>
  <c r="C7" i="33"/>
  <c r="G7" i="33" s="1"/>
  <c r="O6" i="33"/>
  <c r="N6" i="33"/>
  <c r="C6" i="33"/>
  <c r="K6" i="33" s="1"/>
  <c r="O5" i="33"/>
  <c r="N5" i="33"/>
  <c r="C5" i="33"/>
  <c r="G5" i="33" s="1"/>
  <c r="E45" i="32"/>
  <c r="D45" i="32"/>
  <c r="C45" i="32"/>
  <c r="E44" i="32"/>
  <c r="D44" i="32"/>
  <c r="C44" i="32"/>
  <c r="E43" i="32"/>
  <c r="D43" i="32"/>
  <c r="N30" i="32"/>
  <c r="K30" i="32"/>
  <c r="O29" i="32"/>
  <c r="N29" i="32"/>
  <c r="C29" i="32"/>
  <c r="K29" i="32" s="1"/>
  <c r="O28" i="32"/>
  <c r="N28" i="32"/>
  <c r="C28" i="32"/>
  <c r="K28" i="32" s="1"/>
  <c r="O27" i="32"/>
  <c r="N27" i="32"/>
  <c r="K27" i="32"/>
  <c r="G27" i="32"/>
  <c r="C27" i="32"/>
  <c r="O23" i="32"/>
  <c r="N23" i="32"/>
  <c r="C23" i="32"/>
  <c r="K23" i="32" s="1"/>
  <c r="O22" i="32"/>
  <c r="N22" i="32"/>
  <c r="K22" i="32"/>
  <c r="G22" i="32"/>
  <c r="C22" i="32"/>
  <c r="O21" i="32"/>
  <c r="N21" i="32"/>
  <c r="C21" i="32"/>
  <c r="K21" i="32" s="1"/>
  <c r="O20" i="32"/>
  <c r="N20" i="32"/>
  <c r="C20" i="32"/>
  <c r="K20" i="32" s="1"/>
  <c r="O16" i="32"/>
  <c r="N16" i="32"/>
  <c r="C16" i="32"/>
  <c r="K16" i="32" s="1"/>
  <c r="O15" i="32"/>
  <c r="N15" i="32"/>
  <c r="C15" i="32"/>
  <c r="G15" i="32" s="1"/>
  <c r="O14" i="32"/>
  <c r="N14" i="32"/>
  <c r="C14" i="32"/>
  <c r="K14" i="32" s="1"/>
  <c r="O13" i="32"/>
  <c r="N13" i="32"/>
  <c r="C13" i="32"/>
  <c r="K13" i="32" s="1"/>
  <c r="O9" i="32"/>
  <c r="N9" i="32"/>
  <c r="C9" i="32"/>
  <c r="K9" i="32" s="1"/>
  <c r="O8" i="32"/>
  <c r="N8" i="32"/>
  <c r="C8" i="32"/>
  <c r="K8" i="32" s="1"/>
  <c r="O7" i="32"/>
  <c r="N7" i="32"/>
  <c r="C7" i="32"/>
  <c r="K7" i="32" s="1"/>
  <c r="O6" i="32"/>
  <c r="N6" i="32"/>
  <c r="C6" i="32"/>
  <c r="K6" i="32" s="1"/>
  <c r="O5" i="32"/>
  <c r="N5" i="32"/>
  <c r="C5" i="32"/>
  <c r="K5" i="32" s="1"/>
  <c r="E45" i="31"/>
  <c r="D45" i="31"/>
  <c r="C45" i="31"/>
  <c r="E44" i="31"/>
  <c r="D44" i="31"/>
  <c r="C44" i="31"/>
  <c r="E43" i="31"/>
  <c r="D43" i="31"/>
  <c r="O30" i="31"/>
  <c r="N30" i="31"/>
  <c r="C30" i="31"/>
  <c r="K30" i="31" s="1"/>
  <c r="O29" i="31"/>
  <c r="N29" i="31"/>
  <c r="C29" i="31"/>
  <c r="G29" i="31" s="1"/>
  <c r="O28" i="31"/>
  <c r="N28" i="31"/>
  <c r="C28" i="31"/>
  <c r="K28" i="31" s="1"/>
  <c r="O27" i="31"/>
  <c r="N27" i="31"/>
  <c r="C27" i="31"/>
  <c r="K27" i="31" s="1"/>
  <c r="O23" i="31"/>
  <c r="N23" i="31"/>
  <c r="C23" i="31"/>
  <c r="K23" i="31" s="1"/>
  <c r="O22" i="31"/>
  <c r="N22" i="31"/>
  <c r="C22" i="31"/>
  <c r="G22" i="31" s="1"/>
  <c r="O21" i="31"/>
  <c r="N21" i="31"/>
  <c r="K21" i="31"/>
  <c r="G21" i="31"/>
  <c r="C21" i="31"/>
  <c r="O20" i="31"/>
  <c r="N20" i="31"/>
  <c r="C20" i="31"/>
  <c r="K20" i="31" s="1"/>
  <c r="O16" i="31"/>
  <c r="N16" i="31"/>
  <c r="C16" i="31"/>
  <c r="K16" i="31" s="1"/>
  <c r="O15" i="31"/>
  <c r="N15" i="31"/>
  <c r="C15" i="31"/>
  <c r="G15" i="31" s="1"/>
  <c r="O14" i="31"/>
  <c r="N14" i="31"/>
  <c r="C14" i="31"/>
  <c r="K14" i="31" s="1"/>
  <c r="O13" i="31"/>
  <c r="N13" i="31"/>
  <c r="C13" i="31"/>
  <c r="G13" i="31" s="1"/>
  <c r="O9" i="31"/>
  <c r="N9" i="31"/>
  <c r="C9" i="31"/>
  <c r="G9" i="31" s="1"/>
  <c r="O8" i="31"/>
  <c r="N8" i="31"/>
  <c r="C8" i="31"/>
  <c r="K8" i="31" s="1"/>
  <c r="O7" i="31"/>
  <c r="N7" i="31"/>
  <c r="C7" i="31"/>
  <c r="G7" i="31" s="1"/>
  <c r="O6" i="31"/>
  <c r="N6" i="31"/>
  <c r="K6" i="31"/>
  <c r="C6" i="31"/>
  <c r="G6" i="31" s="1"/>
  <c r="O5" i="31"/>
  <c r="N5" i="31"/>
  <c r="C5" i="31"/>
  <c r="G5" i="31" s="1"/>
  <c r="E45" i="30"/>
  <c r="D45" i="30"/>
  <c r="C45" i="30"/>
  <c r="E44" i="30"/>
  <c r="D44" i="30"/>
  <c r="C44" i="30"/>
  <c r="E43" i="30"/>
  <c r="D43" i="30"/>
  <c r="O30" i="30"/>
  <c r="N30" i="30"/>
  <c r="C30" i="30"/>
  <c r="K30" i="30" s="1"/>
  <c r="O29" i="30"/>
  <c r="N29" i="30"/>
  <c r="K29" i="30"/>
  <c r="C29" i="30"/>
  <c r="G29" i="30" s="1"/>
  <c r="O28" i="30"/>
  <c r="N28" i="30"/>
  <c r="C28" i="30"/>
  <c r="K28" i="30" s="1"/>
  <c r="O27" i="30"/>
  <c r="N27" i="30"/>
  <c r="C27" i="30"/>
  <c r="G27" i="30" s="1"/>
  <c r="O23" i="30"/>
  <c r="N23" i="30"/>
  <c r="K23" i="30"/>
  <c r="G23" i="30"/>
  <c r="C23" i="30"/>
  <c r="O22" i="30"/>
  <c r="N22" i="30"/>
  <c r="C22" i="30"/>
  <c r="K22" i="30" s="1"/>
  <c r="O21" i="30"/>
  <c r="N21" i="30"/>
  <c r="C21" i="30"/>
  <c r="G21" i="30" s="1"/>
  <c r="O20" i="30"/>
  <c r="N20" i="30"/>
  <c r="C20" i="30"/>
  <c r="K20" i="30" s="1"/>
  <c r="O16" i="30"/>
  <c r="N16" i="30"/>
  <c r="K16" i="30"/>
  <c r="G16" i="30"/>
  <c r="C16" i="30"/>
  <c r="O15" i="30"/>
  <c r="N15" i="30"/>
  <c r="C15" i="30"/>
  <c r="G15" i="30" s="1"/>
  <c r="O14" i="30"/>
  <c r="N14" i="30"/>
  <c r="C14" i="30"/>
  <c r="K14" i="30" s="1"/>
  <c r="O13" i="30"/>
  <c r="N13" i="30"/>
  <c r="C13" i="30"/>
  <c r="K13" i="30" s="1"/>
  <c r="O9" i="30"/>
  <c r="N9" i="30"/>
  <c r="C9" i="30"/>
  <c r="G9" i="30" s="1"/>
  <c r="O8" i="30"/>
  <c r="N8" i="30"/>
  <c r="C8" i="30"/>
  <c r="K8" i="30" s="1"/>
  <c r="O7" i="30"/>
  <c r="N7" i="30"/>
  <c r="C7" i="30"/>
  <c r="K7" i="30" s="1"/>
  <c r="O6" i="30"/>
  <c r="N6" i="30"/>
  <c r="C6" i="30"/>
  <c r="K6" i="30" s="1"/>
  <c r="O5" i="30"/>
  <c r="N5" i="30"/>
  <c r="C5" i="30"/>
  <c r="G5" i="30" s="1"/>
  <c r="Y115" i="24"/>
  <c r="Y114" i="24"/>
  <c r="Y113" i="24"/>
  <c r="Y112" i="24"/>
  <c r="Y111" i="24"/>
  <c r="Y110" i="24"/>
  <c r="Y109" i="24"/>
  <c r="Y108" i="24"/>
  <c r="Y107" i="24"/>
  <c r="Y106" i="24"/>
  <c r="Y105" i="24"/>
  <c r="Y104" i="24"/>
  <c r="Y103" i="24"/>
  <c r="Y102" i="24"/>
  <c r="Y101" i="24"/>
  <c r="Y100" i="24"/>
  <c r="Y99" i="24"/>
  <c r="G28" i="32" l="1"/>
  <c r="G16" i="32"/>
  <c r="K15" i="32"/>
  <c r="K27" i="44"/>
  <c r="G28" i="44"/>
  <c r="N31" i="44"/>
  <c r="N33" i="44" s="1"/>
  <c r="C36" i="44" s="1"/>
  <c r="K15" i="44"/>
  <c r="K5" i="44"/>
  <c r="G6" i="44"/>
  <c r="O31" i="44"/>
  <c r="O33" i="44" s="1"/>
  <c r="K15" i="43"/>
  <c r="G16" i="43"/>
  <c r="N31" i="43"/>
  <c r="N33" i="43" s="1"/>
  <c r="C36" i="43" s="1"/>
  <c r="K6" i="43"/>
  <c r="K5" i="43"/>
  <c r="O31" i="43"/>
  <c r="O33" i="43" s="1"/>
  <c r="G27" i="42"/>
  <c r="N31" i="42"/>
  <c r="N33" i="42" s="1"/>
  <c r="C36" i="42" s="1"/>
  <c r="G28" i="42"/>
  <c r="K14" i="42"/>
  <c r="G15" i="42"/>
  <c r="G16" i="42"/>
  <c r="G5" i="42"/>
  <c r="K8" i="42"/>
  <c r="G9" i="42"/>
  <c r="G6" i="42"/>
  <c r="G27" i="41"/>
  <c r="O31" i="41"/>
  <c r="O33" i="41" s="1"/>
  <c r="K15" i="41"/>
  <c r="G16" i="41"/>
  <c r="G22" i="41"/>
  <c r="G9" i="41"/>
  <c r="K5" i="41"/>
  <c r="G6" i="41"/>
  <c r="N31" i="41"/>
  <c r="N33" i="41" s="1"/>
  <c r="C36" i="41" s="1"/>
  <c r="G16" i="40"/>
  <c r="K21" i="40"/>
  <c r="G22" i="40"/>
  <c r="O31" i="40"/>
  <c r="O33" i="40" s="1"/>
  <c r="G5" i="40"/>
  <c r="G9" i="40"/>
  <c r="N31" i="40"/>
  <c r="N33" i="40" s="1"/>
  <c r="C36" i="40" s="1"/>
  <c r="K28" i="38"/>
  <c r="K27" i="38"/>
  <c r="O31" i="38"/>
  <c r="O33" i="38" s="1"/>
  <c r="K21" i="38"/>
  <c r="G22" i="38"/>
  <c r="N31" i="38"/>
  <c r="N33" i="38" s="1"/>
  <c r="C36" i="38" s="1"/>
  <c r="K9" i="38"/>
  <c r="K28" i="37"/>
  <c r="K27" i="37"/>
  <c r="K21" i="37"/>
  <c r="G22" i="37"/>
  <c r="N31" i="37"/>
  <c r="N33" i="37" s="1"/>
  <c r="C36" i="37" s="1"/>
  <c r="O31" i="37"/>
  <c r="O33" i="37" s="1"/>
  <c r="K9" i="37"/>
  <c r="G15" i="34"/>
  <c r="N31" i="34"/>
  <c r="N33" i="34" s="1"/>
  <c r="C36" i="34" s="1"/>
  <c r="O31" i="34"/>
  <c r="O33" i="34" s="1"/>
  <c r="G9" i="34"/>
  <c r="K15" i="33"/>
  <c r="G16" i="33"/>
  <c r="O31" i="33"/>
  <c r="O33" i="33" s="1"/>
  <c r="K21" i="33"/>
  <c r="K9" i="33"/>
  <c r="K5" i="33"/>
  <c r="G6" i="33"/>
  <c r="N31" i="33"/>
  <c r="N33" i="33" s="1"/>
  <c r="C36" i="33" s="1"/>
  <c r="G21" i="32"/>
  <c r="G9" i="32"/>
  <c r="O31" i="32"/>
  <c r="O33" i="32" s="1"/>
  <c r="G5" i="32"/>
  <c r="G6" i="32"/>
  <c r="N31" i="32"/>
  <c r="N33" i="32" s="1"/>
  <c r="C36" i="32" s="1"/>
  <c r="G27" i="31"/>
  <c r="G28" i="31"/>
  <c r="K15" i="31"/>
  <c r="G16" i="31"/>
  <c r="N31" i="31"/>
  <c r="N33" i="31" s="1"/>
  <c r="C36" i="31" s="1"/>
  <c r="K22" i="31"/>
  <c r="O31" i="31"/>
  <c r="O33" i="31" s="1"/>
  <c r="K9" i="31"/>
  <c r="K5" i="31"/>
  <c r="G28" i="30"/>
  <c r="G13" i="30"/>
  <c r="G22" i="30"/>
  <c r="G6" i="30"/>
  <c r="N31" i="30"/>
  <c r="N33" i="30" s="1"/>
  <c r="C36" i="30" s="1"/>
  <c r="G7" i="30"/>
  <c r="O31" i="30"/>
  <c r="O33" i="30" s="1"/>
  <c r="G8" i="30"/>
  <c r="C18" i="44"/>
  <c r="G23" i="44"/>
  <c r="G29" i="44"/>
  <c r="K7" i="44"/>
  <c r="G8" i="44"/>
  <c r="C11" i="44" s="1"/>
  <c r="K13" i="44"/>
  <c r="G14" i="44"/>
  <c r="G20" i="44"/>
  <c r="C25" i="44" s="1"/>
  <c r="G30" i="44"/>
  <c r="G7" i="43"/>
  <c r="G13" i="43"/>
  <c r="G23" i="43"/>
  <c r="G29" i="43"/>
  <c r="G8" i="43"/>
  <c r="G14" i="43"/>
  <c r="G20" i="43"/>
  <c r="C25" i="43" s="1"/>
  <c r="G30" i="43"/>
  <c r="G7" i="42"/>
  <c r="C11" i="42" s="1"/>
  <c r="G13" i="42"/>
  <c r="C18" i="42" s="1"/>
  <c r="G23" i="42"/>
  <c r="C25" i="42" s="1"/>
  <c r="G29" i="42"/>
  <c r="G30" i="42"/>
  <c r="G13" i="41"/>
  <c r="G23" i="41"/>
  <c r="K7" i="41"/>
  <c r="G8" i="41"/>
  <c r="C11" i="41" s="1"/>
  <c r="G14" i="41"/>
  <c r="G20" i="41"/>
  <c r="K29" i="41"/>
  <c r="G30" i="41"/>
  <c r="C32" i="41" s="1"/>
  <c r="C18" i="40"/>
  <c r="G23" i="40"/>
  <c r="K7" i="40"/>
  <c r="G8" i="40"/>
  <c r="K13" i="40"/>
  <c r="G14" i="40"/>
  <c r="G20" i="40"/>
  <c r="K29" i="40"/>
  <c r="G30" i="40"/>
  <c r="C32" i="40" s="1"/>
  <c r="G20" i="39"/>
  <c r="C25" i="39" s="1"/>
  <c r="K23" i="39"/>
  <c r="K29" i="39"/>
  <c r="G30" i="39"/>
  <c r="C32" i="39" s="1"/>
  <c r="G7" i="39"/>
  <c r="C11" i="39" s="1"/>
  <c r="G13" i="39"/>
  <c r="C18" i="39" s="1"/>
  <c r="G8" i="39"/>
  <c r="G13" i="38"/>
  <c r="C18" i="38" s="1"/>
  <c r="G29" i="38"/>
  <c r="G8" i="38"/>
  <c r="G20" i="38"/>
  <c r="C25" i="38" s="1"/>
  <c r="K23" i="38"/>
  <c r="G30" i="38"/>
  <c r="G7" i="38"/>
  <c r="C11" i="38" s="1"/>
  <c r="G14" i="38"/>
  <c r="K7" i="37"/>
  <c r="G8" i="37"/>
  <c r="C11" i="37" s="1"/>
  <c r="K13" i="37"/>
  <c r="G14" i="37"/>
  <c r="C18" i="37" s="1"/>
  <c r="G20" i="37"/>
  <c r="C25" i="37" s="1"/>
  <c r="K23" i="37"/>
  <c r="K29" i="37"/>
  <c r="G30" i="37"/>
  <c r="C32" i="37" s="1"/>
  <c r="G7" i="36"/>
  <c r="C11" i="36" s="1"/>
  <c r="G13" i="36"/>
  <c r="G23" i="36"/>
  <c r="G29" i="36"/>
  <c r="C32" i="36" s="1"/>
  <c r="G8" i="36"/>
  <c r="G14" i="36"/>
  <c r="G20" i="36"/>
  <c r="C25" i="36" s="1"/>
  <c r="G30" i="36"/>
  <c r="G7" i="35"/>
  <c r="C11" i="35" s="1"/>
  <c r="G13" i="35"/>
  <c r="G23" i="35"/>
  <c r="G29" i="35"/>
  <c r="C32" i="35" s="1"/>
  <c r="G8" i="35"/>
  <c r="G14" i="35"/>
  <c r="G20" i="35"/>
  <c r="C25" i="35" s="1"/>
  <c r="G30" i="35"/>
  <c r="G13" i="34"/>
  <c r="C18" i="34" s="1"/>
  <c r="G23" i="34"/>
  <c r="G29" i="34"/>
  <c r="G7" i="34"/>
  <c r="G8" i="34"/>
  <c r="G14" i="34"/>
  <c r="G20" i="34"/>
  <c r="G30" i="34"/>
  <c r="C32" i="34" s="1"/>
  <c r="C18" i="33"/>
  <c r="G29" i="33"/>
  <c r="K7" i="33"/>
  <c r="G8" i="33"/>
  <c r="K13" i="33"/>
  <c r="G14" i="33"/>
  <c r="G20" i="33"/>
  <c r="C25" i="33" s="1"/>
  <c r="K23" i="33"/>
  <c r="G30" i="33"/>
  <c r="G7" i="32"/>
  <c r="G13" i="32"/>
  <c r="G23" i="32"/>
  <c r="G29" i="32"/>
  <c r="G8" i="32"/>
  <c r="G14" i="32"/>
  <c r="G20" i="32"/>
  <c r="C25" i="32" s="1"/>
  <c r="G30" i="32"/>
  <c r="G23" i="31"/>
  <c r="K7" i="31"/>
  <c r="G8" i="31"/>
  <c r="C11" i="31" s="1"/>
  <c r="K13" i="31"/>
  <c r="G14" i="31"/>
  <c r="C18" i="31" s="1"/>
  <c r="G20" i="31"/>
  <c r="C25" i="31" s="1"/>
  <c r="K29" i="31"/>
  <c r="G30" i="31"/>
  <c r="C32" i="31" s="1"/>
  <c r="C11" i="30"/>
  <c r="K5" i="30"/>
  <c r="K9" i="30"/>
  <c r="K15" i="30"/>
  <c r="K21" i="30"/>
  <c r="K27" i="30"/>
  <c r="G14" i="30"/>
  <c r="G20" i="30"/>
  <c r="C25" i="30" s="1"/>
  <c r="G30" i="30"/>
  <c r="C32" i="30" s="1"/>
  <c r="C32" i="44" l="1"/>
  <c r="C32" i="43"/>
  <c r="C11" i="43"/>
  <c r="C32" i="42"/>
  <c r="C25" i="41"/>
  <c r="F36" i="40"/>
  <c r="D39" i="40" s="1"/>
  <c r="F38" i="40" s="1"/>
  <c r="C43" i="40" s="1"/>
  <c r="C25" i="40"/>
  <c r="C32" i="38"/>
  <c r="C25" i="34"/>
  <c r="C11" i="34"/>
  <c r="C32" i="33"/>
  <c r="F36" i="33"/>
  <c r="D39" i="33" s="1"/>
  <c r="F38" i="33" s="1"/>
  <c r="C43" i="33" s="1"/>
  <c r="C32" i="32"/>
  <c r="F36" i="32"/>
  <c r="D39" i="32" s="1"/>
  <c r="F38" i="32" s="1"/>
  <c r="C43" i="32" s="1"/>
  <c r="D39" i="30"/>
  <c r="F38" i="30" s="1"/>
  <c r="C43" i="30" s="1"/>
  <c r="F36" i="44"/>
  <c r="D39" i="44" s="1"/>
  <c r="F38" i="44" s="1"/>
  <c r="C43" i="44" s="1"/>
  <c r="F36" i="43"/>
  <c r="D39" i="43" s="1"/>
  <c r="F38" i="43" s="1"/>
  <c r="C43" i="43" s="1"/>
  <c r="C18" i="43"/>
  <c r="F36" i="42"/>
  <c r="D39" i="42" s="1"/>
  <c r="F38" i="42" s="1"/>
  <c r="C43" i="42" s="1"/>
  <c r="F36" i="41"/>
  <c r="D39" i="41" s="1"/>
  <c r="F38" i="41" s="1"/>
  <c r="C43" i="41" s="1"/>
  <c r="C18" i="41"/>
  <c r="C11" i="40"/>
  <c r="F36" i="39"/>
  <c r="D39" i="39" s="1"/>
  <c r="F38" i="39" s="1"/>
  <c r="C43" i="39" s="1"/>
  <c r="F36" i="38"/>
  <c r="D39" i="38" s="1"/>
  <c r="F38" i="38" s="1"/>
  <c r="C43" i="38" s="1"/>
  <c r="F36" i="37"/>
  <c r="D39" i="37" s="1"/>
  <c r="F38" i="37" s="1"/>
  <c r="C43" i="37" s="1"/>
  <c r="F36" i="36"/>
  <c r="D39" i="36" s="1"/>
  <c r="F38" i="36" s="1"/>
  <c r="C43" i="36" s="1"/>
  <c r="C18" i="36"/>
  <c r="F36" i="35"/>
  <c r="D39" i="35" s="1"/>
  <c r="F38" i="35" s="1"/>
  <c r="C43" i="35" s="1"/>
  <c r="C18" i="35"/>
  <c r="F36" i="34"/>
  <c r="D39" i="34" s="1"/>
  <c r="F38" i="34" s="1"/>
  <c r="C43" i="34" s="1"/>
  <c r="C11" i="33"/>
  <c r="C11" i="32"/>
  <c r="C18" i="32"/>
  <c r="D39" i="31"/>
  <c r="F38" i="31" s="1"/>
  <c r="C43" i="31" s="1"/>
  <c r="C18" i="30"/>
  <c r="E45" i="26" l="1"/>
  <c r="D45" i="26"/>
  <c r="C45" i="26"/>
  <c r="E44" i="26"/>
  <c r="D44" i="26"/>
  <c r="C44" i="26"/>
  <c r="E43" i="26"/>
  <c r="D43" i="26"/>
  <c r="N30" i="26"/>
  <c r="C30" i="26"/>
  <c r="G30" i="26" s="1"/>
  <c r="N29" i="26"/>
  <c r="C29" i="26"/>
  <c r="K29" i="26" s="1"/>
  <c r="O28" i="26"/>
  <c r="N28" i="26"/>
  <c r="C28" i="26"/>
  <c r="G28" i="26" s="1"/>
  <c r="O27" i="26"/>
  <c r="N27" i="26"/>
  <c r="C27" i="26"/>
  <c r="K27" i="26" s="1"/>
  <c r="O23" i="26"/>
  <c r="N23" i="26"/>
  <c r="C23" i="26"/>
  <c r="K23" i="26" s="1"/>
  <c r="O22" i="26"/>
  <c r="N22" i="26"/>
  <c r="C22" i="26"/>
  <c r="G22" i="26" s="1"/>
  <c r="O21" i="26"/>
  <c r="N21" i="26"/>
  <c r="C21" i="26"/>
  <c r="K21" i="26" s="1"/>
  <c r="O20" i="26"/>
  <c r="N20" i="26"/>
  <c r="C20" i="26"/>
  <c r="G20" i="26" s="1"/>
  <c r="O16" i="26"/>
  <c r="N16" i="26"/>
  <c r="C16" i="26"/>
  <c r="G16" i="26" s="1"/>
  <c r="O15" i="26"/>
  <c r="N15" i="26"/>
  <c r="C15" i="26"/>
  <c r="K15" i="26" s="1"/>
  <c r="O14" i="26"/>
  <c r="N14" i="26"/>
  <c r="C14" i="26"/>
  <c r="G14" i="26" s="1"/>
  <c r="O13" i="26"/>
  <c r="N13" i="26"/>
  <c r="C13" i="26"/>
  <c r="G13" i="26" s="1"/>
  <c r="O9" i="26"/>
  <c r="N9" i="26"/>
  <c r="C9" i="26"/>
  <c r="K9" i="26" s="1"/>
  <c r="O8" i="26"/>
  <c r="N8" i="26"/>
  <c r="C8" i="26"/>
  <c r="K8" i="26" s="1"/>
  <c r="O7" i="26"/>
  <c r="N7" i="26"/>
  <c r="C7" i="26"/>
  <c r="G7" i="26" s="1"/>
  <c r="O6" i="26"/>
  <c r="N6" i="26"/>
  <c r="C6" i="26"/>
  <c r="G6" i="26" s="1"/>
  <c r="O5" i="26"/>
  <c r="N5" i="26"/>
  <c r="C5" i="26"/>
  <c r="K5" i="26" s="1"/>
  <c r="K13" i="26" l="1"/>
  <c r="K14" i="26"/>
  <c r="K20" i="26"/>
  <c r="K30" i="26"/>
  <c r="K7" i="26"/>
  <c r="K16" i="26"/>
  <c r="K22" i="26"/>
  <c r="K6" i="26"/>
  <c r="K28" i="26"/>
  <c r="G29" i="26"/>
  <c r="G23" i="26"/>
  <c r="N31" i="26"/>
  <c r="N33" i="26" s="1"/>
  <c r="C36" i="26" s="1"/>
  <c r="O31" i="26"/>
  <c r="O33" i="26" s="1"/>
  <c r="G8" i="26"/>
  <c r="G15" i="26"/>
  <c r="C18" i="26" s="1"/>
  <c r="G21" i="26"/>
  <c r="G27" i="26"/>
  <c r="G5" i="26"/>
  <c r="G9" i="26"/>
  <c r="C32" i="26" l="1"/>
  <c r="C25" i="26"/>
  <c r="D39" i="26"/>
  <c r="F38" i="26" s="1"/>
  <c r="C43" i="26" s="1"/>
  <c r="C11" i="26"/>
  <c r="V61" i="24" l="1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V48" i="24"/>
  <c r="U48" i="24"/>
  <c r="T48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F48" i="24"/>
  <c r="E48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V47" i="24"/>
  <c r="U47" i="24"/>
  <c r="T47" i="24"/>
  <c r="S47" i="24"/>
  <c r="R47" i="24"/>
  <c r="Q47" i="24"/>
  <c r="P47" i="24"/>
  <c r="O47" i="24"/>
  <c r="N47" i="24"/>
  <c r="M47" i="24"/>
  <c r="L47" i="24"/>
  <c r="K47" i="24"/>
  <c r="J47" i="24"/>
  <c r="I47" i="24"/>
  <c r="H47" i="24"/>
  <c r="G47" i="24"/>
  <c r="F47" i="24"/>
  <c r="E47" i="24"/>
  <c r="Q78" i="24" l="1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A6" i="24" l="1"/>
  <c r="A7" i="24"/>
  <c r="A11" i="24"/>
  <c r="A12" i="24"/>
  <c r="A8" i="24" l="1"/>
  <c r="A9" i="24"/>
  <c r="A10" i="24"/>
  <c r="A13" i="24"/>
  <c r="A14" i="24"/>
  <c r="A15" i="24"/>
  <c r="A16" i="24"/>
  <c r="Q84" i="24" l="1"/>
  <c r="Q83" i="24"/>
  <c r="Q82" i="24"/>
  <c r="A25" i="24"/>
  <c r="A26" i="24"/>
  <c r="A40" i="24"/>
  <c r="A39" i="24"/>
  <c r="A38" i="24"/>
  <c r="A37" i="24"/>
  <c r="A36" i="24"/>
  <c r="A35" i="24"/>
  <c r="A34" i="24"/>
  <c r="A33" i="24"/>
  <c r="A32" i="24"/>
  <c r="A31" i="24"/>
  <c r="A30" i="24"/>
  <c r="A29" i="24"/>
  <c r="A28" i="24"/>
  <c r="A27" i="24"/>
  <c r="V60" i="24"/>
  <c r="V59" i="24"/>
  <c r="V58" i="24"/>
  <c r="V57" i="24"/>
  <c r="V55" i="24"/>
  <c r="V54" i="24"/>
  <c r="V51" i="24"/>
  <c r="V50" i="24"/>
  <c r="R78" i="24" s="1"/>
  <c r="V49" i="24"/>
  <c r="V46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U59" i="24"/>
  <c r="T59" i="24"/>
  <c r="S59" i="24"/>
  <c r="R59" i="24"/>
  <c r="Q59" i="24"/>
  <c r="P59" i="24"/>
  <c r="O59" i="24"/>
  <c r="N59" i="24"/>
  <c r="M59" i="24"/>
  <c r="L59" i="24"/>
  <c r="K59" i="24"/>
  <c r="J59" i="24"/>
  <c r="I59" i="24"/>
  <c r="H59" i="24"/>
  <c r="G59" i="24"/>
  <c r="F59" i="24"/>
  <c r="E59" i="24"/>
  <c r="U58" i="24"/>
  <c r="T58" i="24"/>
  <c r="S58" i="24"/>
  <c r="R58" i="24"/>
  <c r="Q58" i="24"/>
  <c r="P58" i="24"/>
  <c r="O58" i="24"/>
  <c r="N58" i="24"/>
  <c r="M58" i="24"/>
  <c r="L58" i="24"/>
  <c r="K58" i="24"/>
  <c r="J58" i="24"/>
  <c r="I58" i="24"/>
  <c r="H58" i="24"/>
  <c r="G58" i="24"/>
  <c r="F58" i="24"/>
  <c r="E58" i="24"/>
  <c r="U57" i="24"/>
  <c r="T57" i="24"/>
  <c r="S57" i="24"/>
  <c r="R57" i="24"/>
  <c r="Q57" i="24"/>
  <c r="P57" i="24"/>
  <c r="O57" i="24"/>
  <c r="N57" i="24"/>
  <c r="M57" i="24"/>
  <c r="L57" i="24"/>
  <c r="K57" i="24"/>
  <c r="J57" i="24"/>
  <c r="I57" i="24"/>
  <c r="H57" i="24"/>
  <c r="G57" i="24"/>
  <c r="F57" i="24"/>
  <c r="E57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U46" i="24"/>
  <c r="T46" i="24"/>
  <c r="S46" i="24"/>
  <c r="R46" i="24"/>
  <c r="Q46" i="24"/>
  <c r="P46" i="24"/>
  <c r="O46" i="24"/>
  <c r="N46" i="24"/>
  <c r="M46" i="24"/>
  <c r="L46" i="24"/>
  <c r="K46" i="24"/>
  <c r="J46" i="24"/>
  <c r="I46" i="24"/>
  <c r="H46" i="24"/>
  <c r="G46" i="24"/>
  <c r="F46" i="24"/>
  <c r="E46" i="24"/>
  <c r="H79" i="24" l="1"/>
  <c r="K79" i="24" s="1"/>
  <c r="H75" i="24"/>
  <c r="H72" i="24"/>
  <c r="K72" i="24" s="1"/>
  <c r="H78" i="24"/>
  <c r="J78" i="24" s="1"/>
  <c r="A47" i="24"/>
  <c r="I79" i="24"/>
  <c r="A57" i="24"/>
  <c r="H77" i="24"/>
  <c r="I77" i="24" s="1"/>
  <c r="A54" i="24"/>
  <c r="A59" i="24"/>
  <c r="H80" i="24"/>
  <c r="A49" i="24"/>
  <c r="A60" i="24"/>
  <c r="H71" i="24"/>
  <c r="H74" i="24"/>
  <c r="A50" i="24"/>
  <c r="A58" i="24"/>
  <c r="H76" i="24"/>
  <c r="A55" i="24"/>
  <c r="A48" i="24"/>
  <c r="A52" i="24"/>
  <c r="A56" i="24"/>
  <c r="A51" i="24"/>
  <c r="A53" i="24"/>
  <c r="A46" i="24"/>
  <c r="J72" i="24"/>
  <c r="H81" i="24"/>
  <c r="L83" i="24"/>
  <c r="H73" i="24"/>
  <c r="H70" i="24"/>
  <c r="H69" i="24"/>
  <c r="J79" i="24" l="1"/>
  <c r="O79" i="24"/>
  <c r="P76" i="24"/>
  <c r="K77" i="24"/>
  <c r="I72" i="24"/>
  <c r="K78" i="24"/>
  <c r="L78" i="24" s="1"/>
  <c r="I78" i="24"/>
  <c r="P81" i="24"/>
  <c r="P72" i="24"/>
  <c r="O81" i="24"/>
  <c r="R81" i="24" s="1"/>
  <c r="S81" i="24" s="1"/>
  <c r="O72" i="24"/>
  <c r="Q72" i="24" s="1"/>
  <c r="H82" i="24"/>
  <c r="I70" i="24"/>
  <c r="K70" i="24"/>
  <c r="J70" i="24"/>
  <c r="J77" i="24"/>
  <c r="K74" i="24"/>
  <c r="J74" i="24"/>
  <c r="I74" i="24"/>
  <c r="K80" i="24"/>
  <c r="L80" i="24" s="1"/>
  <c r="J75" i="24"/>
  <c r="I75" i="24"/>
  <c r="K75" i="24"/>
  <c r="L75" i="24" s="1"/>
  <c r="O73" i="24"/>
  <c r="Q73" i="24" s="1"/>
  <c r="K76" i="24"/>
  <c r="J76" i="24"/>
  <c r="I76" i="24"/>
  <c r="K71" i="24"/>
  <c r="J71" i="24"/>
  <c r="I71" i="24"/>
  <c r="P73" i="24"/>
  <c r="O80" i="24"/>
  <c r="P74" i="24"/>
  <c r="P69" i="24"/>
  <c r="P77" i="24"/>
  <c r="O69" i="24"/>
  <c r="O74" i="24"/>
  <c r="P75" i="24"/>
  <c r="P80" i="24"/>
  <c r="P79" i="24"/>
  <c r="O71" i="24"/>
  <c r="P71" i="24"/>
  <c r="O76" i="24"/>
  <c r="O75" i="24"/>
  <c r="O77" i="24"/>
  <c r="O70" i="24"/>
  <c r="P70" i="24"/>
  <c r="K69" i="24"/>
  <c r="J69" i="24"/>
  <c r="I69" i="24"/>
  <c r="J81" i="24"/>
  <c r="I81" i="24"/>
  <c r="K81" i="24"/>
  <c r="L81" i="24" s="1"/>
  <c r="I73" i="24"/>
  <c r="K73" i="24"/>
  <c r="J73" i="24"/>
  <c r="R76" i="24" l="1"/>
  <c r="Q76" i="24"/>
  <c r="Q81" i="24"/>
  <c r="R73" i="24"/>
  <c r="R72" i="24"/>
  <c r="Q79" i="24"/>
  <c r="R79" i="24"/>
  <c r="R80" i="24"/>
  <c r="S80" i="24" s="1"/>
  <c r="Q80" i="24"/>
  <c r="R77" i="24"/>
  <c r="Q77" i="24"/>
  <c r="R75" i="24"/>
  <c r="Q75" i="24"/>
  <c r="Q74" i="24"/>
  <c r="R74" i="24"/>
  <c r="R70" i="24"/>
  <c r="Q70" i="24"/>
  <c r="R71" i="24"/>
  <c r="Q71" i="24"/>
  <c r="R69" i="24"/>
  <c r="Q69" i="24"/>
  <c r="S83" i="24"/>
  <c r="S82" i="24"/>
  <c r="K43" i="18" l="1"/>
  <c r="K44" i="18"/>
  <c r="A5" i="24" l="1"/>
  <c r="B75" i="24" l="1"/>
  <c r="D75" i="24" s="1"/>
  <c r="A20" i="24"/>
  <c r="A19" i="24"/>
  <c r="A18" i="24"/>
  <c r="A17" i="24"/>
  <c r="C75" i="24" s="1"/>
  <c r="C80" i="24" l="1"/>
  <c r="B80" i="24"/>
  <c r="B77" i="24"/>
  <c r="D77" i="24" s="1"/>
  <c r="C77" i="24"/>
  <c r="I82" i="24"/>
  <c r="C74" i="24"/>
  <c r="C76" i="24"/>
  <c r="B76" i="24"/>
  <c r="D76" i="24" s="1"/>
  <c r="C78" i="24"/>
  <c r="C70" i="24"/>
  <c r="B71" i="24"/>
  <c r="D71" i="24" s="1"/>
  <c r="B69" i="24"/>
  <c r="C84" i="24"/>
  <c r="C72" i="24"/>
  <c r="C71" i="24"/>
  <c r="B73" i="24"/>
  <c r="D73" i="24" s="1"/>
  <c r="C82" i="24"/>
  <c r="B78" i="24"/>
  <c r="D78" i="24" s="1"/>
  <c r="B70" i="24"/>
  <c r="D70" i="24" s="1"/>
  <c r="C81" i="24"/>
  <c r="B82" i="24"/>
  <c r="D82" i="24" s="1"/>
  <c r="D80" i="24"/>
  <c r="B84" i="24"/>
  <c r="D84" i="24" s="1"/>
  <c r="B81" i="24"/>
  <c r="D81" i="24" s="1"/>
  <c r="B72" i="24"/>
  <c r="D72" i="24" s="1"/>
  <c r="C83" i="24"/>
  <c r="C73" i="24"/>
  <c r="B74" i="24"/>
  <c r="D74" i="24" s="1"/>
  <c r="B83" i="24"/>
  <c r="D83" i="24" s="1"/>
  <c r="C79" i="24"/>
  <c r="C69" i="24"/>
  <c r="B79" i="24"/>
  <c r="D79" i="24" s="1"/>
  <c r="B48" i="16"/>
  <c r="B47" i="16"/>
  <c r="B46" i="16"/>
  <c r="B45" i="16"/>
  <c r="B44" i="16"/>
  <c r="B43" i="16"/>
  <c r="B42" i="16"/>
  <c r="B41" i="16"/>
  <c r="B40" i="16"/>
  <c r="B39" i="16"/>
  <c r="B38" i="16"/>
  <c r="D69" i="24" l="1"/>
  <c r="J80" i="24"/>
  <c r="I80" i="24"/>
  <c r="J82" i="24"/>
  <c r="L82" i="24" s="1"/>
  <c r="L84" i="24"/>
  <c r="V21" i="24" l="1"/>
  <c r="U41" i="24" l="1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S76" i="24" l="1"/>
  <c r="S77" i="24"/>
  <c r="L72" i="24"/>
  <c r="L79" i="24"/>
  <c r="L76" i="24"/>
  <c r="L73" i="24"/>
  <c r="L71" i="24"/>
  <c r="L74" i="24"/>
  <c r="L70" i="24"/>
  <c r="L77" i="24"/>
  <c r="L69" i="24"/>
  <c r="S71" i="24"/>
  <c r="S74" i="24"/>
  <c r="S79" i="24"/>
  <c r="S73" i="24"/>
  <c r="S72" i="24"/>
  <c r="S75" i="24"/>
  <c r="S69" i="24"/>
  <c r="S70" i="24"/>
  <c r="S78" i="24"/>
  <c r="S57" i="18"/>
  <c r="R57" i="18"/>
  <c r="Q57" i="18"/>
  <c r="P57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C57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T52" i="18" s="1"/>
  <c r="B52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T50" i="18" s="1"/>
  <c r="B50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B48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B47" i="18"/>
  <c r="S46" i="18"/>
  <c r="R46" i="18"/>
  <c r="Q46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B46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S44" i="18"/>
  <c r="R44" i="18"/>
  <c r="Q44" i="18"/>
  <c r="P44" i="18"/>
  <c r="O44" i="18"/>
  <c r="N44" i="18"/>
  <c r="M44" i="18"/>
  <c r="L44" i="18"/>
  <c r="J44" i="18"/>
  <c r="I44" i="18"/>
  <c r="H44" i="18"/>
  <c r="G44" i="18"/>
  <c r="F44" i="18"/>
  <c r="E44" i="18"/>
  <c r="D44" i="18"/>
  <c r="C44" i="18"/>
  <c r="B44" i="18"/>
  <c r="S43" i="18"/>
  <c r="R43" i="18"/>
  <c r="Q43" i="18"/>
  <c r="P43" i="18"/>
  <c r="O43" i="18"/>
  <c r="N43" i="18"/>
  <c r="M43" i="18"/>
  <c r="L43" i="18"/>
  <c r="J43" i="18"/>
  <c r="I43" i="18"/>
  <c r="H43" i="18"/>
  <c r="G43" i="18"/>
  <c r="F43" i="18"/>
  <c r="E43" i="18"/>
  <c r="D43" i="18"/>
  <c r="C43" i="18"/>
  <c r="B43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A35" i="18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A34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29" i="18"/>
  <c r="B57" i="18" s="1"/>
  <c r="B28" i="18"/>
  <c r="B56" i="18" s="1"/>
  <c r="B27" i="18"/>
  <c r="B55" i="18" s="1"/>
  <c r="B26" i="18"/>
  <c r="B54" i="18" s="1"/>
  <c r="B25" i="18"/>
  <c r="B53" i="18" s="1"/>
  <c r="A6" i="18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N53" i="16"/>
  <c r="N52" i="16"/>
  <c r="N51" i="16"/>
  <c r="N50" i="16"/>
  <c r="N49" i="16"/>
  <c r="N48" i="16"/>
  <c r="N47" i="16"/>
  <c r="N46" i="16"/>
  <c r="N45" i="16"/>
  <c r="N44" i="16"/>
  <c r="N43" i="16"/>
  <c r="N42" i="16"/>
  <c r="N41" i="16"/>
  <c r="N40" i="16"/>
  <c r="N39" i="16"/>
  <c r="N38" i="16"/>
  <c r="N37" i="16"/>
  <c r="N36" i="16"/>
  <c r="N35" i="16"/>
  <c r="N34" i="16"/>
  <c r="N33" i="16"/>
  <c r="M52" i="16"/>
  <c r="M51" i="16"/>
  <c r="M50" i="16"/>
  <c r="M49" i="16"/>
  <c r="M48" i="16"/>
  <c r="M47" i="16"/>
  <c r="M46" i="16"/>
  <c r="M45" i="16"/>
  <c r="M44" i="16"/>
  <c r="M43" i="16"/>
  <c r="M42" i="16"/>
  <c r="M41" i="16"/>
  <c r="M40" i="16"/>
  <c r="M39" i="16"/>
  <c r="M38" i="16"/>
  <c r="M37" i="16"/>
  <c r="M36" i="16"/>
  <c r="M35" i="16"/>
  <c r="M34" i="16"/>
  <c r="M33" i="16"/>
  <c r="L51" i="16"/>
  <c r="L50" i="16"/>
  <c r="L49" i="16"/>
  <c r="L48" i="16"/>
  <c r="L47" i="16"/>
  <c r="L46" i="16"/>
  <c r="L45" i="16"/>
  <c r="L44" i="16"/>
  <c r="L43" i="16"/>
  <c r="L42" i="16"/>
  <c r="L41" i="16"/>
  <c r="L40" i="16"/>
  <c r="L39" i="16"/>
  <c r="L38" i="16"/>
  <c r="L37" i="16"/>
  <c r="L36" i="16"/>
  <c r="L35" i="16"/>
  <c r="L34" i="16"/>
  <c r="L33" i="16"/>
  <c r="T46" i="18" l="1"/>
  <c r="U46" i="18" s="1"/>
  <c r="T48" i="18"/>
  <c r="U48" i="18" s="1"/>
  <c r="T53" i="18"/>
  <c r="T56" i="18"/>
  <c r="T45" i="18"/>
  <c r="U45" i="18" s="1"/>
  <c r="T49" i="18"/>
  <c r="U49" i="18" s="1"/>
  <c r="T51" i="18"/>
  <c r="T54" i="18"/>
  <c r="T57" i="18"/>
  <c r="T47" i="18"/>
  <c r="U47" i="18" s="1"/>
  <c r="T55" i="18"/>
  <c r="T43" i="18"/>
  <c r="U43" i="18" s="1"/>
  <c r="T35" i="18"/>
  <c r="U35" i="18" s="1"/>
  <c r="T34" i="18"/>
  <c r="U34" i="18" s="1"/>
  <c r="T39" i="18"/>
  <c r="U39" i="18" s="1"/>
  <c r="T33" i="18"/>
  <c r="U33" i="18" s="1"/>
  <c r="T38" i="18"/>
  <c r="U38" i="18" s="1"/>
  <c r="T42" i="18"/>
  <c r="U42" i="18" s="1"/>
  <c r="T36" i="18"/>
  <c r="U36" i="18" s="1"/>
  <c r="T40" i="18"/>
  <c r="U40" i="18" s="1"/>
  <c r="T44" i="18"/>
  <c r="U44" i="18" s="1"/>
  <c r="T37" i="18"/>
  <c r="U37" i="18" s="1"/>
  <c r="T41" i="18"/>
  <c r="U41" i="18" s="1"/>
  <c r="U58" i="18" l="1"/>
  <c r="S45" i="16" l="1"/>
  <c r="R45" i="16"/>
  <c r="Q45" i="16"/>
  <c r="P45" i="16"/>
  <c r="O45" i="16"/>
  <c r="K45" i="16"/>
  <c r="J45" i="16"/>
  <c r="I45" i="16"/>
  <c r="H45" i="16"/>
  <c r="G45" i="16"/>
  <c r="F45" i="16"/>
  <c r="E45" i="16"/>
  <c r="D45" i="16"/>
  <c r="C45" i="16"/>
  <c r="S36" i="16"/>
  <c r="R36" i="16"/>
  <c r="Q36" i="16"/>
  <c r="P36" i="16"/>
  <c r="O36" i="16"/>
  <c r="K36" i="16"/>
  <c r="J36" i="16"/>
  <c r="I36" i="16"/>
  <c r="H36" i="16"/>
  <c r="G36" i="16"/>
  <c r="F36" i="16"/>
  <c r="E36" i="16"/>
  <c r="D36" i="16"/>
  <c r="C36" i="16"/>
  <c r="T45" i="16" l="1"/>
  <c r="U45" i="16" s="1"/>
  <c r="T36" i="16"/>
  <c r="U36" i="16" s="1"/>
  <c r="V41" i="24" l="1"/>
  <c r="C49" i="16"/>
  <c r="D49" i="16"/>
  <c r="E49" i="16"/>
  <c r="F49" i="16"/>
  <c r="G49" i="16"/>
  <c r="H49" i="16"/>
  <c r="I49" i="16"/>
  <c r="J49" i="16"/>
  <c r="K49" i="16"/>
  <c r="O49" i="16"/>
  <c r="P49" i="16"/>
  <c r="Q49" i="16"/>
  <c r="R49" i="16"/>
  <c r="S49" i="16"/>
  <c r="T49" i="16" l="1"/>
  <c r="U49" i="16" s="1"/>
  <c r="U21" i="24"/>
  <c r="U62" i="24" s="1"/>
  <c r="T21" i="24"/>
  <c r="T62" i="24" s="1"/>
  <c r="S21" i="24"/>
  <c r="S62" i="24" s="1"/>
  <c r="R21" i="24"/>
  <c r="R62" i="24" s="1"/>
  <c r="Q21" i="24"/>
  <c r="Q62" i="24" s="1"/>
  <c r="P21" i="24"/>
  <c r="P62" i="24" s="1"/>
  <c r="O21" i="24"/>
  <c r="O62" i="24" s="1"/>
  <c r="N21" i="24"/>
  <c r="N62" i="24" s="1"/>
  <c r="M21" i="24"/>
  <c r="M62" i="24" s="1"/>
  <c r="L21" i="24"/>
  <c r="L62" i="24" s="1"/>
  <c r="K21" i="24"/>
  <c r="K62" i="24" s="1"/>
  <c r="J21" i="24"/>
  <c r="J62" i="24" s="1"/>
  <c r="I21" i="24"/>
  <c r="I62" i="24" s="1"/>
  <c r="H21" i="24"/>
  <c r="H62" i="24" s="1"/>
  <c r="G21" i="24"/>
  <c r="G62" i="24" s="1"/>
  <c r="F21" i="24"/>
  <c r="F62" i="24" s="1"/>
  <c r="E21" i="24"/>
  <c r="E62" i="24" s="1"/>
  <c r="S84" i="24" l="1"/>
  <c r="V62" i="24"/>
  <c r="J50" i="16"/>
  <c r="J51" i="16"/>
  <c r="J52" i="16"/>
  <c r="J53" i="16"/>
  <c r="J54" i="16"/>
  <c r="J55" i="16"/>
  <c r="J56" i="16"/>
  <c r="J57" i="16"/>
  <c r="G50" i="16"/>
  <c r="G51" i="16"/>
  <c r="G52" i="16"/>
  <c r="G53" i="16"/>
  <c r="G54" i="16"/>
  <c r="G55" i="16"/>
  <c r="G56" i="16"/>
  <c r="G57" i="16"/>
  <c r="G48" i="16"/>
  <c r="G47" i="16"/>
  <c r="G46" i="16"/>
  <c r="G44" i="16"/>
  <c r="G43" i="16"/>
  <c r="G42" i="16"/>
  <c r="G41" i="16"/>
  <c r="G40" i="16"/>
  <c r="G39" i="16"/>
  <c r="G38" i="16"/>
  <c r="G37" i="16"/>
  <c r="G35" i="16"/>
  <c r="G34" i="16"/>
  <c r="G33" i="16"/>
  <c r="J48" i="16"/>
  <c r="J47" i="16"/>
  <c r="J46" i="16"/>
  <c r="J44" i="16"/>
  <c r="J43" i="16"/>
  <c r="J42" i="16"/>
  <c r="J41" i="16"/>
  <c r="J40" i="16"/>
  <c r="J39" i="16"/>
  <c r="J38" i="16"/>
  <c r="J37" i="16"/>
  <c r="J35" i="16"/>
  <c r="J34" i="16"/>
  <c r="J33" i="16" l="1"/>
  <c r="J30" i="16"/>
  <c r="G30" i="16"/>
  <c r="S34" i="16"/>
  <c r="S38" i="16"/>
  <c r="I40" i="16"/>
  <c r="I44" i="16"/>
  <c r="I47" i="16"/>
  <c r="S48" i="16"/>
  <c r="E56" i="16"/>
  <c r="I56" i="16"/>
  <c r="N56" i="16"/>
  <c r="R56" i="16"/>
  <c r="E57" i="16"/>
  <c r="I57" i="16"/>
  <c r="N57" i="16"/>
  <c r="R57" i="16"/>
  <c r="S35" i="16"/>
  <c r="S37" i="16"/>
  <c r="S39" i="16"/>
  <c r="S40" i="16"/>
  <c r="S41" i="16"/>
  <c r="S42" i="16"/>
  <c r="S43" i="16"/>
  <c r="S44" i="16"/>
  <c r="I46" i="16"/>
  <c r="S46" i="16"/>
  <c r="S47" i="16"/>
  <c r="I48" i="16"/>
  <c r="C50" i="16"/>
  <c r="D50" i="16"/>
  <c r="E50" i="16"/>
  <c r="F50" i="16"/>
  <c r="H50" i="16"/>
  <c r="I50" i="16"/>
  <c r="K50" i="16"/>
  <c r="O50" i="16"/>
  <c r="P50" i="16"/>
  <c r="Q50" i="16"/>
  <c r="R50" i="16"/>
  <c r="S50" i="16"/>
  <c r="C51" i="16"/>
  <c r="D51" i="16"/>
  <c r="E51" i="16"/>
  <c r="F51" i="16"/>
  <c r="H51" i="16"/>
  <c r="I51" i="16"/>
  <c r="K51" i="16"/>
  <c r="O51" i="16"/>
  <c r="P51" i="16"/>
  <c r="Q51" i="16"/>
  <c r="R51" i="16"/>
  <c r="S51" i="16"/>
  <c r="C52" i="16"/>
  <c r="D52" i="16"/>
  <c r="E52" i="16"/>
  <c r="F52" i="16"/>
  <c r="H52" i="16"/>
  <c r="I52" i="16"/>
  <c r="K52" i="16"/>
  <c r="L52" i="16"/>
  <c r="O52" i="16"/>
  <c r="P52" i="16"/>
  <c r="Q52" i="16"/>
  <c r="R52" i="16"/>
  <c r="S52" i="16"/>
  <c r="C53" i="16"/>
  <c r="D53" i="16"/>
  <c r="E53" i="16"/>
  <c r="F53" i="16"/>
  <c r="H53" i="16"/>
  <c r="I53" i="16"/>
  <c r="K53" i="16"/>
  <c r="L53" i="16"/>
  <c r="M53" i="16"/>
  <c r="O53" i="16"/>
  <c r="P53" i="16"/>
  <c r="Q53" i="16"/>
  <c r="R53" i="16"/>
  <c r="S53" i="16"/>
  <c r="C54" i="16"/>
  <c r="D54" i="16"/>
  <c r="E54" i="16"/>
  <c r="F54" i="16"/>
  <c r="H54" i="16"/>
  <c r="I54" i="16"/>
  <c r="K54" i="16"/>
  <c r="L54" i="16"/>
  <c r="M54" i="16"/>
  <c r="N54" i="16"/>
  <c r="O54" i="16"/>
  <c r="P54" i="16"/>
  <c r="Q54" i="16"/>
  <c r="R54" i="16"/>
  <c r="S54" i="16"/>
  <c r="C55" i="16"/>
  <c r="D55" i="16"/>
  <c r="E55" i="16"/>
  <c r="F55" i="16"/>
  <c r="H55" i="16"/>
  <c r="I55" i="16"/>
  <c r="K55" i="16"/>
  <c r="L55" i="16"/>
  <c r="M55" i="16"/>
  <c r="N55" i="16"/>
  <c r="O55" i="16"/>
  <c r="P55" i="16"/>
  <c r="Q55" i="16"/>
  <c r="R55" i="16"/>
  <c r="S55" i="16"/>
  <c r="C56" i="16"/>
  <c r="D56" i="16"/>
  <c r="F56" i="16"/>
  <c r="H56" i="16"/>
  <c r="K56" i="16"/>
  <c r="L56" i="16"/>
  <c r="M56" i="16"/>
  <c r="O56" i="16"/>
  <c r="P56" i="16"/>
  <c r="Q56" i="16"/>
  <c r="S56" i="16"/>
  <c r="C57" i="16"/>
  <c r="D57" i="16"/>
  <c r="F57" i="16"/>
  <c r="H57" i="16"/>
  <c r="K57" i="16"/>
  <c r="L57" i="16"/>
  <c r="M57" i="16"/>
  <c r="O57" i="16"/>
  <c r="P57" i="16"/>
  <c r="Q57" i="16"/>
  <c r="S57" i="16"/>
  <c r="S33" i="16"/>
  <c r="A34" i="16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B29" i="16"/>
  <c r="B57" i="16" s="1"/>
  <c r="B28" i="16"/>
  <c r="B56" i="16" s="1"/>
  <c r="B27" i="16"/>
  <c r="B55" i="16" s="1"/>
  <c r="B26" i="16"/>
  <c r="B54" i="16" s="1"/>
  <c r="B53" i="16"/>
  <c r="B52" i="16"/>
  <c r="B51" i="16"/>
  <c r="B50" i="16"/>
  <c r="B49" i="16"/>
  <c r="B37" i="16"/>
  <c r="B36" i="16"/>
  <c r="B35" i="16"/>
  <c r="B34" i="16"/>
  <c r="B33" i="16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26" i="16" s="1"/>
  <c r="A27" i="16" s="1"/>
  <c r="A28" i="16" s="1"/>
  <c r="A29" i="16" s="1"/>
  <c r="S30" i="16" l="1"/>
  <c r="T55" i="16"/>
  <c r="T54" i="16"/>
  <c r="T53" i="16"/>
  <c r="T52" i="16"/>
  <c r="T51" i="16"/>
  <c r="T50" i="16"/>
  <c r="T56" i="16"/>
  <c r="T57" i="16"/>
  <c r="I43" i="16" l="1"/>
  <c r="I42" i="16"/>
  <c r="I41" i="16"/>
  <c r="I39" i="16"/>
  <c r="I38" i="16"/>
  <c r="I37" i="16"/>
  <c r="I35" i="16"/>
  <c r="I34" i="16"/>
  <c r="F48" i="16"/>
  <c r="F47" i="16"/>
  <c r="F46" i="16"/>
  <c r="F44" i="16"/>
  <c r="F43" i="16"/>
  <c r="F42" i="16"/>
  <c r="F41" i="16"/>
  <c r="F40" i="16"/>
  <c r="F39" i="16"/>
  <c r="F38" i="16"/>
  <c r="F37" i="16"/>
  <c r="F35" i="16"/>
  <c r="F34" i="16"/>
  <c r="E48" i="16"/>
  <c r="E47" i="16"/>
  <c r="E46" i="16"/>
  <c r="E44" i="16"/>
  <c r="E43" i="16"/>
  <c r="E42" i="16"/>
  <c r="E41" i="16"/>
  <c r="E40" i="16"/>
  <c r="E39" i="16"/>
  <c r="E38" i="16"/>
  <c r="E37" i="16"/>
  <c r="E35" i="16"/>
  <c r="E34" i="16"/>
  <c r="D34" i="16"/>
  <c r="D35" i="16"/>
  <c r="D37" i="16"/>
  <c r="D38" i="16"/>
  <c r="D39" i="16"/>
  <c r="D40" i="16"/>
  <c r="D41" i="16"/>
  <c r="D42" i="16"/>
  <c r="D43" i="16"/>
  <c r="D44" i="16"/>
  <c r="D46" i="16"/>
  <c r="D47" i="16"/>
  <c r="D48" i="16"/>
  <c r="Q48" i="16"/>
  <c r="Q47" i="16"/>
  <c r="Q46" i="16"/>
  <c r="Q44" i="16"/>
  <c r="Q43" i="16"/>
  <c r="Q42" i="16"/>
  <c r="Q41" i="16"/>
  <c r="Q40" i="16"/>
  <c r="Q39" i="16"/>
  <c r="Q38" i="16"/>
  <c r="Q37" i="16"/>
  <c r="Q35" i="16"/>
  <c r="Q34" i="16"/>
  <c r="P48" i="16"/>
  <c r="P47" i="16"/>
  <c r="P46" i="16"/>
  <c r="P44" i="16"/>
  <c r="P43" i="16"/>
  <c r="P42" i="16"/>
  <c r="P41" i="16"/>
  <c r="P40" i="16"/>
  <c r="P39" i="16"/>
  <c r="P38" i="16"/>
  <c r="P37" i="16"/>
  <c r="P35" i="16"/>
  <c r="P34" i="16"/>
  <c r="O48" i="16"/>
  <c r="O47" i="16"/>
  <c r="O46" i="16"/>
  <c r="O44" i="16"/>
  <c r="O43" i="16"/>
  <c r="O42" i="16"/>
  <c r="O41" i="16"/>
  <c r="O40" i="16"/>
  <c r="O39" i="16"/>
  <c r="O38" i="16"/>
  <c r="O37" i="16"/>
  <c r="O35" i="16"/>
  <c r="O34" i="16"/>
  <c r="R48" i="16"/>
  <c r="R47" i="16"/>
  <c r="R46" i="16"/>
  <c r="R44" i="16"/>
  <c r="R43" i="16"/>
  <c r="R42" i="16"/>
  <c r="R41" i="16"/>
  <c r="R40" i="16"/>
  <c r="R39" i="16"/>
  <c r="R38" i="16"/>
  <c r="R37" i="16"/>
  <c r="R35" i="16"/>
  <c r="R34" i="16"/>
  <c r="H48" i="16"/>
  <c r="H47" i="16"/>
  <c r="H46" i="16"/>
  <c r="H44" i="16"/>
  <c r="H43" i="16"/>
  <c r="H42" i="16"/>
  <c r="H41" i="16"/>
  <c r="H40" i="16"/>
  <c r="H39" i="16"/>
  <c r="H38" i="16"/>
  <c r="H37" i="16"/>
  <c r="H35" i="16"/>
  <c r="H34" i="16"/>
  <c r="K48" i="16"/>
  <c r="K47" i="16"/>
  <c r="K46" i="16"/>
  <c r="K44" i="16"/>
  <c r="K43" i="16"/>
  <c r="K42" i="16"/>
  <c r="K41" i="16"/>
  <c r="K40" i="16"/>
  <c r="K39" i="16"/>
  <c r="K38" i="16"/>
  <c r="K37" i="16"/>
  <c r="K35" i="16"/>
  <c r="K34" i="16"/>
  <c r="C34" i="16"/>
  <c r="C35" i="16"/>
  <c r="C37" i="16"/>
  <c r="C38" i="16"/>
  <c r="C39" i="16"/>
  <c r="C40" i="16"/>
  <c r="C41" i="16"/>
  <c r="C42" i="16"/>
  <c r="C43" i="16"/>
  <c r="C44" i="16"/>
  <c r="C46" i="16"/>
  <c r="C47" i="16"/>
  <c r="C48" i="16"/>
  <c r="P33" i="16" l="1"/>
  <c r="P30" i="16"/>
  <c r="R33" i="16"/>
  <c r="R30" i="16"/>
  <c r="Q30" i="16"/>
  <c r="Q33" i="16"/>
  <c r="O33" i="16"/>
  <c r="O30" i="16"/>
  <c r="L30" i="16"/>
  <c r="M30" i="16"/>
  <c r="N30" i="16"/>
  <c r="H33" i="16"/>
  <c r="H30" i="16"/>
  <c r="K33" i="16"/>
  <c r="K30" i="16"/>
  <c r="D33" i="16"/>
  <c r="D30" i="16"/>
  <c r="T48" i="16"/>
  <c r="U48" i="16" s="1"/>
  <c r="T47" i="16"/>
  <c r="U47" i="16" s="1"/>
  <c r="T46" i="16"/>
  <c r="U46" i="16" s="1"/>
  <c r="T44" i="16"/>
  <c r="U44" i="16" s="1"/>
  <c r="T40" i="16"/>
  <c r="U40" i="16" s="1"/>
  <c r="E30" i="16"/>
  <c r="E33" i="16"/>
  <c r="F33" i="16"/>
  <c r="F30" i="16"/>
  <c r="I33" i="16"/>
  <c r="I30" i="16"/>
  <c r="C33" i="16"/>
  <c r="C30" i="16"/>
  <c r="T43" i="16"/>
  <c r="U43" i="16" s="1"/>
  <c r="T42" i="16"/>
  <c r="U42" i="16" s="1"/>
  <c r="T41" i="16"/>
  <c r="U41" i="16" s="1"/>
  <c r="T39" i="16"/>
  <c r="U39" i="16" s="1"/>
  <c r="T38" i="16"/>
  <c r="U38" i="16" s="1"/>
  <c r="T37" i="16"/>
  <c r="U37" i="16" s="1"/>
  <c r="T35" i="16"/>
  <c r="U35" i="16" s="1"/>
  <c r="T34" i="16"/>
  <c r="U34" i="16" s="1"/>
  <c r="T33" i="16" l="1"/>
  <c r="U33" i="16" s="1"/>
  <c r="U58" i="16" l="1"/>
</calcChain>
</file>

<file path=xl/sharedStrings.xml><?xml version="1.0" encoding="utf-8"?>
<sst xmlns="http://schemas.openxmlformats.org/spreadsheetml/2006/main" count="1675" uniqueCount="164">
  <si>
    <t>Noms et Prénoms</t>
  </si>
  <si>
    <t>Anglais</t>
  </si>
  <si>
    <t>N°</t>
  </si>
  <si>
    <t>SVTEEHB</t>
  </si>
  <si>
    <t>ECM</t>
  </si>
  <si>
    <t>EAC</t>
  </si>
  <si>
    <t>EPS</t>
  </si>
  <si>
    <t>ESF</t>
  </si>
  <si>
    <t>LCN</t>
  </si>
  <si>
    <t>Exp Ecr</t>
  </si>
  <si>
    <t>Infos</t>
  </si>
  <si>
    <t>Maths</t>
  </si>
  <si>
    <t>Géo</t>
  </si>
  <si>
    <t>Hist</t>
  </si>
  <si>
    <t>TM</t>
  </si>
  <si>
    <t>Cor ort</t>
  </si>
  <si>
    <t>Etu tex</t>
  </si>
  <si>
    <t>TOTAL</t>
  </si>
  <si>
    <t>MOYENNE</t>
  </si>
  <si>
    <t>PCT</t>
  </si>
  <si>
    <t>LV II</t>
  </si>
  <si>
    <t>MOY</t>
  </si>
  <si>
    <t>MOYENNE GENERALE</t>
  </si>
  <si>
    <t>Rang</t>
  </si>
  <si>
    <t>Ang</t>
  </si>
  <si>
    <t>MATIERES</t>
  </si>
  <si>
    <t>Coef</t>
  </si>
  <si>
    <t>Moy × Coef</t>
  </si>
  <si>
    <t xml:space="preserve">Moy Gle Classe </t>
  </si>
  <si>
    <t>Appréciations</t>
  </si>
  <si>
    <t xml:space="preserve">Total du GROUPE I   : </t>
  </si>
  <si>
    <t xml:space="preserve">      Moyenne du Groupe :                                       </t>
  </si>
  <si>
    <t xml:space="preserve"> Rang de l’élève :</t>
  </si>
  <si>
    <t xml:space="preserve">Total du GROUPE II  : </t>
  </si>
  <si>
    <t xml:space="preserve">       Moyenne du Groupe :                                       </t>
  </si>
  <si>
    <t xml:space="preserve">Total du GROUPE III  : </t>
  </si>
  <si>
    <t xml:space="preserve">Total du GROUPE IV  : </t>
  </si>
  <si>
    <t>Total Général (GI + GII + GIII+GIV) =</t>
  </si>
  <si>
    <r>
      <t xml:space="preserve">Moy Gle de la Classe :                             </t>
    </r>
    <r>
      <rPr>
        <b/>
        <sz val="12"/>
        <color theme="1"/>
        <rFont val="Times New Roman"/>
        <family val="1"/>
      </rPr>
      <t xml:space="preserve">                     </t>
    </r>
  </si>
  <si>
    <t xml:space="preserve"> Moy du 1er :  </t>
  </si>
  <si>
    <t xml:space="preserve"> Moy du Dernier :</t>
  </si>
  <si>
    <t xml:space="preserve">Moyennes de l’Elève :                                                            </t>
  </si>
  <si>
    <t>/20</t>
  </si>
  <si>
    <t xml:space="preserve">          Rang de l’élève :                           </t>
  </si>
  <si>
    <r>
      <t>v</t>
    </r>
    <r>
      <rPr>
        <sz val="12"/>
        <color theme="1"/>
        <rFont val="Times New Roman"/>
        <family val="1"/>
      </rPr>
      <t xml:space="preserve">  </t>
    </r>
    <r>
      <rPr>
        <i/>
        <sz val="12"/>
        <color theme="1"/>
        <rFont val="Times New Roman"/>
        <family val="1"/>
      </rPr>
      <t>La moyenne Trimestrielle n’est pas égale à la moyenne arithmétique des séquences</t>
    </r>
  </si>
  <si>
    <r>
      <t xml:space="preserve">DECISIONS ET OBSERVATIONS / </t>
    </r>
    <r>
      <rPr>
        <i/>
        <sz val="12"/>
        <color theme="1"/>
        <rFont val="Times New Roman"/>
        <family val="1"/>
      </rPr>
      <t>Décisions And Observations</t>
    </r>
  </si>
  <si>
    <r>
      <t>DISCIPLINE /</t>
    </r>
    <r>
      <rPr>
        <i/>
        <sz val="12"/>
        <color theme="1"/>
        <rFont val="Times New Roman"/>
        <family val="1"/>
      </rPr>
      <t xml:space="preserve"> Disciplin</t>
    </r>
  </si>
  <si>
    <t>Appréciation du travail de l’élève</t>
  </si>
  <si>
    <r>
      <t xml:space="preserve">TRAVAIL / </t>
    </r>
    <r>
      <rPr>
        <i/>
        <sz val="12"/>
        <color theme="1"/>
        <rFont val="Times New Roman"/>
        <family val="1"/>
      </rPr>
      <t>Academic Work</t>
    </r>
  </si>
  <si>
    <t>Nb d’Heures :</t>
  </si>
  <si>
    <t>Nb de jrnées :</t>
  </si>
  <si>
    <r>
      <t xml:space="preserve">Tableau d’honneur / </t>
    </r>
    <r>
      <rPr>
        <i/>
        <sz val="12"/>
        <color theme="1"/>
        <rFont val="Times New Roman"/>
        <family val="1"/>
      </rPr>
      <t>Honour roll</t>
    </r>
  </si>
  <si>
    <t>Observations et Visa du Principal</t>
  </si>
  <si>
    <r>
      <t>Exclusions /</t>
    </r>
    <r>
      <rPr>
        <i/>
        <sz val="12"/>
        <color theme="1"/>
        <rFont val="Times New Roman"/>
        <family val="1"/>
      </rPr>
      <t xml:space="preserve"> Suspensions</t>
    </r>
  </si>
  <si>
    <r>
      <t xml:space="preserve">Encouragements / </t>
    </r>
    <r>
      <rPr>
        <i/>
        <sz val="12"/>
        <color theme="1"/>
        <rFont val="Times New Roman"/>
        <family val="1"/>
      </rPr>
      <t>Encouragements</t>
    </r>
  </si>
  <si>
    <t>Observations and Signature of Principal</t>
  </si>
  <si>
    <r>
      <t xml:space="preserve">Blâme / </t>
    </r>
    <r>
      <rPr>
        <i/>
        <sz val="12"/>
        <color theme="1"/>
        <rFont val="Times New Roman"/>
        <family val="1"/>
      </rPr>
      <t>Blame</t>
    </r>
  </si>
  <si>
    <t>Observations et Remarques du Professeur Principal</t>
  </si>
  <si>
    <r>
      <t xml:space="preserve">Félicitations / </t>
    </r>
    <r>
      <rPr>
        <i/>
        <sz val="12"/>
        <color theme="1"/>
        <rFont val="Times New Roman"/>
        <family val="1"/>
      </rPr>
      <t>Congratulations</t>
    </r>
  </si>
  <si>
    <r>
      <t xml:space="preserve">Avertissements / </t>
    </r>
    <r>
      <rPr>
        <i/>
        <sz val="12"/>
        <color theme="1"/>
        <rFont val="Times New Roman"/>
        <family val="1"/>
      </rPr>
      <t>Warnings</t>
    </r>
  </si>
  <si>
    <t>Décisions du Conseil de Classe</t>
  </si>
  <si>
    <t>Yaoundé le</t>
  </si>
  <si>
    <t>Observations et Remarques du parent de l’élève</t>
  </si>
  <si>
    <t>Le Principal</t>
  </si>
  <si>
    <r>
      <t xml:space="preserve">Langue Vivante II
</t>
    </r>
    <r>
      <rPr>
        <i/>
        <sz val="12"/>
        <color theme="1"/>
        <rFont val="Cambria"/>
        <family val="1"/>
        <scheme val="major"/>
      </rPr>
      <t>M. ATEMENA Bruceley</t>
    </r>
  </si>
  <si>
    <r>
      <t xml:space="preserve">ECM
</t>
    </r>
    <r>
      <rPr>
        <i/>
        <sz val="12"/>
        <color theme="1"/>
        <rFont val="Cambria"/>
        <family val="1"/>
        <scheme val="major"/>
      </rPr>
      <t>M. BANING Jacques Steven</t>
    </r>
  </si>
  <si>
    <r>
      <t xml:space="preserve">LCN
</t>
    </r>
    <r>
      <rPr>
        <i/>
        <sz val="12"/>
        <color theme="1"/>
        <rFont val="Cambria"/>
        <family val="1"/>
        <scheme val="major"/>
      </rPr>
      <t>M. POCK NLOGA Pierre Sadrack R.</t>
    </r>
  </si>
  <si>
    <r>
      <t xml:space="preserve">EAC
</t>
    </r>
    <r>
      <rPr>
        <i/>
        <sz val="12"/>
        <color theme="1"/>
        <rFont val="Cambria"/>
        <family val="1"/>
        <scheme val="major"/>
      </rPr>
      <t>M. POCK NLOGA Pierre Sadrack R.</t>
    </r>
  </si>
  <si>
    <r>
      <t xml:space="preserve">Anglais
</t>
    </r>
    <r>
      <rPr>
        <i/>
        <sz val="12"/>
        <color theme="1"/>
        <rFont val="Cambria"/>
        <family val="1"/>
        <scheme val="major"/>
      </rPr>
      <t>M. DJONGMO TI-EGREBE</t>
    </r>
  </si>
  <si>
    <r>
      <t xml:space="preserve">Informatique
</t>
    </r>
    <r>
      <rPr>
        <i/>
        <sz val="12"/>
        <color theme="1"/>
        <rFont val="Cambria"/>
        <family val="1"/>
        <scheme val="major"/>
      </rPr>
      <t xml:space="preserve">M. NGATHE MVOGO André William </t>
    </r>
  </si>
  <si>
    <r>
      <t xml:space="preserve">Mathématiques
</t>
    </r>
    <r>
      <rPr>
        <i/>
        <sz val="12"/>
        <color theme="1"/>
        <rFont val="Cambria"/>
        <family val="1"/>
        <scheme val="major"/>
      </rPr>
      <t xml:space="preserve">M. TEDONNANG TECHI Aristide Joël </t>
    </r>
  </si>
  <si>
    <r>
      <t xml:space="preserve">SVTEEHB
</t>
    </r>
    <r>
      <rPr>
        <i/>
        <sz val="12"/>
        <color theme="1"/>
        <rFont val="Cambria"/>
        <family val="1"/>
        <scheme val="major"/>
      </rPr>
      <t xml:space="preserve">Mme NDOUMBISSI KAMGANG Yolande </t>
    </r>
  </si>
  <si>
    <r>
      <t xml:space="preserve">ESF
</t>
    </r>
    <r>
      <rPr>
        <i/>
        <sz val="12"/>
        <color theme="1"/>
        <rFont val="Cambria"/>
        <family val="1"/>
        <scheme val="major"/>
      </rPr>
      <t>Mme MPECK Gérarldine Samuelle</t>
    </r>
  </si>
  <si>
    <t>APOULIE AYAMGMA Nesly Flavie</t>
  </si>
  <si>
    <t>ASSENA Sandra Joana</t>
  </si>
  <si>
    <t>BISSO MOTO Noah Nelly Angelo</t>
  </si>
  <si>
    <t>LOMA INEMB Lazare Dimitri</t>
  </si>
  <si>
    <t>MADJI Ange Noëlle</t>
  </si>
  <si>
    <t>MEKOUL MVOMO Fredy</t>
  </si>
  <si>
    <t>MEWOULA NDJENGUE Serena Sylvana</t>
  </si>
  <si>
    <t>MPENE MPENE Ciara</t>
  </si>
  <si>
    <t>NKE TSALA Appolonie Andreina</t>
  </si>
  <si>
    <t>NKENGUE Firming</t>
  </si>
  <si>
    <t>POUGNONG Giberin</t>
  </si>
  <si>
    <t>MAGWA NDJIKI Orline</t>
  </si>
  <si>
    <t>MBARGA ATANGANA Perline</t>
  </si>
  <si>
    <t>MBARGA NNENGUE Marguerite</t>
  </si>
  <si>
    <t>NGECHEJI FAUHOUE Davina Stella</t>
  </si>
  <si>
    <t>SAMBOKOLONG AYE Narcisse Stève</t>
  </si>
  <si>
    <t>SEXE</t>
  </si>
  <si>
    <t>MATRICULE</t>
  </si>
  <si>
    <t>Sexe</t>
  </si>
  <si>
    <t>Matricule</t>
  </si>
  <si>
    <t>1 er/ère</t>
  </si>
  <si>
    <t>2 ème</t>
  </si>
  <si>
    <t>3 ème</t>
  </si>
  <si>
    <t>4 ème</t>
  </si>
  <si>
    <t>5 ème</t>
  </si>
  <si>
    <t>6 ème</t>
  </si>
  <si>
    <t>7 ème</t>
  </si>
  <si>
    <t>8 ème</t>
  </si>
  <si>
    <t>9 ème</t>
  </si>
  <si>
    <t>10 ème</t>
  </si>
  <si>
    <t>11 ème</t>
  </si>
  <si>
    <t>12 ème</t>
  </si>
  <si>
    <t>13 ème</t>
  </si>
  <si>
    <t>14 ème</t>
  </si>
  <si>
    <t>15 ème</t>
  </si>
  <si>
    <t>16 ème</t>
  </si>
  <si>
    <t>F</t>
  </si>
  <si>
    <t>M</t>
  </si>
  <si>
    <t>MANGWA NDJIKI Orline</t>
  </si>
  <si>
    <t>NC</t>
  </si>
  <si>
    <t>/13</t>
  </si>
  <si>
    <t>ème</t>
  </si>
  <si>
    <r>
      <t xml:space="preserve">Cor Orthographique/ Dictée
</t>
    </r>
    <r>
      <rPr>
        <i/>
        <sz val="12"/>
        <color theme="1"/>
        <rFont val="Cambria"/>
        <family val="1"/>
        <scheme val="major"/>
      </rPr>
      <t>Mme. MPECK NYOM Justine Flore</t>
    </r>
  </si>
  <si>
    <r>
      <t xml:space="preserve">Etude de Texte
</t>
    </r>
    <r>
      <rPr>
        <i/>
        <sz val="12"/>
        <color theme="1"/>
        <rFont val="Cambria"/>
        <family val="1"/>
        <scheme val="major"/>
      </rPr>
      <t>Mme. MPECK NYOM Justine Flore</t>
    </r>
  </si>
  <si>
    <r>
      <t xml:space="preserve">Expression Ecrite
</t>
    </r>
    <r>
      <rPr>
        <i/>
        <sz val="12"/>
        <color theme="1"/>
        <rFont val="Cambria"/>
        <family val="1"/>
        <scheme val="major"/>
      </rPr>
      <t>Mme. MPECK NYOM Justine Flore</t>
    </r>
  </si>
  <si>
    <r>
      <t xml:space="preserve">Géographie
</t>
    </r>
    <r>
      <rPr>
        <i/>
        <sz val="12"/>
        <color theme="1"/>
        <rFont val="Cambria"/>
        <family val="1"/>
        <scheme val="major"/>
      </rPr>
      <t>Mme MINDZIE MENGUE Jeanne Raïssa</t>
    </r>
  </si>
  <si>
    <r>
      <t xml:space="preserve">Histoire
</t>
    </r>
    <r>
      <rPr>
        <i/>
        <sz val="12"/>
        <color theme="1"/>
        <rFont val="Cambria"/>
        <family val="1"/>
        <scheme val="major"/>
      </rPr>
      <t>M. BANING Jacques Steven</t>
    </r>
  </si>
  <si>
    <r>
      <t xml:space="preserve">PCT
</t>
    </r>
    <r>
      <rPr>
        <i/>
        <sz val="12"/>
        <color theme="1"/>
        <rFont val="Cambria"/>
        <family val="1"/>
        <scheme val="major"/>
      </rPr>
      <t>M. EKENDJOUM OTTI Stéphane</t>
    </r>
  </si>
  <si>
    <r>
      <t xml:space="preserve">Travail Manuel
</t>
    </r>
    <r>
      <rPr>
        <i/>
        <sz val="12"/>
        <color theme="1"/>
        <rFont val="Cambria"/>
        <family val="1"/>
        <scheme val="major"/>
      </rPr>
      <t>M. POCK NLOGA Pierre Sadrack R.</t>
    </r>
  </si>
  <si>
    <r>
      <t xml:space="preserve">EPS
</t>
    </r>
    <r>
      <rPr>
        <i/>
        <sz val="12"/>
        <color theme="1"/>
        <rFont val="Cambria"/>
        <family val="1"/>
        <scheme val="major"/>
      </rPr>
      <t>M. EKENDJOUM OTTI Stéphane</t>
    </r>
  </si>
  <si>
    <t>1ère</t>
  </si>
  <si>
    <t>SEQUENCE 3</t>
  </si>
  <si>
    <t>SEQUENCE 4</t>
  </si>
  <si>
    <t>TRIMESTRE 2</t>
  </si>
  <si>
    <t>10 ème Ex</t>
  </si>
  <si>
    <t xml:space="preserve">10 ème </t>
  </si>
  <si>
    <t>TRIM 3</t>
  </si>
  <si>
    <t>SEQ 5</t>
  </si>
  <si>
    <t xml:space="preserve"> Trimestre 3 :                   </t>
  </si>
  <si>
    <t>Trim1</t>
  </si>
  <si>
    <t>Trim 2</t>
  </si>
  <si>
    <t>Trim 3</t>
  </si>
  <si>
    <t>ANNUEL</t>
  </si>
  <si>
    <t>Rang Annuel:</t>
  </si>
  <si>
    <t>ème / 13</t>
  </si>
  <si>
    <t>10ème</t>
  </si>
  <si>
    <t>11ème</t>
  </si>
  <si>
    <t>6ème</t>
  </si>
  <si>
    <t>7ème</t>
  </si>
  <si>
    <t>9ème</t>
  </si>
  <si>
    <t>3ème</t>
  </si>
  <si>
    <t>3ème / 13</t>
  </si>
  <si>
    <t>7ème ex</t>
  </si>
  <si>
    <t>5ème</t>
  </si>
  <si>
    <t>1ère / 13</t>
  </si>
  <si>
    <t>4ème</t>
  </si>
  <si>
    <t>2ème</t>
  </si>
  <si>
    <t>1er</t>
  </si>
  <si>
    <t>2ème / 13</t>
  </si>
  <si>
    <t>12ème</t>
  </si>
  <si>
    <t>13ème</t>
  </si>
  <si>
    <t>12ème / 13</t>
  </si>
  <si>
    <t>13ème / 13</t>
  </si>
  <si>
    <t>4ème / 13</t>
  </si>
  <si>
    <t>5ème / 13</t>
  </si>
  <si>
    <t>8ème / 13</t>
  </si>
  <si>
    <t>10ème / 13</t>
  </si>
  <si>
    <t>9ème / 13</t>
  </si>
  <si>
    <t>6ème / 13</t>
  </si>
  <si>
    <t>7ème / 13</t>
  </si>
  <si>
    <t>11ème /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</si>
</sst>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€_-;\-* #,##0.00\ _€_-;_-* &quot;-&quot;??\ _€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i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Wingdings"/>
      <charset val="2"/>
    </font>
    <font>
      <i/>
      <sz val="12"/>
      <color theme="1"/>
      <name val="Times New Roman"/>
      <family val="1"/>
    </font>
    <font>
      <i/>
      <sz val="12"/>
      <color theme="1"/>
      <name val="Cambria"/>
      <family val="1"/>
      <scheme val="major"/>
    </font>
    <font>
      <b/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FF0000"/>
      <name val="Times New Roman"/>
      <family val="1"/>
    </font>
    <font>
      <b/>
      <sz val="18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D9C4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19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/>
    <xf numFmtId="2" fontId="1" fillId="0" borderId="1" xfId="0" applyNumberFormat="1" applyFont="1" applyBorder="1"/>
    <xf numFmtId="0" fontId="1" fillId="0" borderId="1" xfId="0" applyFont="1" applyBorder="1"/>
    <xf numFmtId="0" fontId="1" fillId="0" borderId="0" xfId="0" applyFont="1"/>
    <xf numFmtId="0" fontId="0" fillId="0" borderId="1" xfId="0" applyFont="1" applyBorder="1"/>
    <xf numFmtId="2" fontId="0" fillId="0" borderId="1" xfId="0" applyNumberFormat="1" applyFont="1" applyBorder="1"/>
    <xf numFmtId="0" fontId="4" fillId="0" borderId="1" xfId="0" applyFont="1" applyFill="1" applyBorder="1"/>
    <xf numFmtId="2" fontId="4" fillId="0" borderId="1" xfId="0" applyNumberFormat="1" applyFont="1" applyBorder="1"/>
    <xf numFmtId="0" fontId="6" fillId="0" borderId="0" xfId="0" applyFont="1"/>
    <xf numFmtId="2" fontId="8" fillId="0" borderId="5" xfId="0" applyNumberFormat="1" applyFont="1" applyBorder="1" applyAlignment="1">
      <alignment vertical="center" wrapText="1"/>
    </xf>
    <xf numFmtId="2" fontId="7" fillId="0" borderId="5" xfId="0" applyNumberFormat="1" applyFont="1" applyBorder="1" applyAlignment="1">
      <alignment vertical="center" wrapText="1"/>
    </xf>
    <xf numFmtId="2" fontId="8" fillId="0" borderId="4" xfId="0" applyNumberFormat="1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2" fontId="7" fillId="0" borderId="2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right" vertical="center" wrapText="1"/>
    </xf>
    <xf numFmtId="0" fontId="7" fillId="0" borderId="10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4" fillId="0" borderId="1" xfId="0" applyFont="1" applyBorder="1"/>
    <xf numFmtId="2" fontId="4" fillId="0" borderId="1" xfId="1" applyNumberFormat="1" applyFont="1" applyBorder="1"/>
    <xf numFmtId="2" fontId="7" fillId="0" borderId="5" xfId="0" applyNumberFormat="1" applyFont="1" applyBorder="1" applyAlignment="1">
      <alignment horizontal="center" vertical="center" wrapText="1"/>
    </xf>
    <xf numFmtId="0" fontId="0" fillId="0" borderId="16" xfId="0" applyFill="1" applyBorder="1"/>
    <xf numFmtId="0" fontId="0" fillId="0" borderId="1" xfId="0" applyFill="1" applyBorder="1"/>
    <xf numFmtId="0" fontId="7" fillId="0" borderId="1" xfId="0" applyFont="1" applyBorder="1"/>
    <xf numFmtId="0" fontId="7" fillId="0" borderId="16" xfId="0" applyFont="1" applyFill="1" applyBorder="1"/>
    <xf numFmtId="0" fontId="7" fillId="0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0" fillId="0" borderId="0" xfId="0" applyBorder="1"/>
    <xf numFmtId="0" fontId="3" fillId="3" borderId="1" xfId="0" applyFont="1" applyFill="1" applyBorder="1" applyAlignment="1">
      <alignment horizontal="center"/>
    </xf>
    <xf numFmtId="0" fontId="3" fillId="0" borderId="0" xfId="0" applyFont="1" applyBorder="1" applyAlignment="1"/>
    <xf numFmtId="0" fontId="3" fillId="4" borderId="18" xfId="0" applyFont="1" applyFill="1" applyBorder="1"/>
    <xf numFmtId="0" fontId="3" fillId="5" borderId="19" xfId="0" applyFont="1" applyFill="1" applyBorder="1"/>
    <xf numFmtId="0" fontId="3" fillId="0" borderId="17" xfId="0" applyFont="1" applyBorder="1" applyAlignment="1"/>
    <xf numFmtId="0" fontId="3" fillId="3" borderId="1" xfId="0" applyFont="1" applyFill="1" applyBorder="1"/>
    <xf numFmtId="2" fontId="12" fillId="3" borderId="1" xfId="0" applyNumberFormat="1" applyFont="1" applyFill="1" applyBorder="1"/>
    <xf numFmtId="0" fontId="7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2" fontId="7" fillId="6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6" borderId="1" xfId="0" applyNumberFormat="1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1" fontId="7" fillId="8" borderId="1" xfId="0" applyNumberFormat="1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1" fontId="13" fillId="0" borderId="1" xfId="0" applyNumberFormat="1" applyFont="1" applyFill="1" applyBorder="1" applyAlignment="1">
      <alignment horizontal="center"/>
    </xf>
    <xf numFmtId="0" fontId="12" fillId="10" borderId="1" xfId="0" applyFont="1" applyFill="1" applyBorder="1"/>
    <xf numFmtId="2" fontId="12" fillId="10" borderId="1" xfId="1" applyNumberFormat="1" applyFont="1" applyFill="1" applyBorder="1"/>
    <xf numFmtId="2" fontId="14" fillId="10" borderId="1" xfId="0" applyNumberFormat="1" applyFont="1" applyFill="1" applyBorder="1"/>
    <xf numFmtId="2" fontId="12" fillId="10" borderId="1" xfId="0" applyNumberFormat="1" applyFont="1" applyFill="1" applyBorder="1"/>
    <xf numFmtId="0" fontId="7" fillId="5" borderId="1" xfId="0" applyFont="1" applyFill="1" applyBorder="1"/>
    <xf numFmtId="2" fontId="13" fillId="5" borderId="1" xfId="0" applyNumberFormat="1" applyFont="1" applyFill="1" applyBorder="1" applyAlignment="1">
      <alignment horizontal="center"/>
    </xf>
    <xf numFmtId="1" fontId="13" fillId="5" borderId="1" xfId="0" applyNumberFormat="1" applyFont="1" applyFill="1" applyBorder="1" applyAlignment="1">
      <alignment horizontal="center"/>
    </xf>
    <xf numFmtId="2" fontId="7" fillId="5" borderId="1" xfId="0" applyNumberFormat="1" applyFont="1" applyFill="1" applyBorder="1" applyAlignment="1">
      <alignment horizontal="center"/>
    </xf>
    <xf numFmtId="0" fontId="7" fillId="2" borderId="1" xfId="0" applyFont="1" applyFill="1" applyBorder="1"/>
    <xf numFmtId="2" fontId="13" fillId="2" borderId="1" xfId="0" applyNumberFormat="1" applyFont="1" applyFill="1" applyBorder="1" applyAlignment="1">
      <alignment horizontal="center"/>
    </xf>
    <xf numFmtId="1" fontId="13" fillId="2" borderId="1" xfId="0" applyNumberFormat="1" applyFont="1" applyFill="1" applyBorder="1" applyAlignment="1">
      <alignment horizontal="center"/>
    </xf>
    <xf numFmtId="0" fontId="7" fillId="4" borderId="4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7" fillId="4" borderId="9" xfId="0" applyFont="1" applyFill="1" applyBorder="1" applyAlignment="1">
      <alignment vertical="center" wrapText="1"/>
    </xf>
    <xf numFmtId="2" fontId="7" fillId="4" borderId="0" xfId="0" applyNumberFormat="1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right" wrapText="1"/>
    </xf>
    <xf numFmtId="2" fontId="7" fillId="4" borderId="0" xfId="0" applyNumberFormat="1" applyFont="1" applyFill="1" applyBorder="1" applyAlignment="1">
      <alignment horizontal="right" vertical="center" wrapText="1"/>
    </xf>
    <xf numFmtId="0" fontId="7" fillId="4" borderId="0" xfId="0" applyFont="1" applyFill="1" applyBorder="1" applyAlignment="1">
      <alignment vertical="center" wrapText="1"/>
    </xf>
    <xf numFmtId="0" fontId="0" fillId="0" borderId="0" xfId="0" applyAlignment="1"/>
    <xf numFmtId="2" fontId="0" fillId="0" borderId="16" xfId="0" applyNumberFormat="1" applyFill="1" applyBorder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vertical="center" wrapText="1"/>
    </xf>
    <xf numFmtId="2" fontId="7" fillId="0" borderId="6" xfId="0" applyNumberFormat="1" applyFont="1" applyBorder="1" applyAlignment="1">
      <alignment vertical="center" wrapText="1"/>
    </xf>
    <xf numFmtId="2" fontId="7" fillId="0" borderId="7" xfId="0" applyNumberFormat="1" applyFont="1" applyBorder="1" applyAlignment="1">
      <alignment vertical="center" wrapText="1"/>
    </xf>
    <xf numFmtId="2" fontId="7" fillId="0" borderId="8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vertical="center" wrapText="1"/>
    </xf>
    <xf numFmtId="2" fontId="7" fillId="0" borderId="6" xfId="0" applyNumberFormat="1" applyFont="1" applyBorder="1" applyAlignment="1">
      <alignment vertical="center" wrapText="1"/>
    </xf>
    <xf numFmtId="2" fontId="7" fillId="0" borderId="7" xfId="0" applyNumberFormat="1" applyFont="1" applyBorder="1" applyAlignment="1">
      <alignment vertical="center" wrapText="1"/>
    </xf>
    <xf numFmtId="2" fontId="7" fillId="0" borderId="8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5" fillId="14" borderId="9" xfId="0" applyFont="1" applyFill="1" applyBorder="1" applyAlignment="1">
      <alignment horizontal="right" vertical="center" wrapText="1"/>
    </xf>
    <xf numFmtId="2" fontId="15" fillId="14" borderId="0" xfId="0" applyNumberFormat="1" applyFont="1" applyFill="1" applyBorder="1" applyAlignment="1">
      <alignment horizontal="center" vertical="center" wrapText="1"/>
    </xf>
    <xf numFmtId="0" fontId="15" fillId="14" borderId="0" xfId="0" applyFont="1" applyFill="1" applyBorder="1" applyAlignment="1">
      <alignment horizontal="right" vertical="center" wrapText="1"/>
    </xf>
    <xf numFmtId="2" fontId="15" fillId="14" borderId="0" xfId="0" applyNumberFormat="1" applyFont="1" applyFill="1" applyBorder="1" applyAlignment="1">
      <alignment vertical="center" wrapText="1"/>
    </xf>
    <xf numFmtId="0" fontId="15" fillId="14" borderId="0" xfId="0" applyFont="1" applyFill="1" applyBorder="1" applyAlignment="1">
      <alignment vertical="center" wrapText="1"/>
    </xf>
    <xf numFmtId="0" fontId="15" fillId="14" borderId="22" xfId="0" applyFont="1" applyFill="1" applyBorder="1" applyAlignment="1">
      <alignment horizontal="right" vertical="center" wrapText="1"/>
    </xf>
    <xf numFmtId="2" fontId="15" fillId="14" borderId="17" xfId="0" applyNumberFormat="1" applyFont="1" applyFill="1" applyBorder="1" applyAlignment="1">
      <alignment horizontal="center" vertical="center" wrapText="1"/>
    </xf>
    <xf numFmtId="0" fontId="15" fillId="14" borderId="17" xfId="0" applyFont="1" applyFill="1" applyBorder="1" applyAlignment="1">
      <alignment horizontal="right" vertical="center" wrapText="1"/>
    </xf>
    <xf numFmtId="2" fontId="15" fillId="14" borderId="17" xfId="0" applyNumberFormat="1" applyFont="1" applyFill="1" applyBorder="1" applyAlignment="1">
      <alignment horizontal="right" vertical="center" wrapText="1"/>
    </xf>
    <xf numFmtId="0" fontId="15" fillId="14" borderId="17" xfId="0" applyFont="1" applyFill="1" applyBorder="1" applyAlignment="1">
      <alignment vertical="center" wrapText="1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 wrapText="1"/>
    </xf>
    <xf numFmtId="2" fontId="8" fillId="0" borderId="3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vertical="center" wrapText="1"/>
    </xf>
    <xf numFmtId="2" fontId="7" fillId="0" borderId="6" xfId="0" applyNumberFormat="1" applyFont="1" applyBorder="1" applyAlignment="1">
      <alignment vertical="center" wrapText="1"/>
    </xf>
    <xf numFmtId="2" fontId="7" fillId="0" borderId="7" xfId="0" applyNumberFormat="1" applyFont="1" applyBorder="1" applyAlignment="1">
      <alignment vertical="center" wrapText="1"/>
    </xf>
    <xf numFmtId="2" fontId="7" fillId="0" borderId="8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2" fontId="7" fillId="4" borderId="0" xfId="0" applyNumberFormat="1" applyFont="1" applyFill="1" applyBorder="1" applyAlignment="1">
      <alignment horizontal="center" vertical="center" wrapText="1"/>
    </xf>
    <xf numFmtId="2" fontId="15" fillId="14" borderId="22" xfId="0" applyNumberFormat="1" applyFont="1" applyFill="1" applyBorder="1" applyAlignment="1">
      <alignment horizontal="right" vertical="center" wrapText="1"/>
    </xf>
    <xf numFmtId="0" fontId="3" fillId="10" borderId="1" xfId="0" applyFont="1" applyFill="1" applyBorder="1" applyAlignment="1">
      <alignment horizontal="center"/>
    </xf>
    <xf numFmtId="2" fontId="13" fillId="11" borderId="18" xfId="0" applyNumberFormat="1" applyFont="1" applyFill="1" applyBorder="1" applyAlignment="1">
      <alignment horizontal="center"/>
    </xf>
    <xf numFmtId="2" fontId="13" fillId="11" borderId="19" xfId="0" applyNumberFormat="1" applyFont="1" applyFill="1" applyBorder="1" applyAlignment="1">
      <alignment horizontal="center"/>
    </xf>
    <xf numFmtId="2" fontId="13" fillId="9" borderId="18" xfId="0" applyNumberFormat="1" applyFont="1" applyFill="1" applyBorder="1" applyAlignment="1">
      <alignment horizontal="center"/>
    </xf>
    <xf numFmtId="2" fontId="13" fillId="9" borderId="19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2" fontId="13" fillId="12" borderId="18" xfId="0" applyNumberFormat="1" applyFont="1" applyFill="1" applyBorder="1" applyAlignment="1">
      <alignment horizontal="center"/>
    </xf>
    <xf numFmtId="2" fontId="13" fillId="12" borderId="19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8" fillId="0" borderId="4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6" fillId="0" borderId="9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2" fontId="7" fillId="0" borderId="4" xfId="0" applyNumberFormat="1" applyFont="1" applyBorder="1" applyAlignment="1">
      <alignment horizontal="center" vertical="center" wrapText="1"/>
    </xf>
    <xf numFmtId="2" fontId="7" fillId="0" borderId="6" xfId="0" applyNumberFormat="1" applyFont="1" applyBorder="1" applyAlignment="1">
      <alignment horizontal="center" vertical="center" wrapText="1"/>
    </xf>
    <xf numFmtId="2" fontId="7" fillId="0" borderId="7" xfId="0" applyNumberFormat="1" applyFont="1" applyBorder="1" applyAlignment="1">
      <alignment horizontal="center" vertical="center" wrapText="1"/>
    </xf>
    <xf numFmtId="2" fontId="7" fillId="0" borderId="9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" fontId="7" fillId="0" borderId="12" xfId="0" applyNumberFormat="1" applyFont="1" applyBorder="1" applyAlignment="1">
      <alignment horizontal="center" vertical="center" wrapText="1"/>
    </xf>
    <xf numFmtId="2" fontId="7" fillId="0" borderId="13" xfId="0" applyNumberFormat="1" applyFont="1" applyBorder="1" applyAlignment="1">
      <alignment horizontal="center" vertical="center" wrapText="1"/>
    </xf>
    <xf numFmtId="2" fontId="7" fillId="0" borderId="8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2" fontId="7" fillId="4" borderId="0" xfId="0" applyNumberFormat="1" applyFont="1" applyFill="1" applyBorder="1" applyAlignment="1">
      <alignment horizontal="center" vertical="center" wrapText="1"/>
    </xf>
    <xf numFmtId="2" fontId="7" fillId="0" borderId="8" xfId="0" applyNumberFormat="1" applyFont="1" applyBorder="1" applyAlignment="1">
      <alignment horizontal="left" vertical="center" wrapText="1"/>
    </xf>
    <xf numFmtId="2" fontId="7" fillId="0" borderId="8" xfId="0" applyNumberFormat="1" applyFont="1" applyBorder="1" applyAlignment="1">
      <alignment horizontal="right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vertical="center" wrapText="1"/>
    </xf>
    <xf numFmtId="2" fontId="8" fillId="0" borderId="8" xfId="0" applyNumberFormat="1" applyFont="1" applyBorder="1" applyAlignment="1">
      <alignment vertical="center" wrapText="1"/>
    </xf>
    <xf numFmtId="2" fontId="8" fillId="0" borderId="6" xfId="0" applyNumberFormat="1" applyFont="1" applyBorder="1" applyAlignment="1">
      <alignment vertical="center" wrapText="1"/>
    </xf>
    <xf numFmtId="2" fontId="8" fillId="0" borderId="3" xfId="0" applyNumberFormat="1" applyFont="1" applyBorder="1" applyAlignment="1">
      <alignment vertical="center" wrapText="1"/>
    </xf>
    <xf numFmtId="2" fontId="8" fillId="0" borderId="2" xfId="0" applyNumberFormat="1" applyFont="1" applyBorder="1" applyAlignment="1">
      <alignment horizontal="center" vertical="center" wrapText="1"/>
    </xf>
    <xf numFmtId="2" fontId="8" fillId="0" borderId="3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right" vertical="center" wrapText="1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7" fillId="0" borderId="4" xfId="0" applyNumberFormat="1" applyFont="1" applyBorder="1" applyAlignment="1">
      <alignment vertical="center" wrapText="1"/>
    </xf>
    <xf numFmtId="2" fontId="7" fillId="0" borderId="6" xfId="0" applyNumberFormat="1" applyFont="1" applyBorder="1" applyAlignment="1">
      <alignment vertical="center" wrapText="1"/>
    </xf>
    <xf numFmtId="2" fontId="7" fillId="0" borderId="7" xfId="0" applyNumberFormat="1" applyFont="1" applyBorder="1" applyAlignment="1">
      <alignment vertical="center" wrapText="1"/>
    </xf>
    <xf numFmtId="2" fontId="7" fillId="0" borderId="2" xfId="0" applyNumberFormat="1" applyFont="1" applyBorder="1" applyAlignment="1">
      <alignment vertical="center" wrapText="1"/>
    </xf>
    <xf numFmtId="2" fontId="7" fillId="0" borderId="8" xfId="0" applyNumberFormat="1" applyFont="1" applyBorder="1" applyAlignment="1">
      <alignment vertical="center" wrapText="1"/>
    </xf>
    <xf numFmtId="2" fontId="7" fillId="0" borderId="3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2" fontId="7" fillId="0" borderId="0" xfId="0" applyNumberFormat="1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Graphique des</a:t>
            </a:r>
            <a:r>
              <a:rPr lang="en-US" baseline="0"/>
              <a:t> Moyennes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316163604549432"/>
          <c:y val="0.19486111111111112"/>
          <c:w val="0.77844947506561679"/>
          <c:h val="0.3894965733449985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lt1">
                    <a:lumMod val="50000"/>
                  </a:schemeClr>
                </a:solidFill>
                <a:round/>
              </a:ln>
              <a:effectLst/>
            </c:spPr>
          </c:errBars>
          <c:cat>
            <c:strRef>
              <c:f>BORDEREAU!$B$5:$B$20</c:f>
              <c:strCache>
                <c:ptCount val="16"/>
                <c:pt idx="0">
                  <c:v>APOULIE AYAMGMA Nesly Flavie</c:v>
                </c:pt>
                <c:pt idx="1">
                  <c:v>ASSENA Sandra Joana</c:v>
                </c:pt>
                <c:pt idx="2">
                  <c:v>BISSO MOTO Noah Nelly Angelo</c:v>
                </c:pt>
                <c:pt idx="3">
                  <c:v>LOMA INEMB Lazare Dimitri</c:v>
                </c:pt>
                <c:pt idx="4">
                  <c:v>MADJI Ange Noëlle</c:v>
                </c:pt>
                <c:pt idx="5">
                  <c:v>MANGWA NDJIKI Orline</c:v>
                </c:pt>
                <c:pt idx="6">
                  <c:v>MBARGA ATANGANA Perline</c:v>
                </c:pt>
                <c:pt idx="7">
                  <c:v>MBARGA NNENGUE Marguerite</c:v>
                </c:pt>
                <c:pt idx="8">
                  <c:v>MEKOUL MVOMO Fredy</c:v>
                </c:pt>
                <c:pt idx="9">
                  <c:v>MEWOULA NDJENGUE Serena Sylvana</c:v>
                </c:pt>
                <c:pt idx="10">
                  <c:v>MPENE MPENE Ciara</c:v>
                </c:pt>
                <c:pt idx="11">
                  <c:v>NGECHEJI FAUHOUE Davina Stella</c:v>
                </c:pt>
                <c:pt idx="12">
                  <c:v>NKE TSALA Appolonie Andreina</c:v>
                </c:pt>
                <c:pt idx="13">
                  <c:v>NKENGUE Firming</c:v>
                </c:pt>
                <c:pt idx="14">
                  <c:v>POUGNONG Giberin</c:v>
                </c:pt>
                <c:pt idx="15">
                  <c:v>SAMBOKOLONG AYE Narcisse Stève</c:v>
                </c:pt>
              </c:strCache>
            </c:strRef>
          </c:cat>
          <c:val>
            <c:numRef>
              <c:f>BORDEREAU!$V$5:$V$20</c:f>
              <c:numCache>
                <c:formatCode>0.00</c:formatCode>
                <c:ptCount val="16"/>
                <c:pt idx="0">
                  <c:v>9.9032258064516121</c:v>
                </c:pt>
                <c:pt idx="1">
                  <c:v>9.4193548387096779</c:v>
                </c:pt>
                <c:pt idx="2">
                  <c:v>10.225806451612904</c:v>
                </c:pt>
                <c:pt idx="3">
                  <c:v>10.064516129032258</c:v>
                </c:pt>
                <c:pt idx="4">
                  <c:v>10.03225806451613</c:v>
                </c:pt>
                <c:pt idx="5">
                  <c:v>11.064516129032258</c:v>
                </c:pt>
                <c:pt idx="8">
                  <c:v>10.064516129032258</c:v>
                </c:pt>
                <c:pt idx="9">
                  <c:v>10.806451612903226</c:v>
                </c:pt>
                <c:pt idx="11">
                  <c:v>10.903225806451612</c:v>
                </c:pt>
                <c:pt idx="12">
                  <c:v>11.193548387096774</c:v>
                </c:pt>
                <c:pt idx="13">
                  <c:v>11.903225806451612</c:v>
                </c:pt>
                <c:pt idx="14">
                  <c:v>8.8387096774193541</c:v>
                </c:pt>
                <c:pt idx="15">
                  <c:v>8.4516129032258061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50-4980-B8FF-A874CCC3E66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36795584"/>
        <c:axId val="336795912"/>
      </c:lineChart>
      <c:catAx>
        <c:axId val="3367955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795912"/>
        <c:crosses val="autoZero"/>
        <c:auto val="1"/>
        <c:lblAlgn val="ctr"/>
        <c:lblOffset val="100"/>
        <c:noMultiLvlLbl val="0"/>
      </c:catAx>
      <c:valAx>
        <c:axId val="3367959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79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85</xdr:row>
      <xdr:rowOff>173567</xdr:rowOff>
    </xdr:from>
    <xdr:to>
      <xdr:col>5</xdr:col>
      <xdr:colOff>10583</xdr:colOff>
      <xdr:row>100</xdr:row>
      <xdr:rowOff>59267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58"/>
  <sheetViews>
    <sheetView topLeftCell="A27" zoomScale="80" zoomScaleNormal="80" workbookViewId="0">
      <selection activeCell="U33" sqref="U33:U48"/>
    </sheetView>
  </sheetViews>
  <sheetFormatPr baseColWidth="10" defaultRowHeight="15" x14ac:dyDescent="0.25"/>
  <cols>
    <col min="1" max="1" width="3.28515625" bestFit="1" customWidth="1"/>
    <col min="2" max="2" width="36.28515625" customWidth="1"/>
    <col min="3" max="3" width="7.5703125" bestFit="1" customWidth="1"/>
    <col min="4" max="4" width="7.140625" bestFit="1" customWidth="1"/>
    <col min="5" max="5" width="7.28515625" bestFit="1" customWidth="1"/>
    <col min="6" max="6" width="7.5703125" bestFit="1" customWidth="1"/>
    <col min="7" max="7" width="7.42578125" customWidth="1"/>
    <col min="8" max="8" width="6" bestFit="1" customWidth="1"/>
    <col min="9" max="9" width="6.7109375" bestFit="1" customWidth="1"/>
    <col min="10" max="10" width="6.7109375" customWidth="1"/>
    <col min="11" max="11" width="9.140625" bestFit="1" customWidth="1"/>
    <col min="12" max="19" width="6" bestFit="1" customWidth="1"/>
    <col min="20" max="20" width="11.5703125" bestFit="1" customWidth="1"/>
    <col min="21" max="21" width="10" bestFit="1" customWidth="1"/>
  </cols>
  <sheetData>
    <row r="4" spans="1:19" x14ac:dyDescent="0.25">
      <c r="A4" s="4" t="s">
        <v>2</v>
      </c>
      <c r="B4" s="5" t="s">
        <v>0</v>
      </c>
      <c r="C4" s="5" t="s">
        <v>1</v>
      </c>
      <c r="D4" s="5" t="s">
        <v>15</v>
      </c>
      <c r="E4" s="5" t="s">
        <v>16</v>
      </c>
      <c r="F4" s="5" t="s">
        <v>9</v>
      </c>
      <c r="G4" s="5" t="s">
        <v>20</v>
      </c>
      <c r="H4" s="5" t="s">
        <v>10</v>
      </c>
      <c r="I4" s="5" t="s">
        <v>11</v>
      </c>
      <c r="J4" s="5" t="s">
        <v>19</v>
      </c>
      <c r="K4" s="5" t="s">
        <v>3</v>
      </c>
      <c r="L4" s="5" t="s">
        <v>4</v>
      </c>
      <c r="M4" s="5" t="s">
        <v>12</v>
      </c>
      <c r="N4" s="5" t="s">
        <v>13</v>
      </c>
      <c r="O4" s="5" t="s">
        <v>5</v>
      </c>
      <c r="P4" s="5" t="s">
        <v>6</v>
      </c>
      <c r="Q4" s="5" t="s">
        <v>7</v>
      </c>
      <c r="R4" s="5" t="s">
        <v>8</v>
      </c>
      <c r="S4" s="5" t="s">
        <v>14</v>
      </c>
    </row>
    <row r="5" spans="1:19" x14ac:dyDescent="0.25">
      <c r="A5" s="1">
        <v>1</v>
      </c>
      <c r="B5" s="1" t="s">
        <v>73</v>
      </c>
      <c r="C5" s="2">
        <v>13</v>
      </c>
      <c r="D5" s="2">
        <v>8</v>
      </c>
      <c r="E5" s="2">
        <v>10</v>
      </c>
      <c r="F5" s="2">
        <v>9</v>
      </c>
      <c r="G5" s="2">
        <v>8</v>
      </c>
      <c r="H5" s="2">
        <v>6</v>
      </c>
      <c r="I5" s="2">
        <v>4.5</v>
      </c>
      <c r="J5" s="2">
        <v>6.5</v>
      </c>
      <c r="K5" s="2">
        <v>10</v>
      </c>
      <c r="L5" s="2">
        <v>12</v>
      </c>
      <c r="M5" s="2">
        <v>7</v>
      </c>
      <c r="N5" s="2">
        <v>11</v>
      </c>
      <c r="O5" s="2">
        <v>16</v>
      </c>
      <c r="P5" s="2">
        <v>14</v>
      </c>
      <c r="Q5" s="2">
        <v>15</v>
      </c>
      <c r="R5" s="2">
        <v>16</v>
      </c>
      <c r="S5" s="2">
        <v>17</v>
      </c>
    </row>
    <row r="6" spans="1:19" x14ac:dyDescent="0.25">
      <c r="A6" s="1">
        <f>A5+1</f>
        <v>2</v>
      </c>
      <c r="B6" s="11" t="s">
        <v>74</v>
      </c>
      <c r="C6" s="12">
        <v>11</v>
      </c>
      <c r="D6" s="12">
        <v>8</v>
      </c>
      <c r="E6" s="12">
        <v>8</v>
      </c>
      <c r="F6" s="12">
        <v>8</v>
      </c>
      <c r="G6" s="12">
        <v>8</v>
      </c>
      <c r="H6" s="12">
        <v>4</v>
      </c>
      <c r="I6" s="12">
        <v>5</v>
      </c>
      <c r="J6" s="12">
        <v>6</v>
      </c>
      <c r="K6" s="12">
        <v>8</v>
      </c>
      <c r="L6" s="12">
        <v>11</v>
      </c>
      <c r="M6" s="12">
        <v>13</v>
      </c>
      <c r="N6" s="12">
        <v>9</v>
      </c>
      <c r="O6" s="2">
        <v>16</v>
      </c>
      <c r="P6" s="12">
        <v>15</v>
      </c>
      <c r="Q6" s="12">
        <v>10</v>
      </c>
      <c r="R6" s="2">
        <v>16</v>
      </c>
      <c r="S6" s="2">
        <v>17</v>
      </c>
    </row>
    <row r="7" spans="1:19" x14ac:dyDescent="0.25">
      <c r="A7" s="1">
        <f t="shared" ref="A7:A29" si="0">A6+1</f>
        <v>3</v>
      </c>
      <c r="B7" s="1" t="s">
        <v>75</v>
      </c>
      <c r="C7" s="2">
        <v>14</v>
      </c>
      <c r="D7" s="2">
        <v>6</v>
      </c>
      <c r="E7" s="2">
        <v>11</v>
      </c>
      <c r="F7" s="2">
        <v>9</v>
      </c>
      <c r="G7" s="2">
        <v>11</v>
      </c>
      <c r="H7" s="2">
        <v>8</v>
      </c>
      <c r="I7" s="2">
        <v>3</v>
      </c>
      <c r="J7" s="2">
        <v>5</v>
      </c>
      <c r="K7" s="2">
        <v>9</v>
      </c>
      <c r="L7" s="2">
        <v>9</v>
      </c>
      <c r="M7" s="2">
        <v>11</v>
      </c>
      <c r="N7" s="2">
        <v>11</v>
      </c>
      <c r="O7" s="2">
        <v>16</v>
      </c>
      <c r="P7" s="2">
        <v>17</v>
      </c>
      <c r="Q7" s="2">
        <v>15</v>
      </c>
      <c r="R7" s="2">
        <v>16</v>
      </c>
      <c r="S7" s="2">
        <v>17</v>
      </c>
    </row>
    <row r="8" spans="1:19" x14ac:dyDescent="0.25">
      <c r="A8" s="1">
        <f t="shared" si="0"/>
        <v>4</v>
      </c>
      <c r="B8" s="1" t="s">
        <v>76</v>
      </c>
      <c r="C8" s="2">
        <v>14</v>
      </c>
      <c r="D8" s="2">
        <v>8</v>
      </c>
      <c r="E8" s="2">
        <v>12</v>
      </c>
      <c r="F8" s="2">
        <v>9</v>
      </c>
      <c r="G8" s="2">
        <v>10</v>
      </c>
      <c r="H8" s="2">
        <v>8</v>
      </c>
      <c r="I8" s="2">
        <v>4</v>
      </c>
      <c r="J8" s="2">
        <v>3</v>
      </c>
      <c r="K8" s="2">
        <v>8</v>
      </c>
      <c r="L8" s="2">
        <v>11</v>
      </c>
      <c r="M8" s="2">
        <v>9</v>
      </c>
      <c r="N8" s="2">
        <v>13</v>
      </c>
      <c r="O8" s="2">
        <v>16</v>
      </c>
      <c r="P8" s="2">
        <v>15</v>
      </c>
      <c r="Q8" s="2">
        <v>10</v>
      </c>
      <c r="R8" s="2">
        <v>16</v>
      </c>
      <c r="S8" s="2">
        <v>17</v>
      </c>
    </row>
    <row r="9" spans="1:19" x14ac:dyDescent="0.25">
      <c r="A9" s="1">
        <f t="shared" si="0"/>
        <v>5</v>
      </c>
      <c r="B9" s="1" t="s">
        <v>77</v>
      </c>
      <c r="C9" s="2">
        <v>14</v>
      </c>
      <c r="D9" s="2">
        <v>9</v>
      </c>
      <c r="E9" s="2">
        <v>7</v>
      </c>
      <c r="F9" s="2">
        <v>10</v>
      </c>
      <c r="G9" s="2">
        <v>11</v>
      </c>
      <c r="H9" s="2">
        <v>9</v>
      </c>
      <c r="I9" s="2">
        <v>3</v>
      </c>
      <c r="J9" s="2">
        <v>5</v>
      </c>
      <c r="K9" s="2">
        <v>9</v>
      </c>
      <c r="L9" s="2">
        <v>10</v>
      </c>
      <c r="M9" s="2">
        <v>9</v>
      </c>
      <c r="N9" s="2">
        <v>13</v>
      </c>
      <c r="O9" s="2">
        <v>16</v>
      </c>
      <c r="P9" s="2">
        <v>16</v>
      </c>
      <c r="Q9" s="2">
        <v>11</v>
      </c>
      <c r="R9" s="2">
        <v>16</v>
      </c>
      <c r="S9" s="2">
        <v>17</v>
      </c>
    </row>
    <row r="10" spans="1:19" x14ac:dyDescent="0.25">
      <c r="A10" s="1">
        <f t="shared" ref="A10:A17" si="1">A9+1</f>
        <v>6</v>
      </c>
      <c r="B10" s="37" t="s">
        <v>84</v>
      </c>
      <c r="C10" s="2">
        <v>13</v>
      </c>
      <c r="D10" s="2">
        <v>7</v>
      </c>
      <c r="E10" s="2">
        <v>14</v>
      </c>
      <c r="F10" s="2">
        <v>9</v>
      </c>
      <c r="G10" s="2">
        <v>10</v>
      </c>
      <c r="H10" s="2">
        <v>11</v>
      </c>
      <c r="I10" s="2">
        <v>4</v>
      </c>
      <c r="J10" s="2">
        <v>7</v>
      </c>
      <c r="K10" s="2">
        <v>12</v>
      </c>
      <c r="L10" s="2">
        <v>12</v>
      </c>
      <c r="M10" s="2">
        <v>11</v>
      </c>
      <c r="N10" s="2">
        <v>13</v>
      </c>
      <c r="O10" s="2">
        <v>16</v>
      </c>
      <c r="P10" s="2">
        <v>15</v>
      </c>
      <c r="Q10" s="2">
        <v>13</v>
      </c>
      <c r="R10" s="2">
        <v>16</v>
      </c>
      <c r="S10" s="2">
        <v>17</v>
      </c>
    </row>
    <row r="11" spans="1:19" x14ac:dyDescent="0.25">
      <c r="A11" s="1">
        <f t="shared" si="1"/>
        <v>7</v>
      </c>
      <c r="B11" s="37" t="s">
        <v>85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25">
      <c r="A12" s="1">
        <f t="shared" si="1"/>
        <v>8</v>
      </c>
      <c r="B12" s="37" t="s">
        <v>86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5">
      <c r="A13" s="1">
        <f t="shared" si="1"/>
        <v>9</v>
      </c>
      <c r="B13" s="1" t="s">
        <v>78</v>
      </c>
      <c r="C13" s="2">
        <v>11</v>
      </c>
      <c r="D13" s="2">
        <v>6</v>
      </c>
      <c r="E13" s="2">
        <v>11</v>
      </c>
      <c r="F13" s="2">
        <v>11</v>
      </c>
      <c r="G13" s="2">
        <v>10</v>
      </c>
      <c r="H13" s="2">
        <v>7</v>
      </c>
      <c r="I13" s="2">
        <v>4.5</v>
      </c>
      <c r="J13" s="2">
        <v>4</v>
      </c>
      <c r="K13" s="2">
        <v>10</v>
      </c>
      <c r="L13" s="2">
        <v>10</v>
      </c>
      <c r="M13" s="2">
        <v>11</v>
      </c>
      <c r="N13" s="2">
        <v>10</v>
      </c>
      <c r="O13" s="2">
        <v>16</v>
      </c>
      <c r="P13" s="2">
        <v>17</v>
      </c>
      <c r="Q13" s="2">
        <v>15</v>
      </c>
      <c r="R13" s="2">
        <v>16</v>
      </c>
      <c r="S13" s="2">
        <v>17</v>
      </c>
    </row>
    <row r="14" spans="1:19" x14ac:dyDescent="0.25">
      <c r="A14" s="1">
        <f t="shared" si="1"/>
        <v>10</v>
      </c>
      <c r="B14" s="1" t="s">
        <v>79</v>
      </c>
      <c r="C14" s="2">
        <v>7</v>
      </c>
      <c r="D14" s="2">
        <v>7</v>
      </c>
      <c r="E14" s="2">
        <v>10.5</v>
      </c>
      <c r="F14" s="2">
        <v>9</v>
      </c>
      <c r="G14" s="2">
        <v>11</v>
      </c>
      <c r="H14" s="2">
        <v>13</v>
      </c>
      <c r="I14" s="2">
        <v>5</v>
      </c>
      <c r="J14" s="2">
        <v>5</v>
      </c>
      <c r="K14" s="2">
        <v>12</v>
      </c>
      <c r="L14" s="2">
        <v>15</v>
      </c>
      <c r="M14" s="2">
        <v>13</v>
      </c>
      <c r="N14" s="2">
        <v>13</v>
      </c>
      <c r="O14" s="2">
        <v>16</v>
      </c>
      <c r="P14" s="2">
        <v>16</v>
      </c>
      <c r="Q14" s="2">
        <v>12</v>
      </c>
      <c r="R14" s="2">
        <v>16</v>
      </c>
      <c r="S14" s="2">
        <v>17</v>
      </c>
    </row>
    <row r="15" spans="1:19" x14ac:dyDescent="0.25">
      <c r="A15" s="1">
        <f t="shared" si="1"/>
        <v>11</v>
      </c>
      <c r="B15" s="1" t="s">
        <v>80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25">
      <c r="A16" s="1">
        <f t="shared" si="1"/>
        <v>12</v>
      </c>
      <c r="B16" s="36" t="s">
        <v>87</v>
      </c>
      <c r="C16" s="2">
        <v>12</v>
      </c>
      <c r="D16" s="2">
        <v>6</v>
      </c>
      <c r="E16" s="2">
        <v>12</v>
      </c>
      <c r="F16" s="2">
        <v>10</v>
      </c>
      <c r="G16" s="2">
        <v>10</v>
      </c>
      <c r="H16" s="2">
        <v>9</v>
      </c>
      <c r="I16" s="2">
        <v>5</v>
      </c>
      <c r="J16" s="2">
        <v>7</v>
      </c>
      <c r="K16" s="2">
        <v>11</v>
      </c>
      <c r="L16" s="2">
        <v>12</v>
      </c>
      <c r="M16" s="2">
        <v>11</v>
      </c>
      <c r="N16" s="2">
        <v>13</v>
      </c>
      <c r="O16" s="2">
        <v>16</v>
      </c>
      <c r="P16" s="2">
        <v>17</v>
      </c>
      <c r="Q16" s="2">
        <v>13</v>
      </c>
      <c r="R16" s="2">
        <v>16</v>
      </c>
      <c r="S16" s="2">
        <v>17</v>
      </c>
    </row>
    <row r="17" spans="1:21" x14ac:dyDescent="0.25">
      <c r="A17" s="1">
        <f t="shared" si="1"/>
        <v>13</v>
      </c>
      <c r="B17" s="1" t="s">
        <v>81</v>
      </c>
      <c r="C17" s="2">
        <v>12</v>
      </c>
      <c r="D17" s="2">
        <v>7</v>
      </c>
      <c r="E17" s="2">
        <v>11</v>
      </c>
      <c r="F17" s="2">
        <v>10</v>
      </c>
      <c r="G17" s="2">
        <v>12</v>
      </c>
      <c r="H17" s="2">
        <v>8</v>
      </c>
      <c r="I17" s="2">
        <v>5</v>
      </c>
      <c r="J17" s="2">
        <v>10</v>
      </c>
      <c r="K17" s="2">
        <v>10</v>
      </c>
      <c r="L17" s="2">
        <v>11</v>
      </c>
      <c r="M17" s="2">
        <v>13</v>
      </c>
      <c r="N17" s="2">
        <v>14</v>
      </c>
      <c r="O17" s="2">
        <v>16</v>
      </c>
      <c r="P17" s="2">
        <v>16</v>
      </c>
      <c r="Q17" s="2">
        <v>15</v>
      </c>
      <c r="R17" s="2">
        <v>16</v>
      </c>
      <c r="S17" s="2">
        <v>17</v>
      </c>
    </row>
    <row r="18" spans="1:21" x14ac:dyDescent="0.25">
      <c r="A18" s="1">
        <v>14</v>
      </c>
      <c r="B18" s="1" t="s">
        <v>82</v>
      </c>
      <c r="C18" s="2">
        <v>12</v>
      </c>
      <c r="D18" s="2">
        <v>9</v>
      </c>
      <c r="E18" s="2">
        <v>15</v>
      </c>
      <c r="F18" s="2">
        <v>10</v>
      </c>
      <c r="G18" s="2">
        <v>13</v>
      </c>
      <c r="H18" s="2">
        <v>11</v>
      </c>
      <c r="I18" s="2">
        <v>4.5</v>
      </c>
      <c r="J18" s="2">
        <v>7</v>
      </c>
      <c r="K18" s="2">
        <v>13</v>
      </c>
      <c r="L18" s="2">
        <v>14</v>
      </c>
      <c r="M18" s="2">
        <v>14</v>
      </c>
      <c r="N18" s="2">
        <v>12</v>
      </c>
      <c r="O18" s="2">
        <v>16</v>
      </c>
      <c r="P18" s="2">
        <v>17</v>
      </c>
      <c r="Q18" s="2">
        <v>15</v>
      </c>
      <c r="R18" s="2">
        <v>16</v>
      </c>
      <c r="S18" s="2">
        <v>17</v>
      </c>
    </row>
    <row r="19" spans="1:21" x14ac:dyDescent="0.25">
      <c r="A19" s="1">
        <v>15</v>
      </c>
      <c r="B19" s="1" t="s">
        <v>83</v>
      </c>
      <c r="C19" s="2">
        <v>8</v>
      </c>
      <c r="D19" s="2">
        <v>7</v>
      </c>
      <c r="E19" s="2">
        <v>6</v>
      </c>
      <c r="F19" s="2">
        <v>8</v>
      </c>
      <c r="G19" s="2">
        <v>7</v>
      </c>
      <c r="H19" s="2">
        <v>7</v>
      </c>
      <c r="I19" s="2">
        <v>5</v>
      </c>
      <c r="J19" s="2">
        <v>3</v>
      </c>
      <c r="K19" s="2">
        <v>8</v>
      </c>
      <c r="L19" s="2">
        <v>10</v>
      </c>
      <c r="M19" s="2">
        <v>10</v>
      </c>
      <c r="N19" s="2">
        <v>10</v>
      </c>
      <c r="O19" s="2">
        <v>16</v>
      </c>
      <c r="P19" s="2">
        <v>16</v>
      </c>
      <c r="Q19" s="2">
        <v>12</v>
      </c>
      <c r="R19" s="2">
        <v>16</v>
      </c>
      <c r="S19" s="2">
        <v>17</v>
      </c>
    </row>
    <row r="20" spans="1:21" x14ac:dyDescent="0.25">
      <c r="A20" s="1">
        <v>16</v>
      </c>
      <c r="B20" s="37" t="s">
        <v>88</v>
      </c>
      <c r="C20" s="2">
        <v>8</v>
      </c>
      <c r="D20" s="2">
        <v>5</v>
      </c>
      <c r="E20" s="2">
        <v>8</v>
      </c>
      <c r="F20" s="2">
        <v>8</v>
      </c>
      <c r="G20" s="2">
        <v>8</v>
      </c>
      <c r="H20" s="2">
        <v>6</v>
      </c>
      <c r="I20" s="2">
        <v>3</v>
      </c>
      <c r="J20" s="2">
        <v>5</v>
      </c>
      <c r="K20" s="2">
        <v>7</v>
      </c>
      <c r="L20" s="2">
        <v>11</v>
      </c>
      <c r="M20" s="2">
        <v>7</v>
      </c>
      <c r="N20" s="2">
        <v>10</v>
      </c>
      <c r="O20" s="2">
        <v>16</v>
      </c>
      <c r="P20" s="2">
        <v>15</v>
      </c>
      <c r="Q20" s="2">
        <v>10</v>
      </c>
      <c r="R20" s="2">
        <v>16</v>
      </c>
      <c r="S20" s="2">
        <v>17</v>
      </c>
    </row>
    <row r="21" spans="1:21" x14ac:dyDescent="0.25">
      <c r="A21" s="1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21" x14ac:dyDescent="0.25">
      <c r="A22" s="1"/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21" x14ac:dyDescent="0.25">
      <c r="A23" s="1"/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21" x14ac:dyDescent="0.25">
      <c r="A24" s="1"/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21" x14ac:dyDescent="0.25">
      <c r="A25" s="1"/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21" x14ac:dyDescent="0.25">
      <c r="A26" s="1" t="e">
        <f>#REF!+1</f>
        <v>#REF!</v>
      </c>
      <c r="B26" s="1" t="e">
        <f>#REF!</f>
        <v>#REF!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21" x14ac:dyDescent="0.25">
      <c r="A27" s="1" t="e">
        <f t="shared" si="0"/>
        <v>#REF!</v>
      </c>
      <c r="B27" s="1" t="e">
        <f>#REF!</f>
        <v>#REF!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21" x14ac:dyDescent="0.25">
      <c r="A28" s="1" t="e">
        <f t="shared" si="0"/>
        <v>#REF!</v>
      </c>
      <c r="B28" s="1" t="e">
        <f>#REF!</f>
        <v>#REF!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21" x14ac:dyDescent="0.25">
      <c r="A29" s="1" t="e">
        <f t="shared" si="0"/>
        <v>#REF!</v>
      </c>
      <c r="B29" s="1" t="e">
        <f>#REF!</f>
        <v>#REF!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21" x14ac:dyDescent="0.25">
      <c r="C30" s="3">
        <f>AVERAGE(C5:C29)</f>
        <v>11.461538461538462</v>
      </c>
      <c r="D30" s="3">
        <f t="shared" ref="D30:S30" si="2">AVERAGE(D5:D29)</f>
        <v>7.1538461538461542</v>
      </c>
      <c r="E30" s="3">
        <f t="shared" si="2"/>
        <v>10.423076923076923</v>
      </c>
      <c r="F30" s="3">
        <f t="shared" si="2"/>
        <v>9.2307692307692299</v>
      </c>
      <c r="G30" s="3">
        <f t="shared" si="2"/>
        <v>9.9230769230769234</v>
      </c>
      <c r="H30" s="3">
        <f t="shared" si="2"/>
        <v>8.2307692307692299</v>
      </c>
      <c r="I30" s="3">
        <f t="shared" si="2"/>
        <v>4.2692307692307692</v>
      </c>
      <c r="J30" s="3">
        <f t="shared" si="2"/>
        <v>5.6538461538461542</v>
      </c>
      <c r="K30" s="3">
        <f t="shared" si="2"/>
        <v>9.7692307692307701</v>
      </c>
      <c r="L30" s="3">
        <f t="shared" si="2"/>
        <v>11.384615384615385</v>
      </c>
      <c r="M30" s="3">
        <f t="shared" si="2"/>
        <v>10.692307692307692</v>
      </c>
      <c r="N30" s="3">
        <f t="shared" si="2"/>
        <v>11.692307692307692</v>
      </c>
      <c r="O30" s="3">
        <f t="shared" si="2"/>
        <v>16</v>
      </c>
      <c r="P30" s="3">
        <f t="shared" si="2"/>
        <v>15.846153846153847</v>
      </c>
      <c r="Q30" s="3">
        <f t="shared" si="2"/>
        <v>12.76923076923077</v>
      </c>
      <c r="R30" s="3">
        <f t="shared" si="2"/>
        <v>16</v>
      </c>
      <c r="S30" s="3">
        <f t="shared" si="2"/>
        <v>17</v>
      </c>
    </row>
    <row r="31" spans="1:21" x14ac:dyDescent="0.25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1" x14ac:dyDescent="0.25">
      <c r="A32" s="4" t="s">
        <v>2</v>
      </c>
      <c r="B32" s="5" t="s">
        <v>0</v>
      </c>
      <c r="C32" s="5" t="s">
        <v>1</v>
      </c>
      <c r="D32" s="5" t="s">
        <v>15</v>
      </c>
      <c r="E32" s="5" t="s">
        <v>16</v>
      </c>
      <c r="F32" s="5" t="s">
        <v>9</v>
      </c>
      <c r="G32" s="5" t="s">
        <v>20</v>
      </c>
      <c r="H32" s="5" t="s">
        <v>10</v>
      </c>
      <c r="I32" s="5" t="s">
        <v>11</v>
      </c>
      <c r="J32" s="5" t="s">
        <v>19</v>
      </c>
      <c r="K32" s="5" t="s">
        <v>3</v>
      </c>
      <c r="L32" s="5" t="s">
        <v>4</v>
      </c>
      <c r="M32" s="5" t="s">
        <v>12</v>
      </c>
      <c r="N32" s="5" t="s">
        <v>13</v>
      </c>
      <c r="O32" s="5" t="s">
        <v>5</v>
      </c>
      <c r="P32" s="5" t="s">
        <v>6</v>
      </c>
      <c r="Q32" s="5" t="s">
        <v>7</v>
      </c>
      <c r="R32" s="5" t="s">
        <v>8</v>
      </c>
      <c r="S32" s="5" t="s">
        <v>14</v>
      </c>
      <c r="T32" s="6" t="s">
        <v>17</v>
      </c>
      <c r="U32" s="6" t="s">
        <v>18</v>
      </c>
    </row>
    <row r="33" spans="1:21" x14ac:dyDescent="0.25">
      <c r="A33" s="1">
        <v>1</v>
      </c>
      <c r="B33" s="1" t="str">
        <f t="shared" ref="B33:B57" si="3">B5</f>
        <v>APOULIE AYAMGMA Nesly Flavie</v>
      </c>
      <c r="C33" s="2">
        <f t="shared" ref="C33:C57" si="4">C5*3</f>
        <v>39</v>
      </c>
      <c r="D33" s="2">
        <f t="shared" ref="D33:D57" si="5">D5*1</f>
        <v>8</v>
      </c>
      <c r="E33" s="2">
        <f t="shared" ref="E33:E57" si="6">E5*2</f>
        <v>20</v>
      </c>
      <c r="F33" s="2">
        <f>F5*1</f>
        <v>9</v>
      </c>
      <c r="G33" s="2">
        <f t="shared" ref="G33:H57" si="7">G5*2</f>
        <v>16</v>
      </c>
      <c r="H33" s="2">
        <f t="shared" si="7"/>
        <v>12</v>
      </c>
      <c r="I33" s="2">
        <f t="shared" ref="I33:I57" si="8">I5*4</f>
        <v>18</v>
      </c>
      <c r="J33" s="2">
        <f t="shared" ref="J33:K57" si="9">J5*2</f>
        <v>13</v>
      </c>
      <c r="K33" s="2">
        <f t="shared" si="9"/>
        <v>20</v>
      </c>
      <c r="L33" s="2">
        <f t="shared" ref="L33:N51" si="10">L5*2</f>
        <v>24</v>
      </c>
      <c r="M33" s="2">
        <f t="shared" si="10"/>
        <v>14</v>
      </c>
      <c r="N33" s="2">
        <f t="shared" si="10"/>
        <v>22</v>
      </c>
      <c r="O33" s="2">
        <f t="shared" ref="O33:O57" si="11">O5*1</f>
        <v>16</v>
      </c>
      <c r="P33" s="2">
        <f t="shared" ref="P33:P57" si="12">P5*2</f>
        <v>28</v>
      </c>
      <c r="Q33" s="2">
        <f t="shared" ref="Q33:S34" si="13">Q5*1</f>
        <v>15</v>
      </c>
      <c r="R33" s="2">
        <f t="shared" si="13"/>
        <v>16</v>
      </c>
      <c r="S33" s="2">
        <f t="shared" si="13"/>
        <v>17</v>
      </c>
      <c r="T33" s="7">
        <f>SUM(C33:S33)</f>
        <v>307</v>
      </c>
      <c r="U33" s="8">
        <f t="shared" ref="U33:U49" si="14">T33/31</f>
        <v>9.9032258064516121</v>
      </c>
    </row>
    <row r="34" spans="1:21" x14ac:dyDescent="0.25">
      <c r="A34" s="1">
        <f>A33+1</f>
        <v>2</v>
      </c>
      <c r="B34" s="1" t="str">
        <f t="shared" si="3"/>
        <v>ASSENA Sandra Joana</v>
      </c>
      <c r="C34" s="2">
        <f t="shared" si="4"/>
        <v>33</v>
      </c>
      <c r="D34" s="2">
        <f t="shared" si="5"/>
        <v>8</v>
      </c>
      <c r="E34" s="2">
        <f t="shared" si="6"/>
        <v>16</v>
      </c>
      <c r="F34" s="2">
        <f>F6*1</f>
        <v>8</v>
      </c>
      <c r="G34" s="2">
        <f t="shared" si="7"/>
        <v>16</v>
      </c>
      <c r="H34" s="2">
        <f t="shared" si="7"/>
        <v>8</v>
      </c>
      <c r="I34" s="2">
        <f t="shared" si="8"/>
        <v>20</v>
      </c>
      <c r="J34" s="2">
        <f t="shared" si="9"/>
        <v>12</v>
      </c>
      <c r="K34" s="2">
        <f t="shared" si="9"/>
        <v>16</v>
      </c>
      <c r="L34" s="2">
        <f t="shared" si="10"/>
        <v>22</v>
      </c>
      <c r="M34" s="2">
        <f t="shared" si="10"/>
        <v>26</v>
      </c>
      <c r="N34" s="2">
        <f t="shared" si="10"/>
        <v>18</v>
      </c>
      <c r="O34" s="2">
        <f t="shared" si="11"/>
        <v>16</v>
      </c>
      <c r="P34" s="2">
        <f t="shared" si="12"/>
        <v>30</v>
      </c>
      <c r="Q34" s="2">
        <f t="shared" si="13"/>
        <v>10</v>
      </c>
      <c r="R34" s="2">
        <f t="shared" si="13"/>
        <v>16</v>
      </c>
      <c r="S34" s="2">
        <f t="shared" si="13"/>
        <v>17</v>
      </c>
      <c r="T34" s="7">
        <f t="shared" ref="T34:T57" si="15">SUM(C34:S34)</f>
        <v>292</v>
      </c>
      <c r="U34" s="8">
        <f t="shared" si="14"/>
        <v>9.4193548387096779</v>
      </c>
    </row>
    <row r="35" spans="1:21" x14ac:dyDescent="0.25">
      <c r="A35" s="1">
        <f t="shared" ref="A35:A57" si="16">A34+1</f>
        <v>3</v>
      </c>
      <c r="B35" s="1" t="str">
        <f t="shared" si="3"/>
        <v>BISSO MOTO Noah Nelly Angelo</v>
      </c>
      <c r="C35" s="2">
        <f t="shared" si="4"/>
        <v>42</v>
      </c>
      <c r="D35" s="2">
        <f t="shared" si="5"/>
        <v>6</v>
      </c>
      <c r="E35" s="2">
        <f t="shared" si="6"/>
        <v>22</v>
      </c>
      <c r="F35" s="2">
        <f t="shared" ref="F35:F36" si="17">F7*1</f>
        <v>9</v>
      </c>
      <c r="G35" s="2">
        <f t="shared" si="7"/>
        <v>22</v>
      </c>
      <c r="H35" s="2">
        <f t="shared" si="7"/>
        <v>16</v>
      </c>
      <c r="I35" s="2">
        <f t="shared" si="8"/>
        <v>12</v>
      </c>
      <c r="J35" s="2">
        <f t="shared" si="9"/>
        <v>10</v>
      </c>
      <c r="K35" s="2">
        <f t="shared" si="9"/>
        <v>18</v>
      </c>
      <c r="L35" s="2">
        <f t="shared" si="10"/>
        <v>18</v>
      </c>
      <c r="M35" s="2">
        <f t="shared" si="10"/>
        <v>22</v>
      </c>
      <c r="N35" s="2">
        <f t="shared" si="10"/>
        <v>22</v>
      </c>
      <c r="O35" s="2">
        <f t="shared" si="11"/>
        <v>16</v>
      </c>
      <c r="P35" s="2">
        <f t="shared" si="12"/>
        <v>34</v>
      </c>
      <c r="Q35" s="2">
        <f t="shared" ref="Q35:S36" si="18">Q7*1</f>
        <v>15</v>
      </c>
      <c r="R35" s="2">
        <f t="shared" si="18"/>
        <v>16</v>
      </c>
      <c r="S35" s="2">
        <f t="shared" si="18"/>
        <v>17</v>
      </c>
      <c r="T35" s="7">
        <f t="shared" si="15"/>
        <v>317</v>
      </c>
      <c r="U35" s="8">
        <f t="shared" si="14"/>
        <v>10.225806451612904</v>
      </c>
    </row>
    <row r="36" spans="1:21" x14ac:dyDescent="0.25">
      <c r="A36" s="1">
        <f t="shared" si="16"/>
        <v>4</v>
      </c>
      <c r="B36" s="1" t="str">
        <f t="shared" si="3"/>
        <v>LOMA INEMB Lazare Dimitri</v>
      </c>
      <c r="C36" s="2">
        <f t="shared" si="4"/>
        <v>42</v>
      </c>
      <c r="D36" s="2">
        <f t="shared" si="5"/>
        <v>8</v>
      </c>
      <c r="E36" s="2">
        <f t="shared" si="6"/>
        <v>24</v>
      </c>
      <c r="F36" s="2">
        <f t="shared" si="17"/>
        <v>9</v>
      </c>
      <c r="G36" s="2">
        <f t="shared" si="7"/>
        <v>20</v>
      </c>
      <c r="H36" s="2">
        <f t="shared" si="7"/>
        <v>16</v>
      </c>
      <c r="I36" s="2">
        <f t="shared" si="8"/>
        <v>16</v>
      </c>
      <c r="J36" s="2">
        <f t="shared" si="9"/>
        <v>6</v>
      </c>
      <c r="K36" s="2">
        <f t="shared" si="9"/>
        <v>16</v>
      </c>
      <c r="L36" s="2">
        <f t="shared" si="10"/>
        <v>22</v>
      </c>
      <c r="M36" s="2">
        <f t="shared" si="10"/>
        <v>18</v>
      </c>
      <c r="N36" s="2">
        <f t="shared" si="10"/>
        <v>26</v>
      </c>
      <c r="O36" s="2">
        <f t="shared" si="11"/>
        <v>16</v>
      </c>
      <c r="P36" s="2">
        <f t="shared" si="12"/>
        <v>30</v>
      </c>
      <c r="Q36" s="2">
        <f t="shared" si="18"/>
        <v>10</v>
      </c>
      <c r="R36" s="2">
        <f t="shared" si="18"/>
        <v>16</v>
      </c>
      <c r="S36" s="2">
        <f t="shared" si="18"/>
        <v>17</v>
      </c>
      <c r="T36" s="7">
        <f t="shared" ref="T36" si="19">SUM(C36:S36)</f>
        <v>312</v>
      </c>
      <c r="U36" s="8">
        <f t="shared" si="14"/>
        <v>10.064516129032258</v>
      </c>
    </row>
    <row r="37" spans="1:21" x14ac:dyDescent="0.25">
      <c r="A37" s="1">
        <f t="shared" si="16"/>
        <v>5</v>
      </c>
      <c r="B37" s="1" t="str">
        <f t="shared" si="3"/>
        <v>MADJI Ange Noëlle</v>
      </c>
      <c r="C37" s="2">
        <f t="shared" si="4"/>
        <v>42</v>
      </c>
      <c r="D37" s="2">
        <f t="shared" si="5"/>
        <v>9</v>
      </c>
      <c r="E37" s="2">
        <f t="shared" si="6"/>
        <v>14</v>
      </c>
      <c r="F37" s="2">
        <f t="shared" ref="F37" si="20">F9*1</f>
        <v>10</v>
      </c>
      <c r="G37" s="2">
        <f t="shared" si="7"/>
        <v>22</v>
      </c>
      <c r="H37" s="2">
        <f t="shared" si="7"/>
        <v>18</v>
      </c>
      <c r="I37" s="2">
        <f t="shared" si="8"/>
        <v>12</v>
      </c>
      <c r="J37" s="2">
        <f t="shared" si="9"/>
        <v>10</v>
      </c>
      <c r="K37" s="2">
        <f t="shared" si="9"/>
        <v>18</v>
      </c>
      <c r="L37" s="2">
        <f t="shared" si="10"/>
        <v>20</v>
      </c>
      <c r="M37" s="2">
        <f t="shared" si="10"/>
        <v>18</v>
      </c>
      <c r="N37" s="2">
        <f t="shared" si="10"/>
        <v>26</v>
      </c>
      <c r="O37" s="2">
        <f t="shared" si="11"/>
        <v>16</v>
      </c>
      <c r="P37" s="2">
        <f t="shared" si="12"/>
        <v>32</v>
      </c>
      <c r="Q37" s="2">
        <f t="shared" ref="Q37:S37" si="21">Q9*1</f>
        <v>11</v>
      </c>
      <c r="R37" s="2">
        <f t="shared" si="21"/>
        <v>16</v>
      </c>
      <c r="S37" s="2">
        <f t="shared" si="21"/>
        <v>17</v>
      </c>
      <c r="T37" s="7">
        <f t="shared" si="15"/>
        <v>311</v>
      </c>
      <c r="U37" s="8">
        <f t="shared" si="14"/>
        <v>10.03225806451613</v>
      </c>
    </row>
    <row r="38" spans="1:21" x14ac:dyDescent="0.25">
      <c r="A38" s="1">
        <f t="shared" si="16"/>
        <v>6</v>
      </c>
      <c r="B38" s="1" t="str">
        <f t="shared" si="3"/>
        <v>MAGWA NDJIKI Orline</v>
      </c>
      <c r="C38" s="2">
        <f t="shared" si="4"/>
        <v>39</v>
      </c>
      <c r="D38" s="2">
        <f t="shared" si="5"/>
        <v>7</v>
      </c>
      <c r="E38" s="2">
        <f t="shared" si="6"/>
        <v>28</v>
      </c>
      <c r="F38" s="2">
        <f t="shared" ref="F38" si="22">F10*1</f>
        <v>9</v>
      </c>
      <c r="G38" s="2">
        <f t="shared" si="7"/>
        <v>20</v>
      </c>
      <c r="H38" s="2">
        <f t="shared" si="7"/>
        <v>22</v>
      </c>
      <c r="I38" s="2">
        <f t="shared" si="8"/>
        <v>16</v>
      </c>
      <c r="J38" s="2">
        <f t="shared" si="9"/>
        <v>14</v>
      </c>
      <c r="K38" s="2">
        <f t="shared" si="9"/>
        <v>24</v>
      </c>
      <c r="L38" s="2">
        <f t="shared" si="10"/>
        <v>24</v>
      </c>
      <c r="M38" s="2">
        <f t="shared" si="10"/>
        <v>22</v>
      </c>
      <c r="N38" s="2">
        <f t="shared" si="10"/>
        <v>26</v>
      </c>
      <c r="O38" s="2">
        <f t="shared" si="11"/>
        <v>16</v>
      </c>
      <c r="P38" s="2">
        <f t="shared" si="12"/>
        <v>30</v>
      </c>
      <c r="Q38" s="2">
        <f t="shared" ref="Q38:S38" si="23">Q10*1</f>
        <v>13</v>
      </c>
      <c r="R38" s="2">
        <f t="shared" si="23"/>
        <v>16</v>
      </c>
      <c r="S38" s="2">
        <f t="shared" si="23"/>
        <v>17</v>
      </c>
      <c r="T38" s="7">
        <f t="shared" si="15"/>
        <v>343</v>
      </c>
      <c r="U38" s="8">
        <f t="shared" si="14"/>
        <v>11.064516129032258</v>
      </c>
    </row>
    <row r="39" spans="1:21" x14ac:dyDescent="0.25">
      <c r="A39" s="1">
        <f t="shared" si="16"/>
        <v>7</v>
      </c>
      <c r="B39" s="1" t="str">
        <f t="shared" si="3"/>
        <v>MBARGA ATANGANA Perline</v>
      </c>
      <c r="C39" s="2">
        <f t="shared" si="4"/>
        <v>0</v>
      </c>
      <c r="D39" s="2">
        <f t="shared" si="5"/>
        <v>0</v>
      </c>
      <c r="E39" s="2">
        <f t="shared" si="6"/>
        <v>0</v>
      </c>
      <c r="F39" s="2">
        <f t="shared" ref="F39" si="24">F11*1</f>
        <v>0</v>
      </c>
      <c r="G39" s="2">
        <f t="shared" si="7"/>
        <v>0</v>
      </c>
      <c r="H39" s="2">
        <f t="shared" si="7"/>
        <v>0</v>
      </c>
      <c r="I39" s="2">
        <f t="shared" si="8"/>
        <v>0</v>
      </c>
      <c r="J39" s="2">
        <f t="shared" si="9"/>
        <v>0</v>
      </c>
      <c r="K39" s="2">
        <f t="shared" si="9"/>
        <v>0</v>
      </c>
      <c r="L39" s="2">
        <f t="shared" si="10"/>
        <v>0</v>
      </c>
      <c r="M39" s="2">
        <f t="shared" si="10"/>
        <v>0</v>
      </c>
      <c r="N39" s="2">
        <f t="shared" si="10"/>
        <v>0</v>
      </c>
      <c r="O39" s="2">
        <f t="shared" si="11"/>
        <v>0</v>
      </c>
      <c r="P39" s="2">
        <f t="shared" si="12"/>
        <v>0</v>
      </c>
      <c r="Q39" s="2">
        <f t="shared" ref="Q39:S39" si="25">Q11*1</f>
        <v>0</v>
      </c>
      <c r="R39" s="2">
        <f t="shared" si="25"/>
        <v>0</v>
      </c>
      <c r="S39" s="2">
        <f t="shared" si="25"/>
        <v>0</v>
      </c>
      <c r="T39" s="7">
        <f t="shared" si="15"/>
        <v>0</v>
      </c>
      <c r="U39" s="8">
        <f t="shared" si="14"/>
        <v>0</v>
      </c>
    </row>
    <row r="40" spans="1:21" x14ac:dyDescent="0.25">
      <c r="A40" s="1">
        <f t="shared" si="16"/>
        <v>8</v>
      </c>
      <c r="B40" s="1" t="str">
        <f t="shared" si="3"/>
        <v>MBARGA NNENGUE Marguerite</v>
      </c>
      <c r="C40" s="2">
        <f t="shared" si="4"/>
        <v>0</v>
      </c>
      <c r="D40" s="2">
        <f t="shared" si="5"/>
        <v>0</v>
      </c>
      <c r="E40" s="2">
        <f t="shared" si="6"/>
        <v>0</v>
      </c>
      <c r="F40" s="2">
        <f t="shared" ref="F40" si="26">F12*1</f>
        <v>0</v>
      </c>
      <c r="G40" s="2">
        <f t="shared" si="7"/>
        <v>0</v>
      </c>
      <c r="H40" s="2">
        <f t="shared" si="7"/>
        <v>0</v>
      </c>
      <c r="I40" s="2">
        <f t="shared" si="8"/>
        <v>0</v>
      </c>
      <c r="J40" s="2">
        <f t="shared" si="9"/>
        <v>0</v>
      </c>
      <c r="K40" s="2">
        <f t="shared" si="9"/>
        <v>0</v>
      </c>
      <c r="L40" s="2">
        <f t="shared" si="10"/>
        <v>0</v>
      </c>
      <c r="M40" s="2">
        <f t="shared" si="10"/>
        <v>0</v>
      </c>
      <c r="N40" s="2">
        <f t="shared" si="10"/>
        <v>0</v>
      </c>
      <c r="O40" s="2">
        <f t="shared" si="11"/>
        <v>0</v>
      </c>
      <c r="P40" s="2">
        <f t="shared" si="12"/>
        <v>0</v>
      </c>
      <c r="Q40" s="2">
        <f t="shared" ref="Q40:S40" si="27">Q12*1</f>
        <v>0</v>
      </c>
      <c r="R40" s="2">
        <f t="shared" si="27"/>
        <v>0</v>
      </c>
      <c r="S40" s="2">
        <f t="shared" si="27"/>
        <v>0</v>
      </c>
      <c r="T40" s="7">
        <f t="shared" si="15"/>
        <v>0</v>
      </c>
      <c r="U40" s="8">
        <f t="shared" si="14"/>
        <v>0</v>
      </c>
    </row>
    <row r="41" spans="1:21" x14ac:dyDescent="0.25">
      <c r="A41" s="1">
        <f t="shared" si="16"/>
        <v>9</v>
      </c>
      <c r="B41" s="1" t="str">
        <f t="shared" si="3"/>
        <v>MEKOUL MVOMO Fredy</v>
      </c>
      <c r="C41" s="2">
        <f t="shared" si="4"/>
        <v>33</v>
      </c>
      <c r="D41" s="2">
        <f t="shared" si="5"/>
        <v>6</v>
      </c>
      <c r="E41" s="2">
        <f t="shared" si="6"/>
        <v>22</v>
      </c>
      <c r="F41" s="2">
        <f t="shared" ref="F41" si="28">F13*1</f>
        <v>11</v>
      </c>
      <c r="G41" s="2">
        <f t="shared" si="7"/>
        <v>20</v>
      </c>
      <c r="H41" s="2">
        <f t="shared" si="7"/>
        <v>14</v>
      </c>
      <c r="I41" s="2">
        <f t="shared" si="8"/>
        <v>18</v>
      </c>
      <c r="J41" s="2">
        <f t="shared" si="9"/>
        <v>8</v>
      </c>
      <c r="K41" s="2">
        <f t="shared" si="9"/>
        <v>20</v>
      </c>
      <c r="L41" s="2">
        <f t="shared" si="10"/>
        <v>20</v>
      </c>
      <c r="M41" s="2">
        <f t="shared" si="10"/>
        <v>22</v>
      </c>
      <c r="N41" s="2">
        <f t="shared" si="10"/>
        <v>20</v>
      </c>
      <c r="O41" s="2">
        <f t="shared" si="11"/>
        <v>16</v>
      </c>
      <c r="P41" s="2">
        <f t="shared" si="12"/>
        <v>34</v>
      </c>
      <c r="Q41" s="2">
        <f t="shared" ref="Q41:S41" si="29">Q13*1</f>
        <v>15</v>
      </c>
      <c r="R41" s="2">
        <f t="shared" si="29"/>
        <v>16</v>
      </c>
      <c r="S41" s="2">
        <f t="shared" si="29"/>
        <v>17</v>
      </c>
      <c r="T41" s="7">
        <f t="shared" si="15"/>
        <v>312</v>
      </c>
      <c r="U41" s="8">
        <f t="shared" si="14"/>
        <v>10.064516129032258</v>
      </c>
    </row>
    <row r="42" spans="1:21" x14ac:dyDescent="0.25">
      <c r="A42" s="1">
        <f t="shared" si="16"/>
        <v>10</v>
      </c>
      <c r="B42" s="1" t="str">
        <f t="shared" si="3"/>
        <v>MEWOULA NDJENGUE Serena Sylvana</v>
      </c>
      <c r="C42" s="2">
        <f t="shared" si="4"/>
        <v>21</v>
      </c>
      <c r="D42" s="2">
        <f t="shared" si="5"/>
        <v>7</v>
      </c>
      <c r="E42" s="2">
        <f t="shared" si="6"/>
        <v>21</v>
      </c>
      <c r="F42" s="2">
        <f t="shared" ref="F42" si="30">F14*1</f>
        <v>9</v>
      </c>
      <c r="G42" s="2">
        <f t="shared" si="7"/>
        <v>22</v>
      </c>
      <c r="H42" s="2">
        <f t="shared" si="7"/>
        <v>26</v>
      </c>
      <c r="I42" s="2">
        <f t="shared" si="8"/>
        <v>20</v>
      </c>
      <c r="J42" s="2">
        <f t="shared" si="9"/>
        <v>10</v>
      </c>
      <c r="K42" s="2">
        <f t="shared" si="9"/>
        <v>24</v>
      </c>
      <c r="L42" s="2">
        <f t="shared" si="10"/>
        <v>30</v>
      </c>
      <c r="M42" s="2">
        <f t="shared" si="10"/>
        <v>26</v>
      </c>
      <c r="N42" s="2">
        <f t="shared" si="10"/>
        <v>26</v>
      </c>
      <c r="O42" s="2">
        <f t="shared" si="11"/>
        <v>16</v>
      </c>
      <c r="P42" s="2">
        <f t="shared" si="12"/>
        <v>32</v>
      </c>
      <c r="Q42" s="2">
        <f t="shared" ref="Q42:S42" si="31">Q14*1</f>
        <v>12</v>
      </c>
      <c r="R42" s="2">
        <f t="shared" si="31"/>
        <v>16</v>
      </c>
      <c r="S42" s="2">
        <f t="shared" si="31"/>
        <v>17</v>
      </c>
      <c r="T42" s="7">
        <f t="shared" si="15"/>
        <v>335</v>
      </c>
      <c r="U42" s="8">
        <f t="shared" si="14"/>
        <v>10.806451612903226</v>
      </c>
    </row>
    <row r="43" spans="1:21" x14ac:dyDescent="0.25">
      <c r="A43" s="1">
        <f t="shared" si="16"/>
        <v>11</v>
      </c>
      <c r="B43" s="1" t="str">
        <f t="shared" si="3"/>
        <v>MPENE MPENE Ciara</v>
      </c>
      <c r="C43" s="2">
        <f t="shared" si="4"/>
        <v>0</v>
      </c>
      <c r="D43" s="2">
        <f t="shared" si="5"/>
        <v>0</v>
      </c>
      <c r="E43" s="2">
        <f t="shared" si="6"/>
        <v>0</v>
      </c>
      <c r="F43" s="2">
        <f t="shared" ref="F43" si="32">F15*1</f>
        <v>0</v>
      </c>
      <c r="G43" s="2">
        <f t="shared" si="7"/>
        <v>0</v>
      </c>
      <c r="H43" s="2">
        <f t="shared" si="7"/>
        <v>0</v>
      </c>
      <c r="I43" s="2">
        <f t="shared" si="8"/>
        <v>0</v>
      </c>
      <c r="J43" s="2">
        <f t="shared" si="9"/>
        <v>0</v>
      </c>
      <c r="K43" s="2">
        <f t="shared" si="9"/>
        <v>0</v>
      </c>
      <c r="L43" s="2">
        <f t="shared" si="10"/>
        <v>0</v>
      </c>
      <c r="M43" s="2">
        <f t="shared" si="10"/>
        <v>0</v>
      </c>
      <c r="N43" s="2">
        <f t="shared" si="10"/>
        <v>0</v>
      </c>
      <c r="O43" s="2">
        <f t="shared" si="11"/>
        <v>0</v>
      </c>
      <c r="P43" s="2">
        <f t="shared" si="12"/>
        <v>0</v>
      </c>
      <c r="Q43" s="2">
        <f t="shared" ref="Q43:S43" si="33">Q15*1</f>
        <v>0</v>
      </c>
      <c r="R43" s="2">
        <f t="shared" si="33"/>
        <v>0</v>
      </c>
      <c r="S43" s="2">
        <f t="shared" si="33"/>
        <v>0</v>
      </c>
      <c r="T43" s="7">
        <f t="shared" si="15"/>
        <v>0</v>
      </c>
      <c r="U43" s="8">
        <f t="shared" si="14"/>
        <v>0</v>
      </c>
    </row>
    <row r="44" spans="1:21" x14ac:dyDescent="0.25">
      <c r="A44" s="1">
        <f t="shared" si="16"/>
        <v>12</v>
      </c>
      <c r="B44" s="1" t="str">
        <f t="shared" si="3"/>
        <v>NGECHEJI FAUHOUE Davina Stella</v>
      </c>
      <c r="C44" s="2">
        <f t="shared" si="4"/>
        <v>36</v>
      </c>
      <c r="D44" s="2">
        <f t="shared" si="5"/>
        <v>6</v>
      </c>
      <c r="E44" s="2">
        <f t="shared" si="6"/>
        <v>24</v>
      </c>
      <c r="F44" s="2">
        <f t="shared" ref="F44:F45" si="34">F16*1</f>
        <v>10</v>
      </c>
      <c r="G44" s="2">
        <f t="shared" si="7"/>
        <v>20</v>
      </c>
      <c r="H44" s="2">
        <f t="shared" si="7"/>
        <v>18</v>
      </c>
      <c r="I44" s="2">
        <f t="shared" si="8"/>
        <v>20</v>
      </c>
      <c r="J44" s="2">
        <f t="shared" si="9"/>
        <v>14</v>
      </c>
      <c r="K44" s="2">
        <f t="shared" si="9"/>
        <v>22</v>
      </c>
      <c r="L44" s="2">
        <f t="shared" si="10"/>
        <v>24</v>
      </c>
      <c r="M44" s="2">
        <f t="shared" si="10"/>
        <v>22</v>
      </c>
      <c r="N44" s="2">
        <f t="shared" si="10"/>
        <v>26</v>
      </c>
      <c r="O44" s="2">
        <f t="shared" si="11"/>
        <v>16</v>
      </c>
      <c r="P44" s="2">
        <f t="shared" si="12"/>
        <v>34</v>
      </c>
      <c r="Q44" s="2">
        <f t="shared" ref="Q44:S45" si="35">Q16*1</f>
        <v>13</v>
      </c>
      <c r="R44" s="2">
        <f t="shared" si="35"/>
        <v>16</v>
      </c>
      <c r="S44" s="2">
        <f t="shared" si="35"/>
        <v>17</v>
      </c>
      <c r="T44" s="7">
        <f t="shared" si="15"/>
        <v>338</v>
      </c>
      <c r="U44" s="8">
        <f t="shared" si="14"/>
        <v>10.903225806451612</v>
      </c>
    </row>
    <row r="45" spans="1:21" x14ac:dyDescent="0.25">
      <c r="A45" s="1">
        <f t="shared" si="16"/>
        <v>13</v>
      </c>
      <c r="B45" s="1" t="str">
        <f t="shared" si="3"/>
        <v>NKE TSALA Appolonie Andreina</v>
      </c>
      <c r="C45" s="2">
        <f t="shared" si="4"/>
        <v>36</v>
      </c>
      <c r="D45" s="2">
        <f t="shared" si="5"/>
        <v>7</v>
      </c>
      <c r="E45" s="2">
        <f t="shared" si="6"/>
        <v>22</v>
      </c>
      <c r="F45" s="2">
        <f t="shared" si="34"/>
        <v>10</v>
      </c>
      <c r="G45" s="2">
        <f t="shared" si="7"/>
        <v>24</v>
      </c>
      <c r="H45" s="2">
        <f t="shared" si="7"/>
        <v>16</v>
      </c>
      <c r="I45" s="2">
        <f t="shared" si="8"/>
        <v>20</v>
      </c>
      <c r="J45" s="2">
        <f t="shared" si="9"/>
        <v>20</v>
      </c>
      <c r="K45" s="2">
        <f t="shared" si="9"/>
        <v>20</v>
      </c>
      <c r="L45" s="2">
        <f t="shared" si="10"/>
        <v>22</v>
      </c>
      <c r="M45" s="2">
        <f t="shared" si="10"/>
        <v>26</v>
      </c>
      <c r="N45" s="2">
        <f t="shared" si="10"/>
        <v>28</v>
      </c>
      <c r="O45" s="2">
        <f t="shared" si="11"/>
        <v>16</v>
      </c>
      <c r="P45" s="2">
        <f t="shared" si="12"/>
        <v>32</v>
      </c>
      <c r="Q45" s="2">
        <f t="shared" si="35"/>
        <v>15</v>
      </c>
      <c r="R45" s="2">
        <f t="shared" si="35"/>
        <v>16</v>
      </c>
      <c r="S45" s="2">
        <f t="shared" si="35"/>
        <v>17</v>
      </c>
      <c r="T45" s="7">
        <f t="shared" ref="T45" si="36">SUM(C45:S45)</f>
        <v>347</v>
      </c>
      <c r="U45" s="8">
        <f t="shared" si="14"/>
        <v>11.193548387096774</v>
      </c>
    </row>
    <row r="46" spans="1:21" x14ac:dyDescent="0.25">
      <c r="A46" s="1">
        <f t="shared" si="16"/>
        <v>14</v>
      </c>
      <c r="B46" s="1" t="str">
        <f t="shared" si="3"/>
        <v>NKENGUE Firming</v>
      </c>
      <c r="C46" s="2">
        <f t="shared" si="4"/>
        <v>36</v>
      </c>
      <c r="D46" s="2">
        <f t="shared" si="5"/>
        <v>9</v>
      </c>
      <c r="E46" s="2">
        <f t="shared" si="6"/>
        <v>30</v>
      </c>
      <c r="F46" s="2">
        <f t="shared" ref="F46" si="37">F18*1</f>
        <v>10</v>
      </c>
      <c r="G46" s="2">
        <f t="shared" si="7"/>
        <v>26</v>
      </c>
      <c r="H46" s="2">
        <f t="shared" si="7"/>
        <v>22</v>
      </c>
      <c r="I46" s="2">
        <f t="shared" si="8"/>
        <v>18</v>
      </c>
      <c r="J46" s="2">
        <f t="shared" si="9"/>
        <v>14</v>
      </c>
      <c r="K46" s="2">
        <f t="shared" si="9"/>
        <v>26</v>
      </c>
      <c r="L46" s="2">
        <f t="shared" si="10"/>
        <v>28</v>
      </c>
      <c r="M46" s="2">
        <f t="shared" si="10"/>
        <v>28</v>
      </c>
      <c r="N46" s="2">
        <f t="shared" si="10"/>
        <v>24</v>
      </c>
      <c r="O46" s="2">
        <f t="shared" si="11"/>
        <v>16</v>
      </c>
      <c r="P46" s="2">
        <f t="shared" si="12"/>
        <v>34</v>
      </c>
      <c r="Q46" s="2">
        <f t="shared" ref="Q46:S46" si="38">Q18*1</f>
        <v>15</v>
      </c>
      <c r="R46" s="2">
        <f t="shared" si="38"/>
        <v>16</v>
      </c>
      <c r="S46" s="2">
        <f t="shared" si="38"/>
        <v>17</v>
      </c>
      <c r="T46" s="7">
        <f t="shared" si="15"/>
        <v>369</v>
      </c>
      <c r="U46" s="8">
        <f t="shared" si="14"/>
        <v>11.903225806451612</v>
      </c>
    </row>
    <row r="47" spans="1:21" x14ac:dyDescent="0.25">
      <c r="A47" s="1">
        <f t="shared" si="16"/>
        <v>15</v>
      </c>
      <c r="B47" s="1" t="str">
        <f t="shared" si="3"/>
        <v>POUGNONG Giberin</v>
      </c>
      <c r="C47" s="2">
        <f t="shared" si="4"/>
        <v>24</v>
      </c>
      <c r="D47" s="2">
        <f t="shared" si="5"/>
        <v>7</v>
      </c>
      <c r="E47" s="2">
        <f t="shared" si="6"/>
        <v>12</v>
      </c>
      <c r="F47" s="2">
        <f t="shared" ref="F47" si="39">F19*1</f>
        <v>8</v>
      </c>
      <c r="G47" s="2">
        <f t="shared" si="7"/>
        <v>14</v>
      </c>
      <c r="H47" s="2">
        <f t="shared" si="7"/>
        <v>14</v>
      </c>
      <c r="I47" s="2">
        <f t="shared" si="8"/>
        <v>20</v>
      </c>
      <c r="J47" s="2">
        <f t="shared" si="9"/>
        <v>6</v>
      </c>
      <c r="K47" s="2">
        <f t="shared" si="9"/>
        <v>16</v>
      </c>
      <c r="L47" s="2">
        <f t="shared" si="10"/>
        <v>20</v>
      </c>
      <c r="M47" s="2">
        <f t="shared" si="10"/>
        <v>20</v>
      </c>
      <c r="N47" s="2">
        <f t="shared" si="10"/>
        <v>20</v>
      </c>
      <c r="O47" s="2">
        <f t="shared" si="11"/>
        <v>16</v>
      </c>
      <c r="P47" s="2">
        <f t="shared" si="12"/>
        <v>32</v>
      </c>
      <c r="Q47" s="2">
        <f t="shared" ref="Q47:S47" si="40">Q19*1</f>
        <v>12</v>
      </c>
      <c r="R47" s="2">
        <f t="shared" si="40"/>
        <v>16</v>
      </c>
      <c r="S47" s="2">
        <f t="shared" si="40"/>
        <v>17</v>
      </c>
      <c r="T47" s="7">
        <f t="shared" si="15"/>
        <v>274</v>
      </c>
      <c r="U47" s="8">
        <f t="shared" si="14"/>
        <v>8.8387096774193541</v>
      </c>
    </row>
    <row r="48" spans="1:21" x14ac:dyDescent="0.25">
      <c r="A48" s="1">
        <f t="shared" si="16"/>
        <v>16</v>
      </c>
      <c r="B48" s="1" t="str">
        <f t="shared" si="3"/>
        <v>SAMBOKOLONG AYE Narcisse Stève</v>
      </c>
      <c r="C48" s="2">
        <f t="shared" si="4"/>
        <v>24</v>
      </c>
      <c r="D48" s="2">
        <f t="shared" si="5"/>
        <v>5</v>
      </c>
      <c r="E48" s="2">
        <f t="shared" si="6"/>
        <v>16</v>
      </c>
      <c r="F48" s="2">
        <f t="shared" ref="F48" si="41">F20*1</f>
        <v>8</v>
      </c>
      <c r="G48" s="2">
        <f t="shared" si="7"/>
        <v>16</v>
      </c>
      <c r="H48" s="2">
        <f t="shared" si="7"/>
        <v>12</v>
      </c>
      <c r="I48" s="2">
        <f t="shared" si="8"/>
        <v>12</v>
      </c>
      <c r="J48" s="2">
        <f t="shared" si="9"/>
        <v>10</v>
      </c>
      <c r="K48" s="2">
        <f t="shared" si="9"/>
        <v>14</v>
      </c>
      <c r="L48" s="2">
        <f t="shared" si="10"/>
        <v>22</v>
      </c>
      <c r="M48" s="2">
        <f t="shared" si="10"/>
        <v>14</v>
      </c>
      <c r="N48" s="2">
        <f t="shared" si="10"/>
        <v>20</v>
      </c>
      <c r="O48" s="2">
        <f t="shared" si="11"/>
        <v>16</v>
      </c>
      <c r="P48" s="2">
        <f t="shared" si="12"/>
        <v>30</v>
      </c>
      <c r="Q48" s="2">
        <f t="shared" ref="Q48:S48" si="42">Q20*1</f>
        <v>10</v>
      </c>
      <c r="R48" s="2">
        <f t="shared" si="42"/>
        <v>16</v>
      </c>
      <c r="S48" s="2">
        <f t="shared" si="42"/>
        <v>17</v>
      </c>
      <c r="T48" s="7">
        <f t="shared" si="15"/>
        <v>262</v>
      </c>
      <c r="U48" s="8">
        <f t="shared" si="14"/>
        <v>8.4516129032258061</v>
      </c>
    </row>
    <row r="49" spans="1:21" x14ac:dyDescent="0.25">
      <c r="A49" s="1">
        <f t="shared" si="16"/>
        <v>17</v>
      </c>
      <c r="B49" s="1" t="e">
        <f>#REF!</f>
        <v>#REF!</v>
      </c>
      <c r="C49" s="2">
        <f t="shared" si="4"/>
        <v>0</v>
      </c>
      <c r="D49" s="2">
        <f t="shared" si="5"/>
        <v>0</v>
      </c>
      <c r="E49" s="2">
        <f t="shared" si="6"/>
        <v>0</v>
      </c>
      <c r="F49" s="2">
        <f t="shared" ref="F49" si="43">F21*1</f>
        <v>0</v>
      </c>
      <c r="G49" s="2">
        <f t="shared" si="7"/>
        <v>0</v>
      </c>
      <c r="H49" s="2">
        <f t="shared" si="7"/>
        <v>0</v>
      </c>
      <c r="I49" s="2">
        <f t="shared" si="8"/>
        <v>0</v>
      </c>
      <c r="J49" s="2">
        <f t="shared" si="9"/>
        <v>0</v>
      </c>
      <c r="K49" s="2">
        <f t="shared" si="9"/>
        <v>0</v>
      </c>
      <c r="L49" s="2">
        <f t="shared" si="10"/>
        <v>0</v>
      </c>
      <c r="M49" s="2">
        <f t="shared" si="10"/>
        <v>0</v>
      </c>
      <c r="N49" s="2">
        <f t="shared" si="10"/>
        <v>0</v>
      </c>
      <c r="O49" s="2">
        <f t="shared" si="11"/>
        <v>0</v>
      </c>
      <c r="P49" s="2">
        <f t="shared" si="12"/>
        <v>0</v>
      </c>
      <c r="Q49" s="2">
        <f t="shared" ref="Q49:S49" si="44">Q21*1</f>
        <v>0</v>
      </c>
      <c r="R49" s="2">
        <f t="shared" si="44"/>
        <v>0</v>
      </c>
      <c r="S49" s="2">
        <f t="shared" si="44"/>
        <v>0</v>
      </c>
      <c r="T49" s="7">
        <f t="shared" si="15"/>
        <v>0</v>
      </c>
      <c r="U49" s="8">
        <f t="shared" si="14"/>
        <v>0</v>
      </c>
    </row>
    <row r="50" spans="1:21" x14ac:dyDescent="0.25">
      <c r="A50" s="1">
        <f t="shared" si="16"/>
        <v>18</v>
      </c>
      <c r="B50" s="1" t="e">
        <f>#REF!</f>
        <v>#REF!</v>
      </c>
      <c r="C50" s="2">
        <f t="shared" si="4"/>
        <v>0</v>
      </c>
      <c r="D50" s="2">
        <f t="shared" si="5"/>
        <v>0</v>
      </c>
      <c r="E50" s="2">
        <f t="shared" si="6"/>
        <v>0</v>
      </c>
      <c r="F50" s="2">
        <f t="shared" ref="F50" si="45">F22*1</f>
        <v>0</v>
      </c>
      <c r="G50" s="2">
        <f t="shared" si="7"/>
        <v>0</v>
      </c>
      <c r="H50" s="2">
        <f t="shared" si="7"/>
        <v>0</v>
      </c>
      <c r="I50" s="2">
        <f t="shared" si="8"/>
        <v>0</v>
      </c>
      <c r="J50" s="2">
        <f t="shared" si="9"/>
        <v>0</v>
      </c>
      <c r="K50" s="2">
        <f t="shared" si="9"/>
        <v>0</v>
      </c>
      <c r="L50" s="2">
        <f t="shared" si="10"/>
        <v>0</v>
      </c>
      <c r="M50" s="2">
        <f t="shared" si="10"/>
        <v>0</v>
      </c>
      <c r="N50" s="2">
        <f t="shared" si="10"/>
        <v>0</v>
      </c>
      <c r="O50" s="2">
        <f t="shared" si="11"/>
        <v>0</v>
      </c>
      <c r="P50" s="2">
        <f t="shared" si="12"/>
        <v>0</v>
      </c>
      <c r="Q50" s="2">
        <f t="shared" ref="Q50:S50" si="46">Q22*1</f>
        <v>0</v>
      </c>
      <c r="R50" s="2">
        <f t="shared" si="46"/>
        <v>0</v>
      </c>
      <c r="S50" s="2">
        <f t="shared" si="46"/>
        <v>0</v>
      </c>
      <c r="T50" s="7">
        <f t="shared" si="15"/>
        <v>0</v>
      </c>
      <c r="U50" s="8"/>
    </row>
    <row r="51" spans="1:21" x14ac:dyDescent="0.25">
      <c r="A51" s="1">
        <f t="shared" si="16"/>
        <v>19</v>
      </c>
      <c r="B51" s="1" t="e">
        <f>#REF!</f>
        <v>#REF!</v>
      </c>
      <c r="C51" s="2">
        <f t="shared" si="4"/>
        <v>0</v>
      </c>
      <c r="D51" s="2">
        <f t="shared" si="5"/>
        <v>0</v>
      </c>
      <c r="E51" s="2">
        <f t="shared" si="6"/>
        <v>0</v>
      </c>
      <c r="F51" s="2">
        <f t="shared" ref="F51" si="47">F23*1</f>
        <v>0</v>
      </c>
      <c r="G51" s="2">
        <f t="shared" si="7"/>
        <v>0</v>
      </c>
      <c r="H51" s="2">
        <f t="shared" si="7"/>
        <v>0</v>
      </c>
      <c r="I51" s="2">
        <f t="shared" si="8"/>
        <v>0</v>
      </c>
      <c r="J51" s="2">
        <f t="shared" si="9"/>
        <v>0</v>
      </c>
      <c r="K51" s="2">
        <f t="shared" si="9"/>
        <v>0</v>
      </c>
      <c r="L51" s="2">
        <f t="shared" si="10"/>
        <v>0</v>
      </c>
      <c r="M51" s="2">
        <f t="shared" si="10"/>
        <v>0</v>
      </c>
      <c r="N51" s="2">
        <f t="shared" si="10"/>
        <v>0</v>
      </c>
      <c r="O51" s="2">
        <f t="shared" si="11"/>
        <v>0</v>
      </c>
      <c r="P51" s="2">
        <f t="shared" si="12"/>
        <v>0</v>
      </c>
      <c r="Q51" s="2">
        <f t="shared" ref="Q51:S51" si="48">Q23*1</f>
        <v>0</v>
      </c>
      <c r="R51" s="2">
        <f t="shared" si="48"/>
        <v>0</v>
      </c>
      <c r="S51" s="2">
        <f t="shared" si="48"/>
        <v>0</v>
      </c>
      <c r="T51" s="7">
        <f t="shared" si="15"/>
        <v>0</v>
      </c>
      <c r="U51" s="8"/>
    </row>
    <row r="52" spans="1:21" x14ac:dyDescent="0.25">
      <c r="A52" s="1">
        <f t="shared" si="16"/>
        <v>20</v>
      </c>
      <c r="B52" s="1" t="e">
        <f>#REF!</f>
        <v>#REF!</v>
      </c>
      <c r="C52" s="2">
        <f t="shared" si="4"/>
        <v>0</v>
      </c>
      <c r="D52" s="2">
        <f t="shared" si="5"/>
        <v>0</v>
      </c>
      <c r="E52" s="2">
        <f t="shared" si="6"/>
        <v>0</v>
      </c>
      <c r="F52" s="2">
        <f t="shared" ref="F52" si="49">F24*1</f>
        <v>0</v>
      </c>
      <c r="G52" s="2">
        <f t="shared" si="7"/>
        <v>0</v>
      </c>
      <c r="H52" s="2">
        <f t="shared" si="7"/>
        <v>0</v>
      </c>
      <c r="I52" s="2">
        <f t="shared" si="8"/>
        <v>0</v>
      </c>
      <c r="J52" s="2">
        <f t="shared" si="9"/>
        <v>0</v>
      </c>
      <c r="K52" s="2">
        <f t="shared" si="9"/>
        <v>0</v>
      </c>
      <c r="L52" s="2">
        <f t="shared" ref="L52:L57" si="50">L24*1</f>
        <v>0</v>
      </c>
      <c r="M52" s="2">
        <f>M24*2</f>
        <v>0</v>
      </c>
      <c r="N52" s="2">
        <f>N24*2</f>
        <v>0</v>
      </c>
      <c r="O52" s="2">
        <f t="shared" si="11"/>
        <v>0</v>
      </c>
      <c r="P52" s="2">
        <f t="shared" si="12"/>
        <v>0</v>
      </c>
      <c r="Q52" s="2">
        <f t="shared" ref="Q52:S52" si="51">Q24*1</f>
        <v>0</v>
      </c>
      <c r="R52" s="2">
        <f t="shared" si="51"/>
        <v>0</v>
      </c>
      <c r="S52" s="2">
        <f t="shared" si="51"/>
        <v>0</v>
      </c>
      <c r="T52" s="7">
        <f t="shared" si="15"/>
        <v>0</v>
      </c>
      <c r="U52" s="8"/>
    </row>
    <row r="53" spans="1:21" x14ac:dyDescent="0.25">
      <c r="A53" s="1">
        <f t="shared" si="16"/>
        <v>21</v>
      </c>
      <c r="B53" s="1" t="e">
        <f>#REF!</f>
        <v>#REF!</v>
      </c>
      <c r="C53" s="2">
        <f t="shared" si="4"/>
        <v>0</v>
      </c>
      <c r="D53" s="2">
        <f t="shared" si="5"/>
        <v>0</v>
      </c>
      <c r="E53" s="2">
        <f t="shared" si="6"/>
        <v>0</v>
      </c>
      <c r="F53" s="2">
        <f t="shared" ref="F53" si="52">F25*1</f>
        <v>0</v>
      </c>
      <c r="G53" s="2">
        <f t="shared" si="7"/>
        <v>0</v>
      </c>
      <c r="H53" s="2">
        <f t="shared" si="7"/>
        <v>0</v>
      </c>
      <c r="I53" s="2">
        <f t="shared" si="8"/>
        <v>0</v>
      </c>
      <c r="J53" s="2">
        <f t="shared" si="9"/>
        <v>0</v>
      </c>
      <c r="K53" s="2">
        <f t="shared" si="9"/>
        <v>0</v>
      </c>
      <c r="L53" s="2">
        <f t="shared" si="50"/>
        <v>0</v>
      </c>
      <c r="M53" s="2">
        <f t="shared" ref="M53" si="53">M25*1.5</f>
        <v>0</v>
      </c>
      <c r="N53" s="2">
        <f>N25*2</f>
        <v>0</v>
      </c>
      <c r="O53" s="2">
        <f t="shared" si="11"/>
        <v>0</v>
      </c>
      <c r="P53" s="2">
        <f t="shared" si="12"/>
        <v>0</v>
      </c>
      <c r="Q53" s="2">
        <f t="shared" ref="Q53:S53" si="54">Q25*1</f>
        <v>0</v>
      </c>
      <c r="R53" s="2">
        <f t="shared" si="54"/>
        <v>0</v>
      </c>
      <c r="S53" s="2">
        <f t="shared" si="54"/>
        <v>0</v>
      </c>
      <c r="T53" s="7">
        <f t="shared" si="15"/>
        <v>0</v>
      </c>
      <c r="U53" s="8"/>
    </row>
    <row r="54" spans="1:21" x14ac:dyDescent="0.25">
      <c r="A54" s="1">
        <f t="shared" si="16"/>
        <v>22</v>
      </c>
      <c r="B54" s="1" t="e">
        <f t="shared" si="3"/>
        <v>#REF!</v>
      </c>
      <c r="C54" s="2">
        <f t="shared" si="4"/>
        <v>0</v>
      </c>
      <c r="D54" s="2">
        <f t="shared" si="5"/>
        <v>0</v>
      </c>
      <c r="E54" s="2">
        <f t="shared" si="6"/>
        <v>0</v>
      </c>
      <c r="F54" s="2">
        <f t="shared" ref="F54" si="55">F26*1</f>
        <v>0</v>
      </c>
      <c r="G54" s="2">
        <f t="shared" si="7"/>
        <v>0</v>
      </c>
      <c r="H54" s="2">
        <f t="shared" si="7"/>
        <v>0</v>
      </c>
      <c r="I54" s="2">
        <f t="shared" si="8"/>
        <v>0</v>
      </c>
      <c r="J54" s="2">
        <f t="shared" si="9"/>
        <v>0</v>
      </c>
      <c r="K54" s="2">
        <f t="shared" si="9"/>
        <v>0</v>
      </c>
      <c r="L54" s="2">
        <f t="shared" si="50"/>
        <v>0</v>
      </c>
      <c r="M54" s="2">
        <f t="shared" ref="M54:N54" si="56">M26*1.5</f>
        <v>0</v>
      </c>
      <c r="N54" s="2">
        <f t="shared" si="56"/>
        <v>0</v>
      </c>
      <c r="O54" s="2">
        <f t="shared" si="11"/>
        <v>0</v>
      </c>
      <c r="P54" s="2">
        <f t="shared" si="12"/>
        <v>0</v>
      </c>
      <c r="Q54" s="2">
        <f t="shared" ref="Q54:S54" si="57">Q26*1</f>
        <v>0</v>
      </c>
      <c r="R54" s="2">
        <f t="shared" si="57"/>
        <v>0</v>
      </c>
      <c r="S54" s="2">
        <f t="shared" si="57"/>
        <v>0</v>
      </c>
      <c r="T54" s="7">
        <f t="shared" si="15"/>
        <v>0</v>
      </c>
      <c r="U54" s="8"/>
    </row>
    <row r="55" spans="1:21" x14ac:dyDescent="0.25">
      <c r="A55" s="1">
        <f t="shared" si="16"/>
        <v>23</v>
      </c>
      <c r="B55" s="1" t="e">
        <f t="shared" si="3"/>
        <v>#REF!</v>
      </c>
      <c r="C55" s="2">
        <f t="shared" si="4"/>
        <v>0</v>
      </c>
      <c r="D55" s="2">
        <f t="shared" si="5"/>
        <v>0</v>
      </c>
      <c r="E55" s="2">
        <f t="shared" si="6"/>
        <v>0</v>
      </c>
      <c r="F55" s="2">
        <f t="shared" ref="F55" si="58">F27*1</f>
        <v>0</v>
      </c>
      <c r="G55" s="2">
        <f t="shared" si="7"/>
        <v>0</v>
      </c>
      <c r="H55" s="2">
        <f t="shared" si="7"/>
        <v>0</v>
      </c>
      <c r="I55" s="2">
        <f t="shared" si="8"/>
        <v>0</v>
      </c>
      <c r="J55" s="2">
        <f t="shared" si="9"/>
        <v>0</v>
      </c>
      <c r="K55" s="2">
        <f t="shared" si="9"/>
        <v>0</v>
      </c>
      <c r="L55" s="2">
        <f t="shared" si="50"/>
        <v>0</v>
      </c>
      <c r="M55" s="2">
        <f t="shared" ref="M55:N55" si="59">M27*1.5</f>
        <v>0</v>
      </c>
      <c r="N55" s="2">
        <f t="shared" si="59"/>
        <v>0</v>
      </c>
      <c r="O55" s="2">
        <f t="shared" si="11"/>
        <v>0</v>
      </c>
      <c r="P55" s="2">
        <f t="shared" si="12"/>
        <v>0</v>
      </c>
      <c r="Q55" s="2">
        <f t="shared" ref="Q55:S55" si="60">Q27*1</f>
        <v>0</v>
      </c>
      <c r="R55" s="2">
        <f t="shared" si="60"/>
        <v>0</v>
      </c>
      <c r="S55" s="2">
        <f t="shared" si="60"/>
        <v>0</v>
      </c>
      <c r="T55" s="7">
        <f t="shared" si="15"/>
        <v>0</v>
      </c>
      <c r="U55" s="8"/>
    </row>
    <row r="56" spans="1:21" x14ac:dyDescent="0.25">
      <c r="A56" s="1">
        <f t="shared" si="16"/>
        <v>24</v>
      </c>
      <c r="B56" s="1" t="e">
        <f t="shared" si="3"/>
        <v>#REF!</v>
      </c>
      <c r="C56" s="2">
        <f t="shared" si="4"/>
        <v>0</v>
      </c>
      <c r="D56" s="2">
        <f t="shared" si="5"/>
        <v>0</v>
      </c>
      <c r="E56" s="2">
        <f t="shared" si="6"/>
        <v>0</v>
      </c>
      <c r="F56" s="2">
        <f t="shared" ref="F56" si="61">F28*1</f>
        <v>0</v>
      </c>
      <c r="G56" s="2">
        <f t="shared" si="7"/>
        <v>0</v>
      </c>
      <c r="H56" s="2">
        <f t="shared" si="7"/>
        <v>0</v>
      </c>
      <c r="I56" s="2">
        <f t="shared" si="8"/>
        <v>0</v>
      </c>
      <c r="J56" s="2">
        <f t="shared" si="9"/>
        <v>0</v>
      </c>
      <c r="K56" s="2">
        <f t="shared" si="9"/>
        <v>0</v>
      </c>
      <c r="L56" s="2">
        <f t="shared" si="50"/>
        <v>0</v>
      </c>
      <c r="M56" s="2">
        <f t="shared" ref="M56:N56" si="62">M28*1.5</f>
        <v>0</v>
      </c>
      <c r="N56" s="2">
        <f t="shared" si="62"/>
        <v>0</v>
      </c>
      <c r="O56" s="2">
        <f t="shared" si="11"/>
        <v>0</v>
      </c>
      <c r="P56" s="2">
        <f t="shared" si="12"/>
        <v>0</v>
      </c>
      <c r="Q56" s="2">
        <f t="shared" ref="Q56:S56" si="63">Q28*1</f>
        <v>0</v>
      </c>
      <c r="R56" s="2">
        <f t="shared" si="63"/>
        <v>0</v>
      </c>
      <c r="S56" s="2">
        <f t="shared" si="63"/>
        <v>0</v>
      </c>
      <c r="T56" s="7">
        <f t="shared" si="15"/>
        <v>0</v>
      </c>
      <c r="U56" s="8"/>
    </row>
    <row r="57" spans="1:21" x14ac:dyDescent="0.25">
      <c r="A57" s="1">
        <f t="shared" si="16"/>
        <v>25</v>
      </c>
      <c r="B57" s="1" t="e">
        <f t="shared" si="3"/>
        <v>#REF!</v>
      </c>
      <c r="C57" s="2">
        <f t="shared" si="4"/>
        <v>0</v>
      </c>
      <c r="D57" s="2">
        <f t="shared" si="5"/>
        <v>0</v>
      </c>
      <c r="E57" s="2">
        <f t="shared" si="6"/>
        <v>0</v>
      </c>
      <c r="F57" s="2">
        <f t="shared" ref="F57" si="64">F29*1</f>
        <v>0</v>
      </c>
      <c r="G57" s="2">
        <f t="shared" si="7"/>
        <v>0</v>
      </c>
      <c r="H57" s="2">
        <f t="shared" si="7"/>
        <v>0</v>
      </c>
      <c r="I57" s="2">
        <f t="shared" si="8"/>
        <v>0</v>
      </c>
      <c r="J57" s="2">
        <f t="shared" si="9"/>
        <v>0</v>
      </c>
      <c r="K57" s="2">
        <f t="shared" si="9"/>
        <v>0</v>
      </c>
      <c r="L57" s="2">
        <f t="shared" si="50"/>
        <v>0</v>
      </c>
      <c r="M57" s="2">
        <f t="shared" ref="M57:N57" si="65">M29*1.5</f>
        <v>0</v>
      </c>
      <c r="N57" s="2">
        <f t="shared" si="65"/>
        <v>0</v>
      </c>
      <c r="O57" s="2">
        <f t="shared" si="11"/>
        <v>0</v>
      </c>
      <c r="P57" s="2">
        <f t="shared" si="12"/>
        <v>0</v>
      </c>
      <c r="Q57" s="2">
        <f t="shared" ref="Q57:S57" si="66">Q29*1</f>
        <v>0</v>
      </c>
      <c r="R57" s="2">
        <f t="shared" si="66"/>
        <v>0</v>
      </c>
      <c r="S57" s="2">
        <f t="shared" si="66"/>
        <v>0</v>
      </c>
      <c r="T57" s="7">
        <f t="shared" si="15"/>
        <v>0</v>
      </c>
      <c r="U57" s="2"/>
    </row>
    <row r="58" spans="1:21" x14ac:dyDescent="0.25">
      <c r="U58" s="3">
        <f>AVERAGE(U33:U57)</f>
        <v>7.8159392789373818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58"/>
  <sheetViews>
    <sheetView topLeftCell="A27" workbookViewId="0">
      <selection activeCell="U45" sqref="U45"/>
    </sheetView>
  </sheetViews>
  <sheetFormatPr baseColWidth="10" defaultRowHeight="15" x14ac:dyDescent="0.25"/>
  <cols>
    <col min="2" max="2" width="36.28515625" customWidth="1"/>
    <col min="3" max="3" width="7.5703125" bestFit="1" customWidth="1"/>
    <col min="4" max="4" width="7.140625" bestFit="1" customWidth="1"/>
    <col min="5" max="5" width="7.28515625" bestFit="1" customWidth="1"/>
    <col min="6" max="6" width="7.5703125" bestFit="1" customWidth="1"/>
    <col min="7" max="7" width="7.42578125" customWidth="1"/>
    <col min="8" max="8" width="5.5703125" bestFit="1" customWidth="1"/>
    <col min="9" max="9" width="6.7109375" bestFit="1" customWidth="1"/>
    <col min="10" max="10" width="6.7109375" customWidth="1"/>
    <col min="11" max="11" width="8.7109375" bestFit="1" customWidth="1"/>
    <col min="12" max="12" width="5.85546875" bestFit="1" customWidth="1"/>
    <col min="13" max="19" width="5.5703125" bestFit="1" customWidth="1"/>
    <col min="20" max="20" width="6.5703125" bestFit="1" customWidth="1"/>
    <col min="21" max="21" width="11.5703125" bestFit="1" customWidth="1"/>
  </cols>
  <sheetData>
    <row r="4" spans="1:19" x14ac:dyDescent="0.25">
      <c r="A4" s="4" t="s">
        <v>2</v>
      </c>
      <c r="B4" s="5" t="s">
        <v>0</v>
      </c>
      <c r="C4" s="5" t="s">
        <v>1</v>
      </c>
      <c r="D4" s="5" t="s">
        <v>15</v>
      </c>
      <c r="E4" s="5" t="s">
        <v>16</v>
      </c>
      <c r="F4" s="5" t="s">
        <v>9</v>
      </c>
      <c r="G4" s="5" t="s">
        <v>20</v>
      </c>
      <c r="H4" s="5" t="s">
        <v>10</v>
      </c>
      <c r="I4" s="5" t="s">
        <v>11</v>
      </c>
      <c r="J4" s="5" t="s">
        <v>19</v>
      </c>
      <c r="K4" s="5" t="s">
        <v>3</v>
      </c>
      <c r="L4" s="5" t="s">
        <v>4</v>
      </c>
      <c r="M4" s="5" t="s">
        <v>12</v>
      </c>
      <c r="N4" s="5" t="s">
        <v>13</v>
      </c>
      <c r="O4" s="5" t="s">
        <v>5</v>
      </c>
      <c r="P4" s="5" t="s">
        <v>6</v>
      </c>
      <c r="Q4" s="5" t="s">
        <v>7</v>
      </c>
      <c r="R4" s="5" t="s">
        <v>8</v>
      </c>
      <c r="S4" s="5" t="s">
        <v>14</v>
      </c>
    </row>
    <row r="5" spans="1:19" x14ac:dyDescent="0.25">
      <c r="A5" s="1">
        <v>1</v>
      </c>
      <c r="B5" s="1" t="s">
        <v>73</v>
      </c>
      <c r="C5" s="2">
        <v>5</v>
      </c>
      <c r="D5" s="2">
        <v>7</v>
      </c>
      <c r="E5" s="2">
        <v>9</v>
      </c>
      <c r="F5" s="2">
        <v>6</v>
      </c>
      <c r="G5" s="2">
        <v>5</v>
      </c>
      <c r="H5" s="2">
        <v>4</v>
      </c>
      <c r="I5" s="2">
        <v>4.5</v>
      </c>
      <c r="J5" s="2">
        <v>5</v>
      </c>
      <c r="K5" s="2">
        <v>9.5</v>
      </c>
      <c r="L5" s="2">
        <v>11.5</v>
      </c>
      <c r="M5" s="2">
        <v>8.5</v>
      </c>
      <c r="N5" s="2">
        <v>8</v>
      </c>
      <c r="O5" s="2">
        <v>13</v>
      </c>
      <c r="P5" s="2">
        <v>15</v>
      </c>
      <c r="Q5" s="2">
        <v>12</v>
      </c>
      <c r="R5" s="2">
        <v>16</v>
      </c>
      <c r="S5" s="2">
        <v>15</v>
      </c>
    </row>
    <row r="6" spans="1:19" x14ac:dyDescent="0.25">
      <c r="A6" s="1">
        <f>A5+1</f>
        <v>2</v>
      </c>
      <c r="B6" s="11" t="s">
        <v>74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2"/>
      <c r="S6" s="2"/>
    </row>
    <row r="7" spans="1:19" x14ac:dyDescent="0.25">
      <c r="A7" s="1">
        <f t="shared" ref="A7:A29" si="0">A6+1</f>
        <v>3</v>
      </c>
      <c r="B7" s="1" t="s">
        <v>75</v>
      </c>
      <c r="C7" s="2">
        <v>9</v>
      </c>
      <c r="D7" s="2">
        <v>2</v>
      </c>
      <c r="E7" s="2">
        <v>11</v>
      </c>
      <c r="F7" s="2">
        <v>6</v>
      </c>
      <c r="G7" s="2">
        <v>12</v>
      </c>
      <c r="H7" s="2">
        <v>6</v>
      </c>
      <c r="I7" s="2">
        <v>3</v>
      </c>
      <c r="J7" s="2">
        <v>3.5</v>
      </c>
      <c r="K7" s="2">
        <v>10.5</v>
      </c>
      <c r="L7" s="2">
        <v>12</v>
      </c>
      <c r="M7" s="2">
        <v>7</v>
      </c>
      <c r="N7" s="2">
        <v>8</v>
      </c>
      <c r="O7" s="2">
        <v>15</v>
      </c>
      <c r="P7" s="2">
        <v>15</v>
      </c>
      <c r="Q7" s="2">
        <v>14</v>
      </c>
      <c r="R7" s="2">
        <v>16</v>
      </c>
      <c r="S7" s="2">
        <v>15</v>
      </c>
    </row>
    <row r="8" spans="1:19" x14ac:dyDescent="0.25">
      <c r="A8" s="1">
        <f t="shared" si="0"/>
        <v>4</v>
      </c>
      <c r="B8" s="1" t="s">
        <v>76</v>
      </c>
      <c r="C8" s="2">
        <v>6</v>
      </c>
      <c r="D8" s="2">
        <v>7</v>
      </c>
      <c r="E8" s="2">
        <v>11</v>
      </c>
      <c r="F8" s="2">
        <v>6</v>
      </c>
      <c r="G8" s="2">
        <v>7</v>
      </c>
      <c r="H8" s="2">
        <v>6</v>
      </c>
      <c r="I8" s="2">
        <v>4</v>
      </c>
      <c r="J8" s="2">
        <v>1.5</v>
      </c>
      <c r="K8" s="2">
        <v>9</v>
      </c>
      <c r="L8" s="2">
        <v>10</v>
      </c>
      <c r="M8" s="2">
        <v>12</v>
      </c>
      <c r="N8" s="2">
        <v>7</v>
      </c>
      <c r="O8" s="2">
        <v>17</v>
      </c>
      <c r="P8" s="2">
        <v>15</v>
      </c>
      <c r="Q8" s="2">
        <v>7</v>
      </c>
      <c r="R8" s="2">
        <v>16</v>
      </c>
      <c r="S8" s="2">
        <v>15</v>
      </c>
    </row>
    <row r="9" spans="1:19" x14ac:dyDescent="0.25">
      <c r="A9" s="1">
        <f t="shared" si="0"/>
        <v>5</v>
      </c>
      <c r="B9" s="1" t="s">
        <v>77</v>
      </c>
      <c r="C9" s="2">
        <v>7</v>
      </c>
      <c r="D9" s="2">
        <v>8</v>
      </c>
      <c r="E9" s="2">
        <v>6</v>
      </c>
      <c r="F9" s="2">
        <v>7</v>
      </c>
      <c r="G9" s="2">
        <v>8</v>
      </c>
      <c r="H9" s="2">
        <v>6</v>
      </c>
      <c r="I9" s="2">
        <v>3</v>
      </c>
      <c r="J9" s="2">
        <v>3.5</v>
      </c>
      <c r="K9" s="2">
        <v>7.5</v>
      </c>
      <c r="L9" s="2">
        <v>10</v>
      </c>
      <c r="M9" s="2">
        <v>6.5</v>
      </c>
      <c r="N9" s="2">
        <v>6</v>
      </c>
      <c r="O9" s="2">
        <v>14</v>
      </c>
      <c r="P9" s="2">
        <v>15</v>
      </c>
      <c r="Q9" s="2">
        <v>8</v>
      </c>
      <c r="R9" s="2">
        <v>16</v>
      </c>
      <c r="S9" s="2">
        <v>15</v>
      </c>
    </row>
    <row r="10" spans="1:19" x14ac:dyDescent="0.25">
      <c r="A10" s="1">
        <f t="shared" si="0"/>
        <v>6</v>
      </c>
      <c r="B10" s="37" t="s">
        <v>84</v>
      </c>
      <c r="C10" s="2">
        <v>9</v>
      </c>
      <c r="D10" s="2">
        <v>6</v>
      </c>
      <c r="E10" s="2">
        <v>13</v>
      </c>
      <c r="F10" s="2">
        <v>6</v>
      </c>
      <c r="G10" s="2">
        <v>9</v>
      </c>
      <c r="H10" s="2">
        <v>9</v>
      </c>
      <c r="I10" s="2">
        <v>4</v>
      </c>
      <c r="J10" s="2">
        <v>3.5</v>
      </c>
      <c r="K10" s="2">
        <v>13.5</v>
      </c>
      <c r="L10" s="2">
        <v>13</v>
      </c>
      <c r="M10" s="2">
        <v>10</v>
      </c>
      <c r="N10" s="2">
        <v>11</v>
      </c>
      <c r="O10" s="2">
        <v>17</v>
      </c>
      <c r="P10" s="2">
        <v>15</v>
      </c>
      <c r="Q10" s="2">
        <v>10</v>
      </c>
      <c r="R10" s="2">
        <v>16</v>
      </c>
      <c r="S10" s="2">
        <v>15</v>
      </c>
    </row>
    <row r="11" spans="1:19" x14ac:dyDescent="0.25">
      <c r="A11" s="1">
        <f t="shared" si="0"/>
        <v>7</v>
      </c>
      <c r="B11" s="37" t="s">
        <v>85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25">
      <c r="A12" s="1">
        <f t="shared" si="0"/>
        <v>8</v>
      </c>
      <c r="B12" s="37" t="s">
        <v>86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5">
      <c r="A13" s="1">
        <f t="shared" si="0"/>
        <v>9</v>
      </c>
      <c r="B13" s="1" t="s">
        <v>78</v>
      </c>
      <c r="C13" s="2">
        <v>6</v>
      </c>
      <c r="D13" s="2">
        <v>2</v>
      </c>
      <c r="E13" s="2">
        <v>10.5</v>
      </c>
      <c r="F13" s="2">
        <v>10</v>
      </c>
      <c r="G13" s="2">
        <v>8</v>
      </c>
      <c r="H13" s="2">
        <v>5</v>
      </c>
      <c r="I13" s="2">
        <v>4.5</v>
      </c>
      <c r="J13" s="2">
        <v>2</v>
      </c>
      <c r="K13" s="2">
        <v>9.5</v>
      </c>
      <c r="L13" s="2">
        <v>15.5</v>
      </c>
      <c r="M13" s="2">
        <v>10</v>
      </c>
      <c r="N13" s="2">
        <v>8</v>
      </c>
      <c r="O13" s="2">
        <v>17</v>
      </c>
      <c r="P13" s="2">
        <v>15</v>
      </c>
      <c r="Q13" s="2">
        <v>14</v>
      </c>
      <c r="R13" s="2">
        <v>16</v>
      </c>
      <c r="S13" s="2">
        <v>15</v>
      </c>
    </row>
    <row r="14" spans="1:19" x14ac:dyDescent="0.25">
      <c r="A14" s="1">
        <f t="shared" si="0"/>
        <v>10</v>
      </c>
      <c r="B14" s="1" t="s">
        <v>79</v>
      </c>
      <c r="C14" s="2">
        <v>6</v>
      </c>
      <c r="D14" s="2">
        <v>5</v>
      </c>
      <c r="E14" s="2">
        <v>9</v>
      </c>
      <c r="F14" s="2">
        <v>6</v>
      </c>
      <c r="G14" s="2">
        <v>9</v>
      </c>
      <c r="H14" s="2">
        <v>12</v>
      </c>
      <c r="I14" s="2">
        <v>5</v>
      </c>
      <c r="J14" s="2">
        <v>4</v>
      </c>
      <c r="K14" s="2">
        <v>7</v>
      </c>
      <c r="L14" s="2">
        <v>15</v>
      </c>
      <c r="M14" s="2">
        <v>15</v>
      </c>
      <c r="N14" s="2">
        <v>10</v>
      </c>
      <c r="O14" s="2">
        <v>17</v>
      </c>
      <c r="P14" s="2">
        <v>15</v>
      </c>
      <c r="Q14" s="2">
        <v>12</v>
      </c>
      <c r="R14" s="2">
        <v>16</v>
      </c>
      <c r="S14" s="2">
        <v>15</v>
      </c>
    </row>
    <row r="15" spans="1:19" x14ac:dyDescent="0.25">
      <c r="A15" s="1">
        <f t="shared" si="0"/>
        <v>11</v>
      </c>
      <c r="B15" s="1" t="s">
        <v>80</v>
      </c>
      <c r="C15" s="2">
        <v>6</v>
      </c>
      <c r="D15" s="2">
        <v>5</v>
      </c>
      <c r="E15" s="2">
        <v>14</v>
      </c>
      <c r="F15" s="2">
        <v>6</v>
      </c>
      <c r="G15" s="2">
        <v>10</v>
      </c>
      <c r="H15" s="2">
        <v>6</v>
      </c>
      <c r="I15" s="2">
        <v>5.5</v>
      </c>
      <c r="J15" s="2">
        <v>2</v>
      </c>
      <c r="K15" s="83">
        <v>10</v>
      </c>
      <c r="L15" s="2">
        <v>12</v>
      </c>
      <c r="M15" s="2">
        <v>14</v>
      </c>
      <c r="N15" s="2">
        <v>10</v>
      </c>
      <c r="O15" s="2">
        <v>16</v>
      </c>
      <c r="P15" s="2">
        <v>15</v>
      </c>
      <c r="Q15" s="2">
        <v>12</v>
      </c>
      <c r="R15" s="2">
        <v>16</v>
      </c>
      <c r="S15" s="2">
        <v>15</v>
      </c>
    </row>
    <row r="16" spans="1:19" x14ac:dyDescent="0.25">
      <c r="A16" s="1">
        <f t="shared" si="0"/>
        <v>12</v>
      </c>
      <c r="B16" s="36" t="s">
        <v>87</v>
      </c>
      <c r="C16" s="2">
        <v>7</v>
      </c>
      <c r="D16" s="2">
        <v>4</v>
      </c>
      <c r="E16" s="2">
        <v>11</v>
      </c>
      <c r="F16" s="2">
        <v>7</v>
      </c>
      <c r="G16" s="2">
        <v>8</v>
      </c>
      <c r="H16" s="2">
        <v>7</v>
      </c>
      <c r="I16" s="2">
        <v>5</v>
      </c>
      <c r="J16" s="2">
        <v>3.5</v>
      </c>
      <c r="K16" s="2">
        <v>10.5</v>
      </c>
      <c r="L16" s="2">
        <v>17</v>
      </c>
      <c r="M16" s="2">
        <v>8</v>
      </c>
      <c r="N16" s="2">
        <v>11</v>
      </c>
      <c r="O16" s="2">
        <v>16</v>
      </c>
      <c r="P16" s="2">
        <v>15</v>
      </c>
      <c r="Q16" s="2">
        <v>10</v>
      </c>
      <c r="R16" s="2">
        <v>16</v>
      </c>
      <c r="S16" s="2">
        <v>15</v>
      </c>
    </row>
    <row r="17" spans="1:21" x14ac:dyDescent="0.25">
      <c r="A17" s="1">
        <f t="shared" si="0"/>
        <v>13</v>
      </c>
      <c r="B17" s="1" t="s">
        <v>81</v>
      </c>
      <c r="C17" s="2">
        <v>5</v>
      </c>
      <c r="D17" s="2">
        <v>5</v>
      </c>
      <c r="E17" s="2">
        <v>10</v>
      </c>
      <c r="F17" s="2">
        <v>6</v>
      </c>
      <c r="G17" s="2">
        <v>8</v>
      </c>
      <c r="H17" s="2">
        <v>6</v>
      </c>
      <c r="I17" s="2">
        <v>5</v>
      </c>
      <c r="J17" s="2">
        <v>8.5</v>
      </c>
      <c r="K17" s="2">
        <v>8.5</v>
      </c>
      <c r="L17" s="2">
        <v>14</v>
      </c>
      <c r="M17" s="2">
        <v>8</v>
      </c>
      <c r="N17" s="2">
        <v>10</v>
      </c>
      <c r="O17" s="2">
        <v>17</v>
      </c>
      <c r="P17" s="2">
        <v>15</v>
      </c>
      <c r="Q17" s="2">
        <v>14</v>
      </c>
      <c r="R17" s="2">
        <v>16</v>
      </c>
      <c r="S17" s="2">
        <v>15</v>
      </c>
    </row>
    <row r="18" spans="1:21" x14ac:dyDescent="0.25">
      <c r="A18" s="1">
        <f t="shared" si="0"/>
        <v>14</v>
      </c>
      <c r="B18" s="1" t="s">
        <v>82</v>
      </c>
      <c r="C18" s="2">
        <v>7</v>
      </c>
      <c r="D18" s="2">
        <v>7</v>
      </c>
      <c r="E18" s="2">
        <v>14</v>
      </c>
      <c r="F18" s="2">
        <v>6</v>
      </c>
      <c r="G18" s="2">
        <v>11</v>
      </c>
      <c r="H18" s="2">
        <v>9</v>
      </c>
      <c r="I18" s="2">
        <v>4.5</v>
      </c>
      <c r="J18" s="2">
        <v>4</v>
      </c>
      <c r="K18" s="2">
        <v>11.5</v>
      </c>
      <c r="L18" s="2">
        <v>15</v>
      </c>
      <c r="M18" s="2">
        <v>13</v>
      </c>
      <c r="N18" s="2">
        <v>11</v>
      </c>
      <c r="O18" s="2">
        <v>15</v>
      </c>
      <c r="P18" s="2">
        <v>15</v>
      </c>
      <c r="Q18" s="2">
        <v>14</v>
      </c>
      <c r="R18" s="2">
        <v>16</v>
      </c>
      <c r="S18" s="2">
        <v>15</v>
      </c>
    </row>
    <row r="19" spans="1:21" x14ac:dyDescent="0.25">
      <c r="A19" s="1">
        <f t="shared" si="0"/>
        <v>15</v>
      </c>
      <c r="B19" s="1" t="s">
        <v>83</v>
      </c>
      <c r="C19" s="2">
        <v>7</v>
      </c>
      <c r="D19" s="2">
        <v>6</v>
      </c>
      <c r="E19" s="2">
        <v>3</v>
      </c>
      <c r="F19" s="2">
        <v>6</v>
      </c>
      <c r="G19" s="2">
        <v>5</v>
      </c>
      <c r="H19" s="2">
        <v>5</v>
      </c>
      <c r="I19" s="2">
        <v>6</v>
      </c>
      <c r="J19" s="2">
        <v>1.5</v>
      </c>
      <c r="K19" s="2">
        <v>10</v>
      </c>
      <c r="L19" s="2">
        <v>8</v>
      </c>
      <c r="M19" s="2">
        <v>10</v>
      </c>
      <c r="N19" s="2">
        <v>8</v>
      </c>
      <c r="O19" s="2">
        <v>15</v>
      </c>
      <c r="P19" s="2">
        <v>15</v>
      </c>
      <c r="Q19" s="2">
        <v>10</v>
      </c>
      <c r="R19" s="2">
        <v>16</v>
      </c>
      <c r="S19" s="2">
        <v>15</v>
      </c>
    </row>
    <row r="20" spans="1:21" x14ac:dyDescent="0.25">
      <c r="A20" s="1">
        <f t="shared" si="0"/>
        <v>16</v>
      </c>
      <c r="B20" s="37" t="s">
        <v>88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21" x14ac:dyDescent="0.25">
      <c r="A21" s="1">
        <f t="shared" si="0"/>
        <v>17</v>
      </c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21" x14ac:dyDescent="0.25">
      <c r="A22" s="1">
        <f t="shared" si="0"/>
        <v>18</v>
      </c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21" x14ac:dyDescent="0.25">
      <c r="A23" s="1">
        <f t="shared" si="0"/>
        <v>19</v>
      </c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21" x14ac:dyDescent="0.25">
      <c r="A24" s="1">
        <f t="shared" si="0"/>
        <v>20</v>
      </c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21" x14ac:dyDescent="0.25">
      <c r="A25" s="1">
        <f t="shared" si="0"/>
        <v>21</v>
      </c>
      <c r="B25" s="1" t="e">
        <f>#REF!</f>
        <v>#REF!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21" x14ac:dyDescent="0.25">
      <c r="A26" s="1">
        <f t="shared" si="0"/>
        <v>22</v>
      </c>
      <c r="B26" s="1" t="e">
        <f>#REF!</f>
        <v>#REF!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21" x14ac:dyDescent="0.25">
      <c r="A27" s="1">
        <f t="shared" si="0"/>
        <v>23</v>
      </c>
      <c r="B27" s="1" t="e">
        <f>#REF!</f>
        <v>#REF!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21" x14ac:dyDescent="0.25">
      <c r="A28" s="1">
        <f t="shared" si="0"/>
        <v>24</v>
      </c>
      <c r="B28" s="1" t="e">
        <f>#REF!</f>
        <v>#REF!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21" x14ac:dyDescent="0.25">
      <c r="A29" s="1">
        <f t="shared" si="0"/>
        <v>25</v>
      </c>
      <c r="B29" s="1" t="e">
        <f>#REF!</f>
        <v>#REF!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21" x14ac:dyDescent="0.25">
      <c r="C30" s="3">
        <f>AVERAGE(C5:C29)</f>
        <v>6.666666666666667</v>
      </c>
      <c r="D30" s="3">
        <f t="shared" ref="D30:S30" si="1">AVERAGE(D5:D29)</f>
        <v>5.333333333333333</v>
      </c>
      <c r="E30" s="3">
        <f t="shared" si="1"/>
        <v>10.125</v>
      </c>
      <c r="F30" s="3">
        <f t="shared" si="1"/>
        <v>6.5</v>
      </c>
      <c r="G30" s="3">
        <f t="shared" si="1"/>
        <v>8.3333333333333339</v>
      </c>
      <c r="H30" s="3">
        <f t="shared" si="1"/>
        <v>6.75</v>
      </c>
      <c r="I30" s="3">
        <f t="shared" si="1"/>
        <v>4.5</v>
      </c>
      <c r="J30" s="3">
        <f t="shared" si="1"/>
        <v>3.5416666666666665</v>
      </c>
      <c r="K30" s="3">
        <f t="shared" si="1"/>
        <v>9.75</v>
      </c>
      <c r="L30" s="3">
        <f t="shared" si="1"/>
        <v>12.75</v>
      </c>
      <c r="M30" s="3">
        <f t="shared" si="1"/>
        <v>10.166666666666666</v>
      </c>
      <c r="N30" s="3">
        <f t="shared" si="1"/>
        <v>9</v>
      </c>
      <c r="O30" s="3">
        <f t="shared" si="1"/>
        <v>15.75</v>
      </c>
      <c r="P30" s="3">
        <f t="shared" si="1"/>
        <v>15</v>
      </c>
      <c r="Q30" s="3">
        <f t="shared" si="1"/>
        <v>11.416666666666666</v>
      </c>
      <c r="R30" s="3">
        <f t="shared" si="1"/>
        <v>16</v>
      </c>
      <c r="S30" s="3">
        <f t="shared" si="1"/>
        <v>15</v>
      </c>
    </row>
    <row r="31" spans="1:21" x14ac:dyDescent="0.25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1" x14ac:dyDescent="0.25">
      <c r="A32" s="4" t="s">
        <v>2</v>
      </c>
      <c r="B32" s="5" t="s">
        <v>0</v>
      </c>
      <c r="C32" s="5" t="s">
        <v>1</v>
      </c>
      <c r="D32" s="5" t="s">
        <v>15</v>
      </c>
      <c r="E32" s="5" t="s">
        <v>16</v>
      </c>
      <c r="F32" s="5" t="s">
        <v>9</v>
      </c>
      <c r="G32" s="5" t="s">
        <v>20</v>
      </c>
      <c r="H32" s="5" t="s">
        <v>10</v>
      </c>
      <c r="I32" s="5" t="s">
        <v>11</v>
      </c>
      <c r="J32" s="5" t="s">
        <v>19</v>
      </c>
      <c r="K32" s="5" t="s">
        <v>3</v>
      </c>
      <c r="L32" s="5" t="s">
        <v>4</v>
      </c>
      <c r="M32" s="5" t="s">
        <v>12</v>
      </c>
      <c r="N32" s="5" t="s">
        <v>13</v>
      </c>
      <c r="O32" s="5" t="s">
        <v>5</v>
      </c>
      <c r="P32" s="5" t="s">
        <v>6</v>
      </c>
      <c r="Q32" s="5" t="s">
        <v>7</v>
      </c>
      <c r="R32" s="5" t="s">
        <v>8</v>
      </c>
      <c r="S32" s="5" t="s">
        <v>14</v>
      </c>
      <c r="T32" s="6" t="s">
        <v>17</v>
      </c>
      <c r="U32" s="6" t="s">
        <v>18</v>
      </c>
    </row>
    <row r="33" spans="1:21" x14ac:dyDescent="0.25">
      <c r="A33" s="1">
        <v>1</v>
      </c>
      <c r="B33" s="1" t="str">
        <f t="shared" ref="B33:B57" si="2">B5</f>
        <v>APOULIE AYAMGMA Nesly Flavie</v>
      </c>
      <c r="C33" s="2">
        <f t="shared" ref="C33:C57" si="3">C5*3</f>
        <v>15</v>
      </c>
      <c r="D33" s="2">
        <f t="shared" ref="D33:D57" si="4">D5*1</f>
        <v>7</v>
      </c>
      <c r="E33" s="2">
        <f t="shared" ref="E33:E57" si="5">E5*2</f>
        <v>18</v>
      </c>
      <c r="F33" s="2">
        <f>F5*1</f>
        <v>6</v>
      </c>
      <c r="G33" s="2">
        <f t="shared" ref="G33:H48" si="6">G5*2</f>
        <v>10</v>
      </c>
      <c r="H33" s="2">
        <f t="shared" si="6"/>
        <v>8</v>
      </c>
      <c r="I33" s="2">
        <f t="shared" ref="I33:I57" si="7">I5*4</f>
        <v>18</v>
      </c>
      <c r="J33" s="2">
        <f t="shared" ref="J33:K48" si="8">J5*2</f>
        <v>10</v>
      </c>
      <c r="K33" s="2">
        <f t="shared" si="8"/>
        <v>19</v>
      </c>
      <c r="L33" s="2">
        <f t="shared" ref="L33:N51" si="9">L5*2</f>
        <v>23</v>
      </c>
      <c r="M33" s="2">
        <f t="shared" si="9"/>
        <v>17</v>
      </c>
      <c r="N33" s="2">
        <f t="shared" si="9"/>
        <v>16</v>
      </c>
      <c r="O33" s="2">
        <f t="shared" ref="O33:O57" si="10">O5*1</f>
        <v>13</v>
      </c>
      <c r="P33" s="2">
        <f t="shared" ref="P33:P57" si="11">P5*2</f>
        <v>30</v>
      </c>
      <c r="Q33" s="2">
        <f t="shared" ref="Q33:S48" si="12">Q5*1</f>
        <v>12</v>
      </c>
      <c r="R33" s="2">
        <f t="shared" si="12"/>
        <v>16</v>
      </c>
      <c r="S33" s="2">
        <f t="shared" si="12"/>
        <v>15</v>
      </c>
      <c r="T33" s="7">
        <f>SUM(C33:S33)</f>
        <v>253</v>
      </c>
      <c r="U33" s="2">
        <f t="shared" ref="U33:U49" si="13">T33/31</f>
        <v>8.1612903225806459</v>
      </c>
    </row>
    <row r="34" spans="1:21" x14ac:dyDescent="0.25">
      <c r="A34" s="1">
        <f>A33+1</f>
        <v>2</v>
      </c>
      <c r="B34" s="1" t="str">
        <f t="shared" si="2"/>
        <v>ASSENA Sandra Joana</v>
      </c>
      <c r="C34" s="2">
        <f t="shared" si="3"/>
        <v>0</v>
      </c>
      <c r="D34" s="2">
        <f t="shared" si="4"/>
        <v>0</v>
      </c>
      <c r="E34" s="2">
        <f t="shared" si="5"/>
        <v>0</v>
      </c>
      <c r="F34" s="2">
        <f>F6*1</f>
        <v>0</v>
      </c>
      <c r="G34" s="2">
        <f t="shared" si="6"/>
        <v>0</v>
      </c>
      <c r="H34" s="2">
        <f t="shared" si="6"/>
        <v>0</v>
      </c>
      <c r="I34" s="2">
        <f t="shared" si="7"/>
        <v>0</v>
      </c>
      <c r="J34" s="2">
        <f t="shared" si="8"/>
        <v>0</v>
      </c>
      <c r="K34" s="2">
        <f t="shared" si="8"/>
        <v>0</v>
      </c>
      <c r="L34" s="2">
        <f t="shared" si="9"/>
        <v>0</v>
      </c>
      <c r="M34" s="2">
        <f t="shared" si="9"/>
        <v>0</v>
      </c>
      <c r="N34" s="2">
        <f t="shared" si="9"/>
        <v>0</v>
      </c>
      <c r="O34" s="2">
        <f t="shared" si="10"/>
        <v>0</v>
      </c>
      <c r="P34" s="2">
        <f t="shared" si="11"/>
        <v>0</v>
      </c>
      <c r="Q34" s="2">
        <f t="shared" si="12"/>
        <v>0</v>
      </c>
      <c r="R34" s="2">
        <f t="shared" si="12"/>
        <v>0</v>
      </c>
      <c r="S34" s="2">
        <f t="shared" si="12"/>
        <v>0</v>
      </c>
      <c r="T34" s="7">
        <f t="shared" ref="T34:T57" si="14">SUM(C34:S34)</f>
        <v>0</v>
      </c>
      <c r="U34" s="2">
        <f t="shared" si="13"/>
        <v>0</v>
      </c>
    </row>
    <row r="35" spans="1:21" x14ac:dyDescent="0.25">
      <c r="A35" s="1">
        <f t="shared" ref="A35:A57" si="15">A34+1</f>
        <v>3</v>
      </c>
      <c r="B35" s="1" t="str">
        <f t="shared" si="2"/>
        <v>BISSO MOTO Noah Nelly Angelo</v>
      </c>
      <c r="C35" s="2">
        <f t="shared" si="3"/>
        <v>27</v>
      </c>
      <c r="D35" s="2">
        <f t="shared" si="4"/>
        <v>2</v>
      </c>
      <c r="E35" s="2">
        <f t="shared" si="5"/>
        <v>22</v>
      </c>
      <c r="F35" s="2">
        <f t="shared" ref="F35:F57" si="16">F7*1</f>
        <v>6</v>
      </c>
      <c r="G35" s="2">
        <f t="shared" si="6"/>
        <v>24</v>
      </c>
      <c r="H35" s="2">
        <f t="shared" si="6"/>
        <v>12</v>
      </c>
      <c r="I35" s="2">
        <f t="shared" si="7"/>
        <v>12</v>
      </c>
      <c r="J35" s="2">
        <f t="shared" si="8"/>
        <v>7</v>
      </c>
      <c r="K35" s="2">
        <f t="shared" si="8"/>
        <v>21</v>
      </c>
      <c r="L35" s="2">
        <f t="shared" si="9"/>
        <v>24</v>
      </c>
      <c r="M35" s="2">
        <f t="shared" si="9"/>
        <v>14</v>
      </c>
      <c r="N35" s="2">
        <f t="shared" si="9"/>
        <v>16</v>
      </c>
      <c r="O35" s="2">
        <f t="shared" si="10"/>
        <v>15</v>
      </c>
      <c r="P35" s="2">
        <f t="shared" si="11"/>
        <v>30</v>
      </c>
      <c r="Q35" s="2">
        <f t="shared" si="12"/>
        <v>14</v>
      </c>
      <c r="R35" s="2">
        <f t="shared" si="12"/>
        <v>16</v>
      </c>
      <c r="S35" s="2">
        <f t="shared" si="12"/>
        <v>15</v>
      </c>
      <c r="T35" s="7">
        <f t="shared" si="14"/>
        <v>277</v>
      </c>
      <c r="U35" s="2">
        <f t="shared" si="13"/>
        <v>8.935483870967742</v>
      </c>
    </row>
    <row r="36" spans="1:21" x14ac:dyDescent="0.25">
      <c r="A36" s="1">
        <f t="shared" si="15"/>
        <v>4</v>
      </c>
      <c r="B36" s="1" t="str">
        <f t="shared" si="2"/>
        <v>LOMA INEMB Lazare Dimitri</v>
      </c>
      <c r="C36" s="2">
        <f t="shared" si="3"/>
        <v>18</v>
      </c>
      <c r="D36" s="2">
        <f t="shared" si="4"/>
        <v>7</v>
      </c>
      <c r="E36" s="2">
        <f t="shared" si="5"/>
        <v>22</v>
      </c>
      <c r="F36" s="2">
        <f t="shared" si="16"/>
        <v>6</v>
      </c>
      <c r="G36" s="2">
        <f t="shared" si="6"/>
        <v>14</v>
      </c>
      <c r="H36" s="2">
        <f t="shared" si="6"/>
        <v>12</v>
      </c>
      <c r="I36" s="2">
        <f t="shared" si="7"/>
        <v>16</v>
      </c>
      <c r="J36" s="2">
        <f t="shared" si="8"/>
        <v>3</v>
      </c>
      <c r="K36" s="2">
        <f t="shared" si="8"/>
        <v>18</v>
      </c>
      <c r="L36" s="2">
        <f t="shared" si="9"/>
        <v>20</v>
      </c>
      <c r="M36" s="2">
        <f t="shared" si="9"/>
        <v>24</v>
      </c>
      <c r="N36" s="2">
        <f t="shared" si="9"/>
        <v>14</v>
      </c>
      <c r="O36" s="2">
        <f t="shared" si="10"/>
        <v>17</v>
      </c>
      <c r="P36" s="2">
        <f t="shared" si="11"/>
        <v>30</v>
      </c>
      <c r="Q36" s="2">
        <f t="shared" si="12"/>
        <v>7</v>
      </c>
      <c r="R36" s="2">
        <f t="shared" si="12"/>
        <v>16</v>
      </c>
      <c r="S36" s="2">
        <f t="shared" si="12"/>
        <v>15</v>
      </c>
      <c r="T36" s="7">
        <f t="shared" si="14"/>
        <v>259</v>
      </c>
      <c r="U36" s="2">
        <f t="shared" si="13"/>
        <v>8.3548387096774199</v>
      </c>
    </row>
    <row r="37" spans="1:21" x14ac:dyDescent="0.25">
      <c r="A37" s="1">
        <f t="shared" si="15"/>
        <v>5</v>
      </c>
      <c r="B37" s="1" t="str">
        <f t="shared" si="2"/>
        <v>MADJI Ange Noëlle</v>
      </c>
      <c r="C37" s="2">
        <f t="shared" si="3"/>
        <v>21</v>
      </c>
      <c r="D37" s="2">
        <f t="shared" si="4"/>
        <v>8</v>
      </c>
      <c r="E37" s="2">
        <f t="shared" si="5"/>
        <v>12</v>
      </c>
      <c r="F37" s="2">
        <f t="shared" si="16"/>
        <v>7</v>
      </c>
      <c r="G37" s="2">
        <f t="shared" si="6"/>
        <v>16</v>
      </c>
      <c r="H37" s="2">
        <f t="shared" si="6"/>
        <v>12</v>
      </c>
      <c r="I37" s="2">
        <f t="shared" si="7"/>
        <v>12</v>
      </c>
      <c r="J37" s="2">
        <f t="shared" si="8"/>
        <v>7</v>
      </c>
      <c r="K37" s="2">
        <f t="shared" si="8"/>
        <v>15</v>
      </c>
      <c r="L37" s="2">
        <f t="shared" si="9"/>
        <v>20</v>
      </c>
      <c r="M37" s="2">
        <f t="shared" si="9"/>
        <v>13</v>
      </c>
      <c r="N37" s="2">
        <f t="shared" si="9"/>
        <v>12</v>
      </c>
      <c r="O37" s="2">
        <f t="shared" si="10"/>
        <v>14</v>
      </c>
      <c r="P37" s="2">
        <f t="shared" si="11"/>
        <v>30</v>
      </c>
      <c r="Q37" s="2">
        <f t="shared" si="12"/>
        <v>8</v>
      </c>
      <c r="R37" s="2">
        <f t="shared" si="12"/>
        <v>16</v>
      </c>
      <c r="S37" s="2">
        <f t="shared" si="12"/>
        <v>15</v>
      </c>
      <c r="T37" s="7">
        <f t="shared" si="14"/>
        <v>238</v>
      </c>
      <c r="U37" s="2">
        <f t="shared" si="13"/>
        <v>7.67741935483871</v>
      </c>
    </row>
    <row r="38" spans="1:21" x14ac:dyDescent="0.25">
      <c r="A38" s="1">
        <f t="shared" si="15"/>
        <v>6</v>
      </c>
      <c r="B38" s="1" t="str">
        <f t="shared" si="2"/>
        <v>MAGWA NDJIKI Orline</v>
      </c>
      <c r="C38" s="2">
        <f t="shared" si="3"/>
        <v>27</v>
      </c>
      <c r="D38" s="2">
        <f t="shared" si="4"/>
        <v>6</v>
      </c>
      <c r="E38" s="2">
        <f t="shared" si="5"/>
        <v>26</v>
      </c>
      <c r="F38" s="2">
        <f t="shared" si="16"/>
        <v>6</v>
      </c>
      <c r="G38" s="2">
        <f t="shared" si="6"/>
        <v>18</v>
      </c>
      <c r="H38" s="2">
        <f t="shared" si="6"/>
        <v>18</v>
      </c>
      <c r="I38" s="2">
        <f t="shared" si="7"/>
        <v>16</v>
      </c>
      <c r="J38" s="2">
        <f t="shared" si="8"/>
        <v>7</v>
      </c>
      <c r="K38" s="2">
        <f t="shared" si="8"/>
        <v>27</v>
      </c>
      <c r="L38" s="2">
        <f t="shared" si="9"/>
        <v>26</v>
      </c>
      <c r="M38" s="2">
        <f t="shared" si="9"/>
        <v>20</v>
      </c>
      <c r="N38" s="2">
        <f t="shared" si="9"/>
        <v>22</v>
      </c>
      <c r="O38" s="2">
        <f t="shared" si="10"/>
        <v>17</v>
      </c>
      <c r="P38" s="2">
        <f t="shared" si="11"/>
        <v>30</v>
      </c>
      <c r="Q38" s="2">
        <f t="shared" si="12"/>
        <v>10</v>
      </c>
      <c r="R38" s="2">
        <f t="shared" si="12"/>
        <v>16</v>
      </c>
      <c r="S38" s="2">
        <f t="shared" si="12"/>
        <v>15</v>
      </c>
      <c r="T38" s="7">
        <f t="shared" si="14"/>
        <v>307</v>
      </c>
      <c r="U38" s="2">
        <f t="shared" si="13"/>
        <v>9.9032258064516121</v>
      </c>
    </row>
    <row r="39" spans="1:21" x14ac:dyDescent="0.25">
      <c r="A39" s="1">
        <f t="shared" si="15"/>
        <v>7</v>
      </c>
      <c r="B39" s="1" t="str">
        <f t="shared" si="2"/>
        <v>MBARGA ATANGANA Perline</v>
      </c>
      <c r="C39" s="2">
        <f t="shared" si="3"/>
        <v>0</v>
      </c>
      <c r="D39" s="2">
        <f t="shared" si="4"/>
        <v>0</v>
      </c>
      <c r="E39" s="2">
        <f t="shared" si="5"/>
        <v>0</v>
      </c>
      <c r="F39" s="2">
        <f t="shared" si="16"/>
        <v>0</v>
      </c>
      <c r="G39" s="2">
        <f t="shared" si="6"/>
        <v>0</v>
      </c>
      <c r="H39" s="2">
        <f t="shared" si="6"/>
        <v>0</v>
      </c>
      <c r="I39" s="2">
        <f t="shared" si="7"/>
        <v>0</v>
      </c>
      <c r="J39" s="2">
        <f t="shared" si="8"/>
        <v>0</v>
      </c>
      <c r="K39" s="2">
        <f t="shared" si="8"/>
        <v>0</v>
      </c>
      <c r="L39" s="2">
        <f t="shared" si="9"/>
        <v>0</v>
      </c>
      <c r="M39" s="2">
        <f t="shared" si="9"/>
        <v>0</v>
      </c>
      <c r="N39" s="2">
        <f t="shared" si="9"/>
        <v>0</v>
      </c>
      <c r="O39" s="2">
        <f t="shared" si="10"/>
        <v>0</v>
      </c>
      <c r="P39" s="2">
        <f t="shared" si="11"/>
        <v>0</v>
      </c>
      <c r="Q39" s="2">
        <f t="shared" si="12"/>
        <v>0</v>
      </c>
      <c r="R39" s="2">
        <f t="shared" si="12"/>
        <v>0</v>
      </c>
      <c r="S39" s="2">
        <f t="shared" si="12"/>
        <v>0</v>
      </c>
      <c r="T39" s="7">
        <f t="shared" si="14"/>
        <v>0</v>
      </c>
      <c r="U39" s="2">
        <f t="shared" si="13"/>
        <v>0</v>
      </c>
    </row>
    <row r="40" spans="1:21" x14ac:dyDescent="0.25">
      <c r="A40" s="1">
        <f t="shared" si="15"/>
        <v>8</v>
      </c>
      <c r="B40" s="1" t="str">
        <f t="shared" si="2"/>
        <v>MBARGA NNENGUE Marguerite</v>
      </c>
      <c r="C40" s="2">
        <f t="shared" si="3"/>
        <v>0</v>
      </c>
      <c r="D40" s="2">
        <f t="shared" si="4"/>
        <v>0</v>
      </c>
      <c r="E40" s="2">
        <f t="shared" si="5"/>
        <v>0</v>
      </c>
      <c r="F40" s="2">
        <f t="shared" si="16"/>
        <v>0</v>
      </c>
      <c r="G40" s="2">
        <f t="shared" si="6"/>
        <v>0</v>
      </c>
      <c r="H40" s="2">
        <f t="shared" si="6"/>
        <v>0</v>
      </c>
      <c r="I40" s="2">
        <f t="shared" si="7"/>
        <v>0</v>
      </c>
      <c r="J40" s="2">
        <f t="shared" si="8"/>
        <v>0</v>
      </c>
      <c r="K40" s="2">
        <f t="shared" si="8"/>
        <v>0</v>
      </c>
      <c r="L40" s="2">
        <f t="shared" si="9"/>
        <v>0</v>
      </c>
      <c r="M40" s="2">
        <f t="shared" si="9"/>
        <v>0</v>
      </c>
      <c r="N40" s="2">
        <f t="shared" si="9"/>
        <v>0</v>
      </c>
      <c r="O40" s="2">
        <f t="shared" si="10"/>
        <v>0</v>
      </c>
      <c r="P40" s="2">
        <f t="shared" si="11"/>
        <v>0</v>
      </c>
      <c r="Q40" s="2">
        <f t="shared" si="12"/>
        <v>0</v>
      </c>
      <c r="R40" s="2">
        <f t="shared" si="12"/>
        <v>0</v>
      </c>
      <c r="S40" s="2">
        <f t="shared" si="12"/>
        <v>0</v>
      </c>
      <c r="T40" s="7">
        <f t="shared" si="14"/>
        <v>0</v>
      </c>
      <c r="U40" s="2">
        <f t="shared" si="13"/>
        <v>0</v>
      </c>
    </row>
    <row r="41" spans="1:21" x14ac:dyDescent="0.25">
      <c r="A41" s="1">
        <f t="shared" si="15"/>
        <v>9</v>
      </c>
      <c r="B41" s="1" t="str">
        <f t="shared" si="2"/>
        <v>MEKOUL MVOMO Fredy</v>
      </c>
      <c r="C41" s="2">
        <f t="shared" si="3"/>
        <v>18</v>
      </c>
      <c r="D41" s="2">
        <f t="shared" si="4"/>
        <v>2</v>
      </c>
      <c r="E41" s="2">
        <f t="shared" si="5"/>
        <v>21</v>
      </c>
      <c r="F41" s="2">
        <f t="shared" si="16"/>
        <v>10</v>
      </c>
      <c r="G41" s="2">
        <f t="shared" si="6"/>
        <v>16</v>
      </c>
      <c r="H41" s="2">
        <f t="shared" si="6"/>
        <v>10</v>
      </c>
      <c r="I41" s="2">
        <f t="shared" si="7"/>
        <v>18</v>
      </c>
      <c r="J41" s="2">
        <f t="shared" si="8"/>
        <v>4</v>
      </c>
      <c r="K41" s="2">
        <f t="shared" si="8"/>
        <v>19</v>
      </c>
      <c r="L41" s="2">
        <f t="shared" si="9"/>
        <v>31</v>
      </c>
      <c r="M41" s="2">
        <f t="shared" si="9"/>
        <v>20</v>
      </c>
      <c r="N41" s="2">
        <f t="shared" si="9"/>
        <v>16</v>
      </c>
      <c r="O41" s="2">
        <f t="shared" si="10"/>
        <v>17</v>
      </c>
      <c r="P41" s="2">
        <f t="shared" si="11"/>
        <v>30</v>
      </c>
      <c r="Q41" s="2">
        <f t="shared" si="12"/>
        <v>14</v>
      </c>
      <c r="R41" s="2">
        <f t="shared" si="12"/>
        <v>16</v>
      </c>
      <c r="S41" s="2">
        <f t="shared" si="12"/>
        <v>15</v>
      </c>
      <c r="T41" s="7">
        <f t="shared" si="14"/>
        <v>277</v>
      </c>
      <c r="U41" s="2">
        <f t="shared" si="13"/>
        <v>8.935483870967742</v>
      </c>
    </row>
    <row r="42" spans="1:21" x14ac:dyDescent="0.25">
      <c r="A42" s="1">
        <f t="shared" si="15"/>
        <v>10</v>
      </c>
      <c r="B42" s="1" t="str">
        <f t="shared" si="2"/>
        <v>MEWOULA NDJENGUE Serena Sylvana</v>
      </c>
      <c r="C42" s="2">
        <f t="shared" si="3"/>
        <v>18</v>
      </c>
      <c r="D42" s="2">
        <f t="shared" si="4"/>
        <v>5</v>
      </c>
      <c r="E42" s="2">
        <f t="shared" si="5"/>
        <v>18</v>
      </c>
      <c r="F42" s="2">
        <f t="shared" si="16"/>
        <v>6</v>
      </c>
      <c r="G42" s="2">
        <f t="shared" si="6"/>
        <v>18</v>
      </c>
      <c r="H42" s="2">
        <f t="shared" si="6"/>
        <v>24</v>
      </c>
      <c r="I42" s="2">
        <f t="shared" si="7"/>
        <v>20</v>
      </c>
      <c r="J42" s="2">
        <f t="shared" si="8"/>
        <v>8</v>
      </c>
      <c r="K42" s="2">
        <f t="shared" si="8"/>
        <v>14</v>
      </c>
      <c r="L42" s="2">
        <f t="shared" si="9"/>
        <v>30</v>
      </c>
      <c r="M42" s="2">
        <f t="shared" si="9"/>
        <v>30</v>
      </c>
      <c r="N42" s="2">
        <f t="shared" si="9"/>
        <v>20</v>
      </c>
      <c r="O42" s="2">
        <f t="shared" si="10"/>
        <v>17</v>
      </c>
      <c r="P42" s="2">
        <f t="shared" si="11"/>
        <v>30</v>
      </c>
      <c r="Q42" s="2">
        <f t="shared" si="12"/>
        <v>12</v>
      </c>
      <c r="R42" s="2">
        <f t="shared" si="12"/>
        <v>16</v>
      </c>
      <c r="S42" s="2">
        <f t="shared" si="12"/>
        <v>15</v>
      </c>
      <c r="T42" s="7">
        <f t="shared" si="14"/>
        <v>301</v>
      </c>
      <c r="U42" s="2">
        <f t="shared" si="13"/>
        <v>9.7096774193548381</v>
      </c>
    </row>
    <row r="43" spans="1:21" x14ac:dyDescent="0.25">
      <c r="A43" s="1">
        <f t="shared" si="15"/>
        <v>11</v>
      </c>
      <c r="B43" s="1" t="str">
        <f t="shared" si="2"/>
        <v>MPENE MPENE Ciara</v>
      </c>
      <c r="C43" s="2">
        <f t="shared" si="3"/>
        <v>18</v>
      </c>
      <c r="D43" s="2">
        <f t="shared" si="4"/>
        <v>5</v>
      </c>
      <c r="E43" s="2">
        <f t="shared" si="5"/>
        <v>28</v>
      </c>
      <c r="F43" s="2">
        <f t="shared" si="16"/>
        <v>6</v>
      </c>
      <c r="G43" s="2">
        <f t="shared" si="6"/>
        <v>20</v>
      </c>
      <c r="H43" s="2">
        <f t="shared" si="6"/>
        <v>12</v>
      </c>
      <c r="I43" s="2">
        <f t="shared" si="7"/>
        <v>22</v>
      </c>
      <c r="J43" s="2">
        <f t="shared" si="8"/>
        <v>4</v>
      </c>
      <c r="K43" s="2">
        <f t="shared" si="8"/>
        <v>20</v>
      </c>
      <c r="L43" s="2">
        <f t="shared" si="9"/>
        <v>24</v>
      </c>
      <c r="M43" s="2">
        <f t="shared" si="9"/>
        <v>28</v>
      </c>
      <c r="N43" s="2">
        <f t="shared" si="9"/>
        <v>20</v>
      </c>
      <c r="O43" s="2">
        <f t="shared" si="10"/>
        <v>16</v>
      </c>
      <c r="P43" s="2">
        <f t="shared" si="11"/>
        <v>30</v>
      </c>
      <c r="Q43" s="2">
        <f t="shared" si="12"/>
        <v>12</v>
      </c>
      <c r="R43" s="2">
        <f t="shared" si="12"/>
        <v>16</v>
      </c>
      <c r="S43" s="2">
        <f t="shared" si="12"/>
        <v>15</v>
      </c>
      <c r="T43" s="7">
        <f t="shared" si="14"/>
        <v>296</v>
      </c>
      <c r="U43" s="2">
        <f t="shared" si="13"/>
        <v>9.5483870967741939</v>
      </c>
    </row>
    <row r="44" spans="1:21" x14ac:dyDescent="0.25">
      <c r="A44" s="1">
        <f t="shared" si="15"/>
        <v>12</v>
      </c>
      <c r="B44" s="1" t="str">
        <f t="shared" si="2"/>
        <v>NGECHEJI FAUHOUE Davina Stella</v>
      </c>
      <c r="C44" s="2">
        <f t="shared" si="3"/>
        <v>21</v>
      </c>
      <c r="D44" s="2">
        <f t="shared" si="4"/>
        <v>4</v>
      </c>
      <c r="E44" s="2">
        <f t="shared" si="5"/>
        <v>22</v>
      </c>
      <c r="F44" s="2">
        <f t="shared" si="16"/>
        <v>7</v>
      </c>
      <c r="G44" s="2">
        <f t="shared" si="6"/>
        <v>16</v>
      </c>
      <c r="H44" s="2">
        <f t="shared" si="6"/>
        <v>14</v>
      </c>
      <c r="I44" s="2">
        <f t="shared" si="7"/>
        <v>20</v>
      </c>
      <c r="J44" s="2">
        <f t="shared" si="8"/>
        <v>7</v>
      </c>
      <c r="K44" s="2">
        <f>K16*2</f>
        <v>21</v>
      </c>
      <c r="L44" s="2">
        <f t="shared" si="9"/>
        <v>34</v>
      </c>
      <c r="M44" s="2">
        <f t="shared" si="9"/>
        <v>16</v>
      </c>
      <c r="N44" s="2">
        <f t="shared" si="9"/>
        <v>22</v>
      </c>
      <c r="O44" s="2">
        <f t="shared" si="10"/>
        <v>16</v>
      </c>
      <c r="P44" s="2">
        <f t="shared" si="11"/>
        <v>30</v>
      </c>
      <c r="Q44" s="2">
        <f t="shared" si="12"/>
        <v>10</v>
      </c>
      <c r="R44" s="2">
        <f t="shared" si="12"/>
        <v>16</v>
      </c>
      <c r="S44" s="2">
        <f t="shared" si="12"/>
        <v>15</v>
      </c>
      <c r="T44" s="7">
        <f t="shared" si="14"/>
        <v>291</v>
      </c>
      <c r="U44" s="2">
        <f t="shared" si="13"/>
        <v>9.387096774193548</v>
      </c>
    </row>
    <row r="45" spans="1:21" x14ac:dyDescent="0.25">
      <c r="A45" s="1">
        <f t="shared" si="15"/>
        <v>13</v>
      </c>
      <c r="B45" s="1" t="str">
        <f t="shared" si="2"/>
        <v>NKE TSALA Appolonie Andreina</v>
      </c>
      <c r="C45" s="2">
        <f t="shared" si="3"/>
        <v>15</v>
      </c>
      <c r="D45" s="2">
        <f t="shared" si="4"/>
        <v>5</v>
      </c>
      <c r="E45" s="2">
        <f t="shared" si="5"/>
        <v>20</v>
      </c>
      <c r="F45" s="2">
        <f t="shared" si="16"/>
        <v>6</v>
      </c>
      <c r="G45" s="2">
        <f t="shared" si="6"/>
        <v>16</v>
      </c>
      <c r="H45" s="2">
        <f t="shared" si="6"/>
        <v>12</v>
      </c>
      <c r="I45" s="2">
        <f t="shared" si="7"/>
        <v>20</v>
      </c>
      <c r="J45" s="2">
        <f t="shared" si="8"/>
        <v>17</v>
      </c>
      <c r="K45" s="2">
        <f t="shared" si="8"/>
        <v>17</v>
      </c>
      <c r="L45" s="2">
        <f t="shared" si="9"/>
        <v>28</v>
      </c>
      <c r="M45" s="2">
        <f t="shared" si="9"/>
        <v>16</v>
      </c>
      <c r="N45" s="2">
        <f t="shared" si="9"/>
        <v>20</v>
      </c>
      <c r="O45" s="2">
        <f t="shared" si="10"/>
        <v>17</v>
      </c>
      <c r="P45" s="2">
        <f t="shared" si="11"/>
        <v>30</v>
      </c>
      <c r="Q45" s="2">
        <f t="shared" si="12"/>
        <v>14</v>
      </c>
      <c r="R45" s="2">
        <f t="shared" si="12"/>
        <v>16</v>
      </c>
      <c r="S45" s="2">
        <f t="shared" si="12"/>
        <v>15</v>
      </c>
      <c r="T45" s="7">
        <f t="shared" ref="T45" si="17">SUM(C45:S45)</f>
        <v>284</v>
      </c>
      <c r="U45" s="2">
        <f t="shared" si="13"/>
        <v>9.1612903225806459</v>
      </c>
    </row>
    <row r="46" spans="1:21" x14ac:dyDescent="0.25">
      <c r="A46" s="1">
        <f t="shared" si="15"/>
        <v>14</v>
      </c>
      <c r="B46" s="1" t="str">
        <f t="shared" si="2"/>
        <v>NKENGUE Firming</v>
      </c>
      <c r="C46" s="2">
        <f t="shared" si="3"/>
        <v>21</v>
      </c>
      <c r="D46" s="2">
        <f t="shared" si="4"/>
        <v>7</v>
      </c>
      <c r="E46" s="2">
        <f t="shared" si="5"/>
        <v>28</v>
      </c>
      <c r="F46" s="2">
        <f t="shared" si="16"/>
        <v>6</v>
      </c>
      <c r="G46" s="2">
        <f t="shared" si="6"/>
        <v>22</v>
      </c>
      <c r="H46" s="2">
        <f t="shared" si="6"/>
        <v>18</v>
      </c>
      <c r="I46" s="2">
        <f t="shared" si="7"/>
        <v>18</v>
      </c>
      <c r="J46" s="2">
        <f t="shared" si="8"/>
        <v>8</v>
      </c>
      <c r="K46" s="2">
        <f t="shared" si="8"/>
        <v>23</v>
      </c>
      <c r="L46" s="2">
        <f t="shared" si="9"/>
        <v>30</v>
      </c>
      <c r="M46" s="2">
        <f t="shared" si="9"/>
        <v>26</v>
      </c>
      <c r="N46" s="2">
        <f t="shared" si="9"/>
        <v>22</v>
      </c>
      <c r="O46" s="2">
        <f t="shared" si="10"/>
        <v>15</v>
      </c>
      <c r="P46" s="2">
        <f t="shared" si="11"/>
        <v>30</v>
      </c>
      <c r="Q46" s="2">
        <f t="shared" si="12"/>
        <v>14</v>
      </c>
      <c r="R46" s="2">
        <f t="shared" si="12"/>
        <v>16</v>
      </c>
      <c r="S46" s="2">
        <f t="shared" si="12"/>
        <v>15</v>
      </c>
      <c r="T46" s="7">
        <f t="shared" si="14"/>
        <v>319</v>
      </c>
      <c r="U46" s="2">
        <f t="shared" si="13"/>
        <v>10.290322580645162</v>
      </c>
    </row>
    <row r="47" spans="1:21" x14ac:dyDescent="0.25">
      <c r="A47" s="1">
        <f t="shared" si="15"/>
        <v>15</v>
      </c>
      <c r="B47" s="1" t="str">
        <f t="shared" si="2"/>
        <v>POUGNONG Giberin</v>
      </c>
      <c r="C47" s="2">
        <f t="shared" si="3"/>
        <v>21</v>
      </c>
      <c r="D47" s="2">
        <f t="shared" si="4"/>
        <v>6</v>
      </c>
      <c r="E47" s="2">
        <f t="shared" si="5"/>
        <v>6</v>
      </c>
      <c r="F47" s="2">
        <f t="shared" si="16"/>
        <v>6</v>
      </c>
      <c r="G47" s="2">
        <f t="shared" si="6"/>
        <v>10</v>
      </c>
      <c r="H47" s="2">
        <f t="shared" si="6"/>
        <v>10</v>
      </c>
      <c r="I47" s="2">
        <f t="shared" si="7"/>
        <v>24</v>
      </c>
      <c r="J47" s="2">
        <f t="shared" si="8"/>
        <v>3</v>
      </c>
      <c r="K47" s="2">
        <f t="shared" si="8"/>
        <v>20</v>
      </c>
      <c r="L47" s="2">
        <f t="shared" si="9"/>
        <v>16</v>
      </c>
      <c r="M47" s="2">
        <f t="shared" si="9"/>
        <v>20</v>
      </c>
      <c r="N47" s="2">
        <f t="shared" si="9"/>
        <v>16</v>
      </c>
      <c r="O47" s="2">
        <f t="shared" si="10"/>
        <v>15</v>
      </c>
      <c r="P47" s="2">
        <f t="shared" si="11"/>
        <v>30</v>
      </c>
      <c r="Q47" s="2">
        <f t="shared" si="12"/>
        <v>10</v>
      </c>
      <c r="R47" s="2">
        <f t="shared" si="12"/>
        <v>16</v>
      </c>
      <c r="S47" s="2">
        <f t="shared" si="12"/>
        <v>15</v>
      </c>
      <c r="T47" s="7">
        <f t="shared" si="14"/>
        <v>244</v>
      </c>
      <c r="U47" s="2">
        <f t="shared" si="13"/>
        <v>7.870967741935484</v>
      </c>
    </row>
    <row r="48" spans="1:21" x14ac:dyDescent="0.25">
      <c r="A48" s="1">
        <f t="shared" si="15"/>
        <v>16</v>
      </c>
      <c r="B48" s="1" t="str">
        <f t="shared" si="2"/>
        <v>SAMBOKOLONG AYE Narcisse Stève</v>
      </c>
      <c r="C48" s="2">
        <f t="shared" si="3"/>
        <v>0</v>
      </c>
      <c r="D48" s="2">
        <f t="shared" si="4"/>
        <v>0</v>
      </c>
      <c r="E48" s="2">
        <f t="shared" si="5"/>
        <v>0</v>
      </c>
      <c r="F48" s="2">
        <f t="shared" si="16"/>
        <v>0</v>
      </c>
      <c r="G48" s="2">
        <f t="shared" si="6"/>
        <v>0</v>
      </c>
      <c r="H48" s="2">
        <f t="shared" si="6"/>
        <v>0</v>
      </c>
      <c r="I48" s="2">
        <f t="shared" si="7"/>
        <v>0</v>
      </c>
      <c r="J48" s="2">
        <f t="shared" si="8"/>
        <v>0</v>
      </c>
      <c r="K48" s="2">
        <f t="shared" si="8"/>
        <v>0</v>
      </c>
      <c r="L48" s="2">
        <f t="shared" si="9"/>
        <v>0</v>
      </c>
      <c r="M48" s="2">
        <f t="shared" si="9"/>
        <v>0</v>
      </c>
      <c r="N48" s="2">
        <f t="shared" si="9"/>
        <v>0</v>
      </c>
      <c r="O48" s="2">
        <f t="shared" si="10"/>
        <v>0</v>
      </c>
      <c r="P48" s="2">
        <f t="shared" si="11"/>
        <v>0</v>
      </c>
      <c r="Q48" s="2">
        <f t="shared" si="12"/>
        <v>0</v>
      </c>
      <c r="R48" s="2">
        <f t="shared" si="12"/>
        <v>0</v>
      </c>
      <c r="S48" s="2">
        <f t="shared" si="12"/>
        <v>0</v>
      </c>
      <c r="T48" s="7">
        <f t="shared" si="14"/>
        <v>0</v>
      </c>
      <c r="U48" s="2">
        <f t="shared" si="13"/>
        <v>0</v>
      </c>
    </row>
    <row r="49" spans="1:21" x14ac:dyDescent="0.25">
      <c r="A49" s="1">
        <f t="shared" si="15"/>
        <v>17</v>
      </c>
      <c r="B49" s="1">
        <f t="shared" si="2"/>
        <v>0</v>
      </c>
      <c r="C49" s="2">
        <f t="shared" si="3"/>
        <v>0</v>
      </c>
      <c r="D49" s="2">
        <f t="shared" si="4"/>
        <v>0</v>
      </c>
      <c r="E49" s="2">
        <f t="shared" si="5"/>
        <v>0</v>
      </c>
      <c r="F49" s="2">
        <f t="shared" si="16"/>
        <v>0</v>
      </c>
      <c r="G49" s="2">
        <f t="shared" ref="G49:H57" si="18">G21*2</f>
        <v>0</v>
      </c>
      <c r="H49" s="2">
        <f t="shared" si="18"/>
        <v>0</v>
      </c>
      <c r="I49" s="2">
        <f t="shared" si="7"/>
        <v>0</v>
      </c>
      <c r="J49" s="2">
        <f t="shared" ref="J49:K57" si="19">J21*2</f>
        <v>0</v>
      </c>
      <c r="K49" s="2">
        <f t="shared" si="19"/>
        <v>0</v>
      </c>
      <c r="L49" s="2">
        <f t="shared" si="9"/>
        <v>0</v>
      </c>
      <c r="M49" s="2">
        <f t="shared" si="9"/>
        <v>0</v>
      </c>
      <c r="N49" s="2">
        <f t="shared" si="9"/>
        <v>0</v>
      </c>
      <c r="O49" s="2">
        <f t="shared" si="10"/>
        <v>0</v>
      </c>
      <c r="P49" s="2">
        <f t="shared" si="11"/>
        <v>0</v>
      </c>
      <c r="Q49" s="2">
        <f t="shared" ref="Q49:S57" si="20">Q21*1</f>
        <v>0</v>
      </c>
      <c r="R49" s="2">
        <f t="shared" si="20"/>
        <v>0</v>
      </c>
      <c r="S49" s="2">
        <f t="shared" si="20"/>
        <v>0</v>
      </c>
      <c r="T49" s="7">
        <f t="shared" si="14"/>
        <v>0</v>
      </c>
      <c r="U49" s="2">
        <f t="shared" si="13"/>
        <v>0</v>
      </c>
    </row>
    <row r="50" spans="1:21" x14ac:dyDescent="0.25">
      <c r="A50" s="1">
        <f t="shared" si="15"/>
        <v>18</v>
      </c>
      <c r="B50" s="1">
        <f t="shared" si="2"/>
        <v>0</v>
      </c>
      <c r="C50" s="2">
        <f t="shared" si="3"/>
        <v>0</v>
      </c>
      <c r="D50" s="2">
        <f t="shared" si="4"/>
        <v>0</v>
      </c>
      <c r="E50" s="2">
        <f t="shared" si="5"/>
        <v>0</v>
      </c>
      <c r="F50" s="2">
        <f t="shared" si="16"/>
        <v>0</v>
      </c>
      <c r="G50" s="2">
        <f t="shared" si="18"/>
        <v>0</v>
      </c>
      <c r="H50" s="2">
        <f t="shared" si="18"/>
        <v>0</v>
      </c>
      <c r="I50" s="2">
        <f t="shared" si="7"/>
        <v>0</v>
      </c>
      <c r="J50" s="2">
        <f t="shared" si="19"/>
        <v>0</v>
      </c>
      <c r="K50" s="2">
        <f t="shared" si="19"/>
        <v>0</v>
      </c>
      <c r="L50" s="2">
        <f t="shared" si="9"/>
        <v>0</v>
      </c>
      <c r="M50" s="2">
        <f t="shared" si="9"/>
        <v>0</v>
      </c>
      <c r="N50" s="2">
        <f t="shared" si="9"/>
        <v>0</v>
      </c>
      <c r="O50" s="2">
        <f t="shared" si="10"/>
        <v>0</v>
      </c>
      <c r="P50" s="2">
        <f t="shared" si="11"/>
        <v>0</v>
      </c>
      <c r="Q50" s="2">
        <f t="shared" si="20"/>
        <v>0</v>
      </c>
      <c r="R50" s="2">
        <f t="shared" si="20"/>
        <v>0</v>
      </c>
      <c r="S50" s="2">
        <f t="shared" si="20"/>
        <v>0</v>
      </c>
      <c r="T50" s="7">
        <f t="shared" si="14"/>
        <v>0</v>
      </c>
      <c r="U50" s="2"/>
    </row>
    <row r="51" spans="1:21" x14ac:dyDescent="0.25">
      <c r="A51" s="1">
        <f t="shared" si="15"/>
        <v>19</v>
      </c>
      <c r="B51" s="1">
        <f t="shared" si="2"/>
        <v>0</v>
      </c>
      <c r="C51" s="2">
        <f t="shared" si="3"/>
        <v>0</v>
      </c>
      <c r="D51" s="2">
        <f t="shared" si="4"/>
        <v>0</v>
      </c>
      <c r="E51" s="2">
        <f t="shared" si="5"/>
        <v>0</v>
      </c>
      <c r="F51" s="2">
        <f t="shared" si="16"/>
        <v>0</v>
      </c>
      <c r="G51" s="2">
        <f t="shared" si="18"/>
        <v>0</v>
      </c>
      <c r="H51" s="2">
        <f t="shared" si="18"/>
        <v>0</v>
      </c>
      <c r="I51" s="2">
        <f t="shared" si="7"/>
        <v>0</v>
      </c>
      <c r="J51" s="2">
        <f t="shared" si="19"/>
        <v>0</v>
      </c>
      <c r="K51" s="2">
        <f t="shared" si="19"/>
        <v>0</v>
      </c>
      <c r="L51" s="2">
        <f t="shared" si="9"/>
        <v>0</v>
      </c>
      <c r="M51" s="2">
        <f t="shared" si="9"/>
        <v>0</v>
      </c>
      <c r="N51" s="2">
        <f t="shared" si="9"/>
        <v>0</v>
      </c>
      <c r="O51" s="2">
        <f t="shared" si="10"/>
        <v>0</v>
      </c>
      <c r="P51" s="2">
        <f t="shared" si="11"/>
        <v>0</v>
      </c>
      <c r="Q51" s="2">
        <f t="shared" si="20"/>
        <v>0</v>
      </c>
      <c r="R51" s="2">
        <f t="shared" si="20"/>
        <v>0</v>
      </c>
      <c r="S51" s="2">
        <f t="shared" si="20"/>
        <v>0</v>
      </c>
      <c r="T51" s="7">
        <f t="shared" si="14"/>
        <v>0</v>
      </c>
      <c r="U51" s="2"/>
    </row>
    <row r="52" spans="1:21" x14ac:dyDescent="0.25">
      <c r="A52" s="1">
        <f t="shared" si="15"/>
        <v>20</v>
      </c>
      <c r="B52" s="1">
        <f t="shared" si="2"/>
        <v>0</v>
      </c>
      <c r="C52" s="2">
        <f t="shared" si="3"/>
        <v>0</v>
      </c>
      <c r="D52" s="2">
        <f t="shared" si="4"/>
        <v>0</v>
      </c>
      <c r="E52" s="2">
        <f t="shared" si="5"/>
        <v>0</v>
      </c>
      <c r="F52" s="2">
        <f t="shared" si="16"/>
        <v>0</v>
      </c>
      <c r="G52" s="2">
        <f t="shared" si="18"/>
        <v>0</v>
      </c>
      <c r="H52" s="2">
        <f t="shared" si="18"/>
        <v>0</v>
      </c>
      <c r="I52" s="2">
        <f t="shared" si="7"/>
        <v>0</v>
      </c>
      <c r="J52" s="2">
        <f t="shared" si="19"/>
        <v>0</v>
      </c>
      <c r="K52" s="2">
        <f t="shared" si="19"/>
        <v>0</v>
      </c>
      <c r="L52" s="2">
        <f t="shared" ref="L52:L57" si="21">L24*1</f>
        <v>0</v>
      </c>
      <c r="M52" s="2">
        <f>M24*2</f>
        <v>0</v>
      </c>
      <c r="N52" s="2">
        <f>N24*2</f>
        <v>0</v>
      </c>
      <c r="O52" s="2">
        <f t="shared" si="10"/>
        <v>0</v>
      </c>
      <c r="P52" s="2">
        <f t="shared" si="11"/>
        <v>0</v>
      </c>
      <c r="Q52" s="2">
        <f t="shared" si="20"/>
        <v>0</v>
      </c>
      <c r="R52" s="2">
        <f t="shared" si="20"/>
        <v>0</v>
      </c>
      <c r="S52" s="2">
        <f t="shared" si="20"/>
        <v>0</v>
      </c>
      <c r="T52" s="7">
        <f t="shared" si="14"/>
        <v>0</v>
      </c>
      <c r="U52" s="2"/>
    </row>
    <row r="53" spans="1:21" x14ac:dyDescent="0.25">
      <c r="A53" s="1">
        <f t="shared" si="15"/>
        <v>21</v>
      </c>
      <c r="B53" s="1" t="e">
        <f t="shared" si="2"/>
        <v>#REF!</v>
      </c>
      <c r="C53" s="2">
        <f t="shared" si="3"/>
        <v>0</v>
      </c>
      <c r="D53" s="2">
        <f t="shared" si="4"/>
        <v>0</v>
      </c>
      <c r="E53" s="2">
        <f t="shared" si="5"/>
        <v>0</v>
      </c>
      <c r="F53" s="2">
        <f t="shared" si="16"/>
        <v>0</v>
      </c>
      <c r="G53" s="2">
        <f t="shared" si="18"/>
        <v>0</v>
      </c>
      <c r="H53" s="2">
        <f t="shared" si="18"/>
        <v>0</v>
      </c>
      <c r="I53" s="2">
        <f t="shared" si="7"/>
        <v>0</v>
      </c>
      <c r="J53" s="2">
        <f t="shared" si="19"/>
        <v>0</v>
      </c>
      <c r="K53" s="2">
        <f t="shared" si="19"/>
        <v>0</v>
      </c>
      <c r="L53" s="2">
        <f t="shared" si="21"/>
        <v>0</v>
      </c>
      <c r="M53" s="2">
        <f t="shared" ref="M53:N57" si="22">M25*1.5</f>
        <v>0</v>
      </c>
      <c r="N53" s="2">
        <f>N25*2</f>
        <v>0</v>
      </c>
      <c r="O53" s="2">
        <f t="shared" si="10"/>
        <v>0</v>
      </c>
      <c r="P53" s="2">
        <f t="shared" si="11"/>
        <v>0</v>
      </c>
      <c r="Q53" s="2">
        <f t="shared" si="20"/>
        <v>0</v>
      </c>
      <c r="R53" s="2">
        <f t="shared" si="20"/>
        <v>0</v>
      </c>
      <c r="S53" s="2">
        <f t="shared" si="20"/>
        <v>0</v>
      </c>
      <c r="T53" s="7">
        <f t="shared" si="14"/>
        <v>0</v>
      </c>
      <c r="U53" s="2"/>
    </row>
    <row r="54" spans="1:21" x14ac:dyDescent="0.25">
      <c r="A54" s="1">
        <f t="shared" si="15"/>
        <v>22</v>
      </c>
      <c r="B54" s="1" t="e">
        <f t="shared" si="2"/>
        <v>#REF!</v>
      </c>
      <c r="C54" s="2">
        <f t="shared" si="3"/>
        <v>0</v>
      </c>
      <c r="D54" s="2">
        <f t="shared" si="4"/>
        <v>0</v>
      </c>
      <c r="E54" s="2">
        <f t="shared" si="5"/>
        <v>0</v>
      </c>
      <c r="F54" s="2">
        <f t="shared" si="16"/>
        <v>0</v>
      </c>
      <c r="G54" s="2">
        <f t="shared" si="18"/>
        <v>0</v>
      </c>
      <c r="H54" s="2">
        <f t="shared" si="18"/>
        <v>0</v>
      </c>
      <c r="I54" s="2">
        <f t="shared" si="7"/>
        <v>0</v>
      </c>
      <c r="J54" s="2">
        <f t="shared" si="19"/>
        <v>0</v>
      </c>
      <c r="K54" s="2">
        <f t="shared" si="19"/>
        <v>0</v>
      </c>
      <c r="L54" s="2">
        <f t="shared" si="21"/>
        <v>0</v>
      </c>
      <c r="M54" s="2">
        <f t="shared" si="22"/>
        <v>0</v>
      </c>
      <c r="N54" s="2">
        <f t="shared" si="22"/>
        <v>0</v>
      </c>
      <c r="O54" s="2">
        <f t="shared" si="10"/>
        <v>0</v>
      </c>
      <c r="P54" s="2">
        <f t="shared" si="11"/>
        <v>0</v>
      </c>
      <c r="Q54" s="2">
        <f t="shared" si="20"/>
        <v>0</v>
      </c>
      <c r="R54" s="2">
        <f t="shared" si="20"/>
        <v>0</v>
      </c>
      <c r="S54" s="2">
        <f t="shared" si="20"/>
        <v>0</v>
      </c>
      <c r="T54" s="7">
        <f t="shared" si="14"/>
        <v>0</v>
      </c>
      <c r="U54" s="2"/>
    </row>
    <row r="55" spans="1:21" x14ac:dyDescent="0.25">
      <c r="A55" s="1">
        <f t="shared" si="15"/>
        <v>23</v>
      </c>
      <c r="B55" s="1" t="e">
        <f t="shared" si="2"/>
        <v>#REF!</v>
      </c>
      <c r="C55" s="2">
        <f t="shared" si="3"/>
        <v>0</v>
      </c>
      <c r="D55" s="2">
        <f t="shared" si="4"/>
        <v>0</v>
      </c>
      <c r="E55" s="2">
        <f t="shared" si="5"/>
        <v>0</v>
      </c>
      <c r="F55" s="2">
        <f t="shared" si="16"/>
        <v>0</v>
      </c>
      <c r="G55" s="2">
        <f t="shared" si="18"/>
        <v>0</v>
      </c>
      <c r="H55" s="2">
        <f t="shared" si="18"/>
        <v>0</v>
      </c>
      <c r="I55" s="2">
        <f t="shared" si="7"/>
        <v>0</v>
      </c>
      <c r="J55" s="2">
        <f t="shared" si="19"/>
        <v>0</v>
      </c>
      <c r="K55" s="2">
        <f t="shared" si="19"/>
        <v>0</v>
      </c>
      <c r="L55" s="2">
        <f t="shared" si="21"/>
        <v>0</v>
      </c>
      <c r="M55" s="2">
        <f t="shared" si="22"/>
        <v>0</v>
      </c>
      <c r="N55" s="2">
        <f t="shared" si="22"/>
        <v>0</v>
      </c>
      <c r="O55" s="2">
        <f t="shared" si="10"/>
        <v>0</v>
      </c>
      <c r="P55" s="2">
        <f t="shared" si="11"/>
        <v>0</v>
      </c>
      <c r="Q55" s="2">
        <f t="shared" si="20"/>
        <v>0</v>
      </c>
      <c r="R55" s="2">
        <f t="shared" si="20"/>
        <v>0</v>
      </c>
      <c r="S55" s="2">
        <f t="shared" si="20"/>
        <v>0</v>
      </c>
      <c r="T55" s="7">
        <f t="shared" si="14"/>
        <v>0</v>
      </c>
      <c r="U55" s="2"/>
    </row>
    <row r="56" spans="1:21" x14ac:dyDescent="0.25">
      <c r="A56" s="1">
        <f t="shared" si="15"/>
        <v>24</v>
      </c>
      <c r="B56" s="1" t="e">
        <f t="shared" si="2"/>
        <v>#REF!</v>
      </c>
      <c r="C56" s="2">
        <f t="shared" si="3"/>
        <v>0</v>
      </c>
      <c r="D56" s="2">
        <f t="shared" si="4"/>
        <v>0</v>
      </c>
      <c r="E56" s="2">
        <f t="shared" si="5"/>
        <v>0</v>
      </c>
      <c r="F56" s="2">
        <f t="shared" si="16"/>
        <v>0</v>
      </c>
      <c r="G56" s="2">
        <f t="shared" si="18"/>
        <v>0</v>
      </c>
      <c r="H56" s="2">
        <f t="shared" si="18"/>
        <v>0</v>
      </c>
      <c r="I56" s="2">
        <f t="shared" si="7"/>
        <v>0</v>
      </c>
      <c r="J56" s="2">
        <f t="shared" si="19"/>
        <v>0</v>
      </c>
      <c r="K56" s="2">
        <f t="shared" si="19"/>
        <v>0</v>
      </c>
      <c r="L56" s="2">
        <f t="shared" si="21"/>
        <v>0</v>
      </c>
      <c r="M56" s="2">
        <f t="shared" si="22"/>
        <v>0</v>
      </c>
      <c r="N56" s="2">
        <f t="shared" si="22"/>
        <v>0</v>
      </c>
      <c r="O56" s="2">
        <f t="shared" si="10"/>
        <v>0</v>
      </c>
      <c r="P56" s="2">
        <f t="shared" si="11"/>
        <v>0</v>
      </c>
      <c r="Q56" s="2">
        <f t="shared" si="20"/>
        <v>0</v>
      </c>
      <c r="R56" s="2">
        <f t="shared" si="20"/>
        <v>0</v>
      </c>
      <c r="S56" s="2">
        <f t="shared" si="20"/>
        <v>0</v>
      </c>
      <c r="T56" s="7">
        <f t="shared" si="14"/>
        <v>0</v>
      </c>
      <c r="U56" s="2"/>
    </row>
    <row r="57" spans="1:21" x14ac:dyDescent="0.25">
      <c r="A57" s="1">
        <f t="shared" si="15"/>
        <v>25</v>
      </c>
      <c r="B57" s="1" t="e">
        <f t="shared" si="2"/>
        <v>#REF!</v>
      </c>
      <c r="C57" s="2">
        <f t="shared" si="3"/>
        <v>0</v>
      </c>
      <c r="D57" s="2">
        <f t="shared" si="4"/>
        <v>0</v>
      </c>
      <c r="E57" s="2">
        <f t="shared" si="5"/>
        <v>0</v>
      </c>
      <c r="F57" s="2">
        <f t="shared" si="16"/>
        <v>0</v>
      </c>
      <c r="G57" s="2">
        <f t="shared" si="18"/>
        <v>0</v>
      </c>
      <c r="H57" s="2">
        <f t="shared" si="18"/>
        <v>0</v>
      </c>
      <c r="I57" s="2">
        <f t="shared" si="7"/>
        <v>0</v>
      </c>
      <c r="J57" s="2">
        <f t="shared" si="19"/>
        <v>0</v>
      </c>
      <c r="K57" s="2">
        <f t="shared" si="19"/>
        <v>0</v>
      </c>
      <c r="L57" s="2">
        <f t="shared" si="21"/>
        <v>0</v>
      </c>
      <c r="M57" s="2">
        <f t="shared" si="22"/>
        <v>0</v>
      </c>
      <c r="N57" s="2">
        <f t="shared" si="22"/>
        <v>0</v>
      </c>
      <c r="O57" s="2">
        <f t="shared" si="10"/>
        <v>0</v>
      </c>
      <c r="P57" s="2">
        <f t="shared" si="11"/>
        <v>0</v>
      </c>
      <c r="Q57" s="2">
        <f t="shared" si="20"/>
        <v>0</v>
      </c>
      <c r="R57" s="2">
        <f t="shared" si="20"/>
        <v>0</v>
      </c>
      <c r="S57" s="2">
        <f t="shared" si="20"/>
        <v>0</v>
      </c>
      <c r="T57" s="7">
        <f t="shared" si="14"/>
        <v>0</v>
      </c>
      <c r="U57" s="2"/>
    </row>
    <row r="58" spans="1:21" x14ac:dyDescent="0.25">
      <c r="U58" s="3">
        <f>AVERAGE(U33:U57)</f>
        <v>6.3491461100569273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N122"/>
  <sheetViews>
    <sheetView topLeftCell="C91" zoomScale="70" zoomScaleNormal="70" workbookViewId="0">
      <selection activeCell="X111" sqref="X111:X113"/>
    </sheetView>
  </sheetViews>
  <sheetFormatPr baseColWidth="10" defaultRowHeight="15" x14ac:dyDescent="0.25"/>
  <cols>
    <col min="1" max="1" width="8.85546875" customWidth="1"/>
    <col min="2" max="2" width="41" customWidth="1"/>
    <col min="3" max="3" width="9" customWidth="1"/>
    <col min="4" max="4" width="16" customWidth="1"/>
    <col min="5" max="5" width="12.5703125" customWidth="1"/>
    <col min="6" max="6" width="8.85546875" customWidth="1"/>
    <col min="7" max="7" width="6.42578125" customWidth="1"/>
    <col min="8" max="8" width="8" customWidth="1"/>
    <col min="9" max="9" width="9.140625" customWidth="1"/>
    <col min="10" max="10" width="8.140625" customWidth="1"/>
    <col min="11" max="12" width="6.28515625" customWidth="1"/>
    <col min="13" max="13" width="9.140625" customWidth="1"/>
    <col min="14" max="14" width="12" customWidth="1"/>
    <col min="15" max="15" width="12.140625" customWidth="1"/>
    <col min="16" max="16" width="10.7109375" customWidth="1"/>
    <col min="17" max="17" width="8" customWidth="1"/>
    <col min="18" max="18" width="7.42578125" customWidth="1"/>
    <col min="19" max="19" width="20.5703125" customWidth="1"/>
    <col min="20" max="20" width="12.140625" customWidth="1"/>
    <col min="21" max="21" width="23.42578125" customWidth="1"/>
    <col min="22" max="22" width="9.140625" bestFit="1" customWidth="1"/>
  </cols>
  <sheetData>
    <row r="4" spans="1:22" x14ac:dyDescent="0.25">
      <c r="A4" s="9" t="s">
        <v>23</v>
      </c>
      <c r="B4" s="9" t="s">
        <v>0</v>
      </c>
      <c r="C4" s="9" t="s">
        <v>91</v>
      </c>
      <c r="D4" s="9" t="s">
        <v>92</v>
      </c>
      <c r="E4" s="9" t="s">
        <v>1</v>
      </c>
      <c r="F4" s="9" t="s">
        <v>15</v>
      </c>
      <c r="G4" s="9" t="s">
        <v>16</v>
      </c>
      <c r="H4" s="9" t="s">
        <v>9</v>
      </c>
      <c r="I4" s="9" t="s">
        <v>20</v>
      </c>
      <c r="J4" s="9" t="s">
        <v>10</v>
      </c>
      <c r="K4" s="9" t="s">
        <v>11</v>
      </c>
      <c r="L4" s="9" t="s">
        <v>19</v>
      </c>
      <c r="M4" s="9" t="s">
        <v>3</v>
      </c>
      <c r="N4" s="9" t="s">
        <v>4</v>
      </c>
      <c r="O4" s="9" t="s">
        <v>12</v>
      </c>
      <c r="P4" s="9" t="s">
        <v>13</v>
      </c>
      <c r="Q4" s="9" t="s">
        <v>5</v>
      </c>
      <c r="R4" s="9" t="s">
        <v>6</v>
      </c>
      <c r="S4" s="9" t="s">
        <v>7</v>
      </c>
      <c r="T4" s="9" t="s">
        <v>8</v>
      </c>
      <c r="U4" s="9" t="s">
        <v>14</v>
      </c>
      <c r="V4" s="49" t="s">
        <v>21</v>
      </c>
    </row>
    <row r="5" spans="1:22" ht="18.75" x14ac:dyDescent="0.3">
      <c r="A5" s="51" t="str">
        <f>CONCATENATE(RANK(V5,$V$5:$V$20)," ",IF(RANK(V5,$V$5:$V$20)=1,"er/ère","ème"))</f>
        <v>10 ème</v>
      </c>
      <c r="B5" s="51" t="s">
        <v>73</v>
      </c>
      <c r="C5" s="51" t="s">
        <v>109</v>
      </c>
      <c r="D5" s="51">
        <v>241519274</v>
      </c>
      <c r="E5" s="2">
        <v>13</v>
      </c>
      <c r="F5" s="2">
        <v>8</v>
      </c>
      <c r="G5" s="2">
        <v>10</v>
      </c>
      <c r="H5" s="2">
        <v>9</v>
      </c>
      <c r="I5" s="2">
        <v>8</v>
      </c>
      <c r="J5" s="2">
        <v>6</v>
      </c>
      <c r="K5" s="2">
        <v>4.5</v>
      </c>
      <c r="L5" s="2">
        <v>6.5</v>
      </c>
      <c r="M5" s="2">
        <v>10</v>
      </c>
      <c r="N5" s="2">
        <v>12</v>
      </c>
      <c r="O5" s="2">
        <v>7</v>
      </c>
      <c r="P5" s="2">
        <v>11</v>
      </c>
      <c r="Q5" s="2">
        <v>16</v>
      </c>
      <c r="R5" s="2">
        <v>14</v>
      </c>
      <c r="S5" s="2">
        <v>15</v>
      </c>
      <c r="T5" s="2">
        <v>16</v>
      </c>
      <c r="U5" s="2">
        <v>17</v>
      </c>
      <c r="V5" s="50">
        <v>9.9032258064516121</v>
      </c>
    </row>
    <row r="6" spans="1:22" ht="18.75" x14ac:dyDescent="0.3">
      <c r="A6" s="51" t="str">
        <f t="shared" ref="A6:A7" si="0">CONCATENATE(RANK(V6,$V$5:$V$20)," ",IF(RANK(V6,$V$5:$V$20)=1,"er/ère","ème"))</f>
        <v>11 ème</v>
      </c>
      <c r="B6" s="51" t="s">
        <v>74</v>
      </c>
      <c r="C6" s="51" t="s">
        <v>109</v>
      </c>
      <c r="D6" s="51">
        <v>241519334</v>
      </c>
      <c r="E6" s="12">
        <v>11</v>
      </c>
      <c r="F6" s="12">
        <v>8</v>
      </c>
      <c r="G6" s="12">
        <v>8</v>
      </c>
      <c r="H6" s="12">
        <v>8</v>
      </c>
      <c r="I6" s="12">
        <v>8</v>
      </c>
      <c r="J6" s="12">
        <v>4</v>
      </c>
      <c r="K6" s="12">
        <v>5</v>
      </c>
      <c r="L6" s="12">
        <v>6</v>
      </c>
      <c r="M6" s="12">
        <v>8</v>
      </c>
      <c r="N6" s="12">
        <v>11</v>
      </c>
      <c r="O6" s="12">
        <v>13</v>
      </c>
      <c r="P6" s="12">
        <v>9</v>
      </c>
      <c r="Q6" s="2">
        <v>16</v>
      </c>
      <c r="R6" s="12">
        <v>15</v>
      </c>
      <c r="S6" s="12">
        <v>10</v>
      </c>
      <c r="T6" s="2">
        <v>16</v>
      </c>
      <c r="U6" s="2">
        <v>17</v>
      </c>
      <c r="V6" s="50">
        <v>9.4193548387096779</v>
      </c>
    </row>
    <row r="7" spans="1:22" ht="18.75" x14ac:dyDescent="0.3">
      <c r="A7" s="51" t="str">
        <f t="shared" si="0"/>
        <v>6 ème</v>
      </c>
      <c r="B7" s="51" t="s">
        <v>75</v>
      </c>
      <c r="C7" s="51" t="s">
        <v>110</v>
      </c>
      <c r="D7" s="51">
        <v>241519384</v>
      </c>
      <c r="E7" s="2">
        <v>14</v>
      </c>
      <c r="F7" s="2">
        <v>6</v>
      </c>
      <c r="G7" s="2">
        <v>11</v>
      </c>
      <c r="H7" s="2">
        <v>9</v>
      </c>
      <c r="I7" s="2">
        <v>11</v>
      </c>
      <c r="J7" s="2">
        <v>8</v>
      </c>
      <c r="K7" s="2">
        <v>3</v>
      </c>
      <c r="L7" s="2">
        <v>5</v>
      </c>
      <c r="M7" s="2">
        <v>9</v>
      </c>
      <c r="N7" s="2">
        <v>9</v>
      </c>
      <c r="O7" s="2">
        <v>11</v>
      </c>
      <c r="P7" s="2">
        <v>11</v>
      </c>
      <c r="Q7" s="2">
        <v>16</v>
      </c>
      <c r="R7" s="2">
        <v>17</v>
      </c>
      <c r="S7" s="2">
        <v>15</v>
      </c>
      <c r="T7" s="2">
        <v>16</v>
      </c>
      <c r="U7" s="2">
        <v>17</v>
      </c>
      <c r="V7" s="50">
        <v>10.225806451612904</v>
      </c>
    </row>
    <row r="8" spans="1:22" ht="16.5" customHeight="1" x14ac:dyDescent="0.3">
      <c r="A8" s="51" t="str">
        <f t="shared" ref="A8:A20" si="1">CONCATENATE(RANK(V8,$V$5:$V$20)," ",IF(RANK(V8,$V$5:$V$20)=1,"er/ère","ème"))</f>
        <v>7 ème</v>
      </c>
      <c r="B8" s="51" t="s">
        <v>76</v>
      </c>
      <c r="C8" s="51" t="s">
        <v>110</v>
      </c>
      <c r="D8" s="51">
        <v>241519651</v>
      </c>
      <c r="E8" s="2">
        <v>14</v>
      </c>
      <c r="F8" s="2">
        <v>8</v>
      </c>
      <c r="G8" s="2">
        <v>12</v>
      </c>
      <c r="H8" s="2">
        <v>9</v>
      </c>
      <c r="I8" s="2">
        <v>10</v>
      </c>
      <c r="J8" s="2">
        <v>8</v>
      </c>
      <c r="K8" s="2">
        <v>4</v>
      </c>
      <c r="L8" s="2">
        <v>3</v>
      </c>
      <c r="M8" s="2">
        <v>8</v>
      </c>
      <c r="N8" s="2">
        <v>11</v>
      </c>
      <c r="O8" s="2">
        <v>9</v>
      </c>
      <c r="P8" s="2">
        <v>13</v>
      </c>
      <c r="Q8" s="2">
        <v>16</v>
      </c>
      <c r="R8" s="2">
        <v>15</v>
      </c>
      <c r="S8" s="2">
        <v>10</v>
      </c>
      <c r="T8" s="2">
        <v>16</v>
      </c>
      <c r="U8" s="2">
        <v>17</v>
      </c>
      <c r="V8" s="50">
        <v>10.064516129032258</v>
      </c>
    </row>
    <row r="9" spans="1:22" ht="18.75" x14ac:dyDescent="0.3">
      <c r="A9" s="51" t="str">
        <f t="shared" si="1"/>
        <v>9 ème</v>
      </c>
      <c r="B9" s="51" t="s">
        <v>77</v>
      </c>
      <c r="C9" s="51" t="s">
        <v>109</v>
      </c>
      <c r="D9" s="51">
        <v>241519705</v>
      </c>
      <c r="E9" s="2">
        <v>14</v>
      </c>
      <c r="F9" s="2">
        <v>9</v>
      </c>
      <c r="G9" s="2">
        <v>7</v>
      </c>
      <c r="H9" s="2">
        <v>10</v>
      </c>
      <c r="I9" s="2">
        <v>11</v>
      </c>
      <c r="J9" s="2">
        <v>9</v>
      </c>
      <c r="K9" s="2">
        <v>3</v>
      </c>
      <c r="L9" s="2">
        <v>5</v>
      </c>
      <c r="M9" s="2">
        <v>9</v>
      </c>
      <c r="N9" s="2">
        <v>10</v>
      </c>
      <c r="O9" s="2">
        <v>9</v>
      </c>
      <c r="P9" s="2">
        <v>13</v>
      </c>
      <c r="Q9" s="2">
        <v>16</v>
      </c>
      <c r="R9" s="2">
        <v>16</v>
      </c>
      <c r="S9" s="2">
        <v>11</v>
      </c>
      <c r="T9" s="2">
        <v>16</v>
      </c>
      <c r="U9" s="2">
        <v>17</v>
      </c>
      <c r="V9" s="50">
        <v>10.03225806451613</v>
      </c>
    </row>
    <row r="10" spans="1:22" ht="18.75" x14ac:dyDescent="0.3">
      <c r="A10" s="51" t="str">
        <f t="shared" si="1"/>
        <v>3 ème</v>
      </c>
      <c r="B10" s="55" t="s">
        <v>111</v>
      </c>
      <c r="C10" s="55" t="s">
        <v>110</v>
      </c>
      <c r="D10" s="51">
        <v>240269499</v>
      </c>
      <c r="E10" s="2">
        <v>13</v>
      </c>
      <c r="F10" s="2">
        <v>7</v>
      </c>
      <c r="G10" s="2">
        <v>14</v>
      </c>
      <c r="H10" s="2">
        <v>9</v>
      </c>
      <c r="I10" s="2">
        <v>10</v>
      </c>
      <c r="J10" s="2">
        <v>11</v>
      </c>
      <c r="K10" s="2">
        <v>4</v>
      </c>
      <c r="L10" s="2">
        <v>7</v>
      </c>
      <c r="M10" s="2">
        <v>12</v>
      </c>
      <c r="N10" s="2">
        <v>12</v>
      </c>
      <c r="O10" s="2">
        <v>11</v>
      </c>
      <c r="P10" s="2">
        <v>13</v>
      </c>
      <c r="Q10" s="2">
        <v>16</v>
      </c>
      <c r="R10" s="2">
        <v>15</v>
      </c>
      <c r="S10" s="2">
        <v>13</v>
      </c>
      <c r="T10" s="2">
        <v>16</v>
      </c>
      <c r="U10" s="2">
        <v>17</v>
      </c>
      <c r="V10" s="50">
        <v>11.064516129032258</v>
      </c>
    </row>
    <row r="11" spans="1:22" ht="18.75" x14ac:dyDescent="0.3">
      <c r="A11" s="51" t="e">
        <f t="shared" si="1"/>
        <v>#N/A</v>
      </c>
      <c r="B11" s="55" t="s">
        <v>85</v>
      </c>
      <c r="C11" s="55" t="s">
        <v>109</v>
      </c>
      <c r="D11" s="57">
        <v>242444388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50"/>
    </row>
    <row r="12" spans="1:22" ht="18.75" x14ac:dyDescent="0.3">
      <c r="A12" s="51" t="e">
        <f t="shared" si="1"/>
        <v>#N/A</v>
      </c>
      <c r="B12" s="55" t="s">
        <v>86</v>
      </c>
      <c r="C12" s="55" t="s">
        <v>109</v>
      </c>
      <c r="D12" s="59">
        <v>242474650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50"/>
    </row>
    <row r="13" spans="1:22" ht="18.75" x14ac:dyDescent="0.3">
      <c r="A13" s="51" t="str">
        <f t="shared" si="1"/>
        <v>7 ème</v>
      </c>
      <c r="B13" s="51" t="s">
        <v>78</v>
      </c>
      <c r="C13" s="51" t="s">
        <v>110</v>
      </c>
      <c r="D13" s="51">
        <v>241519780</v>
      </c>
      <c r="E13" s="2">
        <v>11</v>
      </c>
      <c r="F13" s="2">
        <v>6</v>
      </c>
      <c r="G13" s="2">
        <v>11</v>
      </c>
      <c r="H13" s="2">
        <v>11</v>
      </c>
      <c r="I13" s="2">
        <v>10</v>
      </c>
      <c r="J13" s="2">
        <v>7</v>
      </c>
      <c r="K13" s="2">
        <v>4.5</v>
      </c>
      <c r="L13" s="2">
        <v>4</v>
      </c>
      <c r="M13" s="2">
        <v>10</v>
      </c>
      <c r="N13" s="2">
        <v>10</v>
      </c>
      <c r="O13" s="2">
        <v>11</v>
      </c>
      <c r="P13" s="2">
        <v>10</v>
      </c>
      <c r="Q13" s="2">
        <v>16</v>
      </c>
      <c r="R13" s="2">
        <v>17</v>
      </c>
      <c r="S13" s="2">
        <v>15</v>
      </c>
      <c r="T13" s="2">
        <v>16</v>
      </c>
      <c r="U13" s="2">
        <v>17</v>
      </c>
      <c r="V13" s="50">
        <v>10.064516129032258</v>
      </c>
    </row>
    <row r="14" spans="1:22" ht="18.75" x14ac:dyDescent="0.3">
      <c r="A14" s="51" t="str">
        <f t="shared" si="1"/>
        <v>5 ème</v>
      </c>
      <c r="B14" s="51" t="s">
        <v>79</v>
      </c>
      <c r="C14" s="51" t="s">
        <v>109</v>
      </c>
      <c r="D14" s="51">
        <v>241519858</v>
      </c>
      <c r="E14" s="2">
        <v>7</v>
      </c>
      <c r="F14" s="2">
        <v>7</v>
      </c>
      <c r="G14" s="2">
        <v>10.5</v>
      </c>
      <c r="H14" s="2">
        <v>9</v>
      </c>
      <c r="I14" s="2">
        <v>11</v>
      </c>
      <c r="J14" s="2">
        <v>13</v>
      </c>
      <c r="K14" s="2">
        <v>5</v>
      </c>
      <c r="L14" s="2">
        <v>5</v>
      </c>
      <c r="M14" s="2">
        <v>12</v>
      </c>
      <c r="N14" s="2">
        <v>15</v>
      </c>
      <c r="O14" s="2">
        <v>13</v>
      </c>
      <c r="P14" s="2">
        <v>13</v>
      </c>
      <c r="Q14" s="2">
        <v>16</v>
      </c>
      <c r="R14" s="2">
        <v>16</v>
      </c>
      <c r="S14" s="2">
        <v>12</v>
      </c>
      <c r="T14" s="2">
        <v>16</v>
      </c>
      <c r="U14" s="2">
        <v>17</v>
      </c>
      <c r="V14" s="50">
        <v>10.806451612903226</v>
      </c>
    </row>
    <row r="15" spans="1:22" ht="18.75" x14ac:dyDescent="0.3">
      <c r="A15" s="51" t="e">
        <f t="shared" si="1"/>
        <v>#N/A</v>
      </c>
      <c r="B15" s="51" t="s">
        <v>80</v>
      </c>
      <c r="C15" s="51" t="s">
        <v>109</v>
      </c>
      <c r="D15" s="51">
        <v>241519910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50"/>
    </row>
    <row r="16" spans="1:22" ht="18.75" x14ac:dyDescent="0.3">
      <c r="A16" s="51" t="str">
        <f t="shared" si="1"/>
        <v>4 ème</v>
      </c>
      <c r="B16" s="56" t="s">
        <v>87</v>
      </c>
      <c r="C16" s="56" t="s">
        <v>109</v>
      </c>
      <c r="D16" s="59">
        <v>242369249</v>
      </c>
      <c r="E16" s="2">
        <v>12</v>
      </c>
      <c r="F16" s="2">
        <v>6</v>
      </c>
      <c r="G16" s="2">
        <v>12</v>
      </c>
      <c r="H16" s="2">
        <v>10</v>
      </c>
      <c r="I16" s="2">
        <v>10</v>
      </c>
      <c r="J16" s="2">
        <v>9</v>
      </c>
      <c r="K16" s="2">
        <v>5</v>
      </c>
      <c r="L16" s="2">
        <v>7</v>
      </c>
      <c r="M16" s="2">
        <v>11</v>
      </c>
      <c r="N16" s="2">
        <v>12</v>
      </c>
      <c r="O16" s="2">
        <v>11</v>
      </c>
      <c r="P16" s="2">
        <v>13</v>
      </c>
      <c r="Q16" s="2">
        <v>16</v>
      </c>
      <c r="R16" s="2">
        <v>17</v>
      </c>
      <c r="S16" s="2">
        <v>13</v>
      </c>
      <c r="T16" s="2">
        <v>16</v>
      </c>
      <c r="U16" s="2">
        <v>17</v>
      </c>
      <c r="V16" s="50">
        <v>10.903225806451612</v>
      </c>
    </row>
    <row r="17" spans="1:22" ht="18.75" x14ac:dyDescent="0.3">
      <c r="A17" s="51" t="str">
        <f t="shared" si="1"/>
        <v>2 ème</v>
      </c>
      <c r="B17" s="51" t="s">
        <v>81</v>
      </c>
      <c r="C17" s="51" t="s">
        <v>109</v>
      </c>
      <c r="D17" s="51">
        <v>241520152</v>
      </c>
      <c r="E17" s="2">
        <v>12</v>
      </c>
      <c r="F17" s="2">
        <v>7</v>
      </c>
      <c r="G17" s="2">
        <v>11</v>
      </c>
      <c r="H17" s="2">
        <v>10</v>
      </c>
      <c r="I17" s="2">
        <v>12</v>
      </c>
      <c r="J17" s="2">
        <v>8</v>
      </c>
      <c r="K17" s="2">
        <v>5</v>
      </c>
      <c r="L17" s="2">
        <v>10</v>
      </c>
      <c r="M17" s="2">
        <v>10</v>
      </c>
      <c r="N17" s="2">
        <v>11</v>
      </c>
      <c r="O17" s="2">
        <v>13</v>
      </c>
      <c r="P17" s="2">
        <v>14</v>
      </c>
      <c r="Q17" s="2">
        <v>16</v>
      </c>
      <c r="R17" s="2">
        <v>16</v>
      </c>
      <c r="S17" s="2">
        <v>15</v>
      </c>
      <c r="T17" s="2">
        <v>16</v>
      </c>
      <c r="U17" s="2">
        <v>17</v>
      </c>
      <c r="V17" s="50">
        <v>11.193548387096774</v>
      </c>
    </row>
    <row r="18" spans="1:22" ht="18.75" x14ac:dyDescent="0.3">
      <c r="A18" s="51" t="str">
        <f t="shared" si="1"/>
        <v>1 er/ère</v>
      </c>
      <c r="B18" s="51" t="s">
        <v>82</v>
      </c>
      <c r="C18" s="51" t="s">
        <v>110</v>
      </c>
      <c r="D18" s="51">
        <v>241520204</v>
      </c>
      <c r="E18" s="2">
        <v>12</v>
      </c>
      <c r="F18" s="2">
        <v>9</v>
      </c>
      <c r="G18" s="2">
        <v>15</v>
      </c>
      <c r="H18" s="2">
        <v>10</v>
      </c>
      <c r="I18" s="2">
        <v>13</v>
      </c>
      <c r="J18" s="2">
        <v>11</v>
      </c>
      <c r="K18" s="2">
        <v>4.5</v>
      </c>
      <c r="L18" s="2">
        <v>7</v>
      </c>
      <c r="M18" s="2">
        <v>13</v>
      </c>
      <c r="N18" s="2">
        <v>14</v>
      </c>
      <c r="O18" s="2">
        <v>14</v>
      </c>
      <c r="P18" s="2">
        <v>12</v>
      </c>
      <c r="Q18" s="2">
        <v>16</v>
      </c>
      <c r="R18" s="2">
        <v>17</v>
      </c>
      <c r="S18" s="2">
        <v>15</v>
      </c>
      <c r="T18" s="2">
        <v>16</v>
      </c>
      <c r="U18" s="2">
        <v>17</v>
      </c>
      <c r="V18" s="50">
        <v>11.903225806451612</v>
      </c>
    </row>
    <row r="19" spans="1:22" ht="18.75" x14ac:dyDescent="0.3">
      <c r="A19" s="51" t="str">
        <f t="shared" si="1"/>
        <v>12 ème</v>
      </c>
      <c r="B19" s="51" t="s">
        <v>83</v>
      </c>
      <c r="C19" s="51" t="s">
        <v>110</v>
      </c>
      <c r="D19" s="51">
        <v>241520391</v>
      </c>
      <c r="E19" s="2">
        <v>8</v>
      </c>
      <c r="F19" s="2">
        <v>7</v>
      </c>
      <c r="G19" s="2">
        <v>6</v>
      </c>
      <c r="H19" s="2">
        <v>8</v>
      </c>
      <c r="I19" s="2">
        <v>7</v>
      </c>
      <c r="J19" s="2">
        <v>7</v>
      </c>
      <c r="K19" s="2">
        <v>5</v>
      </c>
      <c r="L19" s="2">
        <v>3</v>
      </c>
      <c r="M19" s="2">
        <v>8</v>
      </c>
      <c r="N19" s="2">
        <v>10</v>
      </c>
      <c r="O19" s="2">
        <v>10</v>
      </c>
      <c r="P19" s="2">
        <v>10</v>
      </c>
      <c r="Q19" s="2">
        <v>16</v>
      </c>
      <c r="R19" s="2">
        <v>16</v>
      </c>
      <c r="S19" s="2">
        <v>12</v>
      </c>
      <c r="T19" s="2">
        <v>16</v>
      </c>
      <c r="U19" s="2">
        <v>17</v>
      </c>
      <c r="V19" s="50">
        <v>8.8387096774193541</v>
      </c>
    </row>
    <row r="20" spans="1:22" ht="18.75" x14ac:dyDescent="0.3">
      <c r="A20" s="51" t="str">
        <f t="shared" si="1"/>
        <v>13 ème</v>
      </c>
      <c r="B20" s="55" t="s">
        <v>88</v>
      </c>
      <c r="C20" s="55" t="s">
        <v>110</v>
      </c>
      <c r="D20" s="60">
        <v>250315356</v>
      </c>
      <c r="E20" s="2">
        <v>8</v>
      </c>
      <c r="F20" s="2">
        <v>5</v>
      </c>
      <c r="G20" s="2">
        <v>8</v>
      </c>
      <c r="H20" s="2">
        <v>8</v>
      </c>
      <c r="I20" s="2">
        <v>8</v>
      </c>
      <c r="J20" s="2">
        <v>6</v>
      </c>
      <c r="K20" s="2">
        <v>3</v>
      </c>
      <c r="L20" s="2">
        <v>5</v>
      </c>
      <c r="M20" s="2">
        <v>7</v>
      </c>
      <c r="N20" s="2">
        <v>11</v>
      </c>
      <c r="O20" s="2">
        <v>7</v>
      </c>
      <c r="P20" s="2">
        <v>10</v>
      </c>
      <c r="Q20" s="2">
        <v>16</v>
      </c>
      <c r="R20" s="2">
        <v>15</v>
      </c>
      <c r="S20" s="2">
        <v>10</v>
      </c>
      <c r="T20" s="2">
        <v>16</v>
      </c>
      <c r="U20" s="2">
        <v>17</v>
      </c>
      <c r="V20" s="50">
        <v>8.4516129032258061</v>
      </c>
    </row>
    <row r="21" spans="1:22" ht="18.75" x14ac:dyDescent="0.3">
      <c r="B21" s="13" t="s">
        <v>22</v>
      </c>
      <c r="C21" s="13"/>
      <c r="D21" s="13"/>
      <c r="E21" s="14">
        <f t="shared" ref="E21:V21" si="2">AVERAGE(E5:E20)</f>
        <v>11.461538461538462</v>
      </c>
      <c r="F21" s="14">
        <f t="shared" si="2"/>
        <v>7.1538461538461542</v>
      </c>
      <c r="G21" s="14">
        <f t="shared" si="2"/>
        <v>10.423076923076923</v>
      </c>
      <c r="H21" s="14">
        <f t="shared" si="2"/>
        <v>9.2307692307692299</v>
      </c>
      <c r="I21" s="14">
        <f t="shared" si="2"/>
        <v>9.9230769230769234</v>
      </c>
      <c r="J21" s="14">
        <f t="shared" si="2"/>
        <v>8.2307692307692299</v>
      </c>
      <c r="K21" s="14">
        <f t="shared" si="2"/>
        <v>4.2692307692307692</v>
      </c>
      <c r="L21" s="14">
        <f t="shared" si="2"/>
        <v>5.6538461538461542</v>
      </c>
      <c r="M21" s="14">
        <f t="shared" si="2"/>
        <v>9.7692307692307701</v>
      </c>
      <c r="N21" s="14">
        <f t="shared" si="2"/>
        <v>11.384615384615385</v>
      </c>
      <c r="O21" s="14">
        <f t="shared" si="2"/>
        <v>10.692307692307692</v>
      </c>
      <c r="P21" s="14">
        <f t="shared" si="2"/>
        <v>11.692307692307692</v>
      </c>
      <c r="Q21" s="14">
        <f t="shared" si="2"/>
        <v>16</v>
      </c>
      <c r="R21" s="14">
        <f t="shared" si="2"/>
        <v>15.846153846153847</v>
      </c>
      <c r="S21" s="14">
        <f t="shared" si="2"/>
        <v>12.76923076923077</v>
      </c>
      <c r="T21" s="14">
        <f t="shared" si="2"/>
        <v>16</v>
      </c>
      <c r="U21" s="14">
        <f t="shared" si="2"/>
        <v>17</v>
      </c>
      <c r="V21" s="50">
        <f t="shared" si="2"/>
        <v>10.220843672456576</v>
      </c>
    </row>
    <row r="24" spans="1:22" ht="18.75" x14ac:dyDescent="0.3">
      <c r="A24" s="9" t="s">
        <v>2</v>
      </c>
      <c r="B24" s="9" t="s">
        <v>0</v>
      </c>
      <c r="C24" s="9" t="s">
        <v>91</v>
      </c>
      <c r="D24" s="9" t="s">
        <v>92</v>
      </c>
      <c r="E24" s="9" t="s">
        <v>1</v>
      </c>
      <c r="F24" s="9" t="s">
        <v>15</v>
      </c>
      <c r="G24" s="9" t="s">
        <v>16</v>
      </c>
      <c r="H24" s="9" t="s">
        <v>9</v>
      </c>
      <c r="I24" s="9" t="s">
        <v>20</v>
      </c>
      <c r="J24" s="9" t="s">
        <v>10</v>
      </c>
      <c r="K24" s="9" t="s">
        <v>11</v>
      </c>
      <c r="L24" s="9" t="s">
        <v>19</v>
      </c>
      <c r="M24" s="9" t="s">
        <v>3</v>
      </c>
      <c r="N24" s="9" t="s">
        <v>4</v>
      </c>
      <c r="O24" s="9" t="s">
        <v>12</v>
      </c>
      <c r="P24" s="9" t="s">
        <v>13</v>
      </c>
      <c r="Q24" s="9" t="s">
        <v>5</v>
      </c>
      <c r="R24" s="9" t="s">
        <v>6</v>
      </c>
      <c r="S24" s="9" t="s">
        <v>7</v>
      </c>
      <c r="T24" s="9" t="s">
        <v>8</v>
      </c>
      <c r="U24" s="9" t="s">
        <v>14</v>
      </c>
      <c r="V24" s="63" t="s">
        <v>21</v>
      </c>
    </row>
    <row r="25" spans="1:22" ht="18.75" x14ac:dyDescent="0.3">
      <c r="A25" s="51" t="e">
        <f t="shared" ref="A25:A40" si="3">CONCATENATE(RANK(V25,$V$25:$V$40)," ",IF(RANK(V25,$V$25:$V$40)=1,"er/ère","ème"))</f>
        <v>#N/A</v>
      </c>
      <c r="B25" s="38" t="s">
        <v>73</v>
      </c>
      <c r="C25" s="51" t="s">
        <v>109</v>
      </c>
      <c r="D25" s="51">
        <v>241519274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64"/>
    </row>
    <row r="26" spans="1:22" ht="18.75" x14ac:dyDescent="0.3">
      <c r="A26" s="51" t="e">
        <f t="shared" si="3"/>
        <v>#N/A</v>
      </c>
      <c r="B26" s="38" t="s">
        <v>74</v>
      </c>
      <c r="C26" s="51" t="s">
        <v>109</v>
      </c>
      <c r="D26" s="51">
        <v>241519334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2"/>
      <c r="U26" s="2"/>
      <c r="V26" s="64"/>
    </row>
    <row r="27" spans="1:22" ht="18.75" x14ac:dyDescent="0.3">
      <c r="A27" s="51" t="e">
        <f t="shared" si="3"/>
        <v>#N/A</v>
      </c>
      <c r="B27" s="38" t="s">
        <v>75</v>
      </c>
      <c r="C27" s="51" t="s">
        <v>110</v>
      </c>
      <c r="D27" s="51">
        <v>241519384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64"/>
    </row>
    <row r="28" spans="1:22" ht="18.75" x14ac:dyDescent="0.3">
      <c r="A28" s="51" t="e">
        <f t="shared" si="3"/>
        <v>#N/A</v>
      </c>
      <c r="B28" s="38" t="s">
        <v>76</v>
      </c>
      <c r="C28" s="51" t="s">
        <v>110</v>
      </c>
      <c r="D28" s="51">
        <v>241519651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64"/>
    </row>
    <row r="29" spans="1:22" ht="18.75" x14ac:dyDescent="0.3">
      <c r="A29" s="51" t="e">
        <f t="shared" si="3"/>
        <v>#N/A</v>
      </c>
      <c r="B29" s="38" t="s">
        <v>77</v>
      </c>
      <c r="C29" s="51" t="s">
        <v>109</v>
      </c>
      <c r="D29" s="51">
        <v>241519705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64"/>
    </row>
    <row r="30" spans="1:22" ht="18.75" x14ac:dyDescent="0.3">
      <c r="A30" s="51" t="e">
        <f t="shared" si="3"/>
        <v>#N/A</v>
      </c>
      <c r="B30" s="40" t="s">
        <v>111</v>
      </c>
      <c r="C30" s="55" t="s">
        <v>110</v>
      </c>
      <c r="D30" s="51">
        <v>240269499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64"/>
    </row>
    <row r="31" spans="1:22" ht="18.75" x14ac:dyDescent="0.3">
      <c r="A31" s="51" t="e">
        <f t="shared" si="3"/>
        <v>#N/A</v>
      </c>
      <c r="B31" s="40" t="s">
        <v>85</v>
      </c>
      <c r="C31" s="55" t="s">
        <v>109</v>
      </c>
      <c r="D31" s="57">
        <v>242444388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64"/>
    </row>
    <row r="32" spans="1:22" ht="18.75" x14ac:dyDescent="0.3">
      <c r="A32" s="51" t="e">
        <f t="shared" si="3"/>
        <v>#N/A</v>
      </c>
      <c r="B32" s="40" t="s">
        <v>86</v>
      </c>
      <c r="C32" s="55" t="s">
        <v>109</v>
      </c>
      <c r="D32" s="59">
        <v>242474650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64"/>
    </row>
    <row r="33" spans="1:22" ht="18.75" x14ac:dyDescent="0.3">
      <c r="A33" s="51" t="e">
        <f t="shared" si="3"/>
        <v>#N/A</v>
      </c>
      <c r="B33" s="38" t="s">
        <v>78</v>
      </c>
      <c r="C33" s="51" t="s">
        <v>110</v>
      </c>
      <c r="D33" s="51">
        <v>241519780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64"/>
    </row>
    <row r="34" spans="1:22" ht="18.75" x14ac:dyDescent="0.3">
      <c r="A34" s="51" t="e">
        <f t="shared" si="3"/>
        <v>#N/A</v>
      </c>
      <c r="B34" s="38" t="s">
        <v>79</v>
      </c>
      <c r="C34" s="51" t="s">
        <v>109</v>
      </c>
      <c r="D34" s="51">
        <v>241519858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64"/>
    </row>
    <row r="35" spans="1:22" ht="18.75" x14ac:dyDescent="0.3">
      <c r="A35" s="51" t="e">
        <f t="shared" si="3"/>
        <v>#N/A</v>
      </c>
      <c r="B35" s="38" t="s">
        <v>80</v>
      </c>
      <c r="C35" s="51" t="s">
        <v>109</v>
      </c>
      <c r="D35" s="51">
        <v>241519910</v>
      </c>
      <c r="E35" s="2"/>
      <c r="F35" s="2"/>
      <c r="G35" s="2"/>
      <c r="H35" s="2"/>
      <c r="I35" s="2"/>
      <c r="J35" s="2"/>
      <c r="K35" s="2"/>
      <c r="L35" s="2"/>
      <c r="M35" s="3"/>
      <c r="N35" s="2"/>
      <c r="O35" s="2"/>
      <c r="P35" s="2"/>
      <c r="Q35" s="2"/>
      <c r="R35" s="2"/>
      <c r="S35" s="2"/>
      <c r="T35" s="2"/>
      <c r="U35" s="2"/>
      <c r="V35" s="64"/>
    </row>
    <row r="36" spans="1:22" ht="18.75" x14ac:dyDescent="0.3">
      <c r="A36" s="51" t="e">
        <f t="shared" si="3"/>
        <v>#N/A</v>
      </c>
      <c r="B36" s="39" t="s">
        <v>87</v>
      </c>
      <c r="C36" s="56" t="s">
        <v>109</v>
      </c>
      <c r="D36" s="59">
        <v>242369249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64"/>
    </row>
    <row r="37" spans="1:22" ht="18.75" x14ac:dyDescent="0.3">
      <c r="A37" s="51" t="e">
        <f t="shared" si="3"/>
        <v>#N/A</v>
      </c>
      <c r="B37" s="38" t="s">
        <v>81</v>
      </c>
      <c r="C37" s="51" t="s">
        <v>109</v>
      </c>
      <c r="D37" s="51">
        <v>241520152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64"/>
    </row>
    <row r="38" spans="1:22" ht="18.75" x14ac:dyDescent="0.3">
      <c r="A38" s="51" t="e">
        <f t="shared" si="3"/>
        <v>#N/A</v>
      </c>
      <c r="B38" s="38" t="s">
        <v>82</v>
      </c>
      <c r="C38" s="51" t="s">
        <v>110</v>
      </c>
      <c r="D38" s="51">
        <v>241520204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64"/>
    </row>
    <row r="39" spans="1:22" ht="18.75" x14ac:dyDescent="0.3">
      <c r="A39" s="51" t="e">
        <f t="shared" si="3"/>
        <v>#N/A</v>
      </c>
      <c r="B39" s="38" t="s">
        <v>83</v>
      </c>
      <c r="C39" s="51" t="s">
        <v>110</v>
      </c>
      <c r="D39" s="51">
        <v>241520391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64"/>
    </row>
    <row r="40" spans="1:22" ht="18.75" x14ac:dyDescent="0.3">
      <c r="A40" s="51" t="e">
        <f t="shared" si="3"/>
        <v>#N/A</v>
      </c>
      <c r="B40" s="40" t="s">
        <v>88</v>
      </c>
      <c r="C40" s="55" t="s">
        <v>110</v>
      </c>
      <c r="D40" s="60">
        <v>250315356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64"/>
    </row>
    <row r="41" spans="1:22" ht="18.75" x14ac:dyDescent="0.3">
      <c r="A41" s="9"/>
      <c r="B41" s="33" t="s">
        <v>18</v>
      </c>
      <c r="C41" s="33"/>
      <c r="D41" s="33"/>
      <c r="E41" s="34" t="e">
        <f t="shared" ref="E41:U41" si="4">AVERAGE(E29:E40)</f>
        <v>#DIV/0!</v>
      </c>
      <c r="F41" s="34" t="e">
        <f t="shared" si="4"/>
        <v>#DIV/0!</v>
      </c>
      <c r="G41" s="34" t="e">
        <f t="shared" si="4"/>
        <v>#DIV/0!</v>
      </c>
      <c r="H41" s="34" t="e">
        <f t="shared" si="4"/>
        <v>#DIV/0!</v>
      </c>
      <c r="I41" s="34" t="e">
        <f t="shared" si="4"/>
        <v>#DIV/0!</v>
      </c>
      <c r="J41" s="34" t="e">
        <f t="shared" si="4"/>
        <v>#DIV/0!</v>
      </c>
      <c r="K41" s="34" t="e">
        <f t="shared" si="4"/>
        <v>#DIV/0!</v>
      </c>
      <c r="L41" s="34" t="e">
        <f t="shared" si="4"/>
        <v>#DIV/0!</v>
      </c>
      <c r="M41" s="34" t="e">
        <f t="shared" si="4"/>
        <v>#DIV/0!</v>
      </c>
      <c r="N41" s="34" t="e">
        <f t="shared" si="4"/>
        <v>#DIV/0!</v>
      </c>
      <c r="O41" s="34" t="e">
        <f t="shared" si="4"/>
        <v>#DIV/0!</v>
      </c>
      <c r="P41" s="34" t="e">
        <f t="shared" si="4"/>
        <v>#DIV/0!</v>
      </c>
      <c r="Q41" s="34" t="e">
        <f t="shared" si="4"/>
        <v>#DIV/0!</v>
      </c>
      <c r="R41" s="34" t="e">
        <f t="shared" si="4"/>
        <v>#DIV/0!</v>
      </c>
      <c r="S41" s="34" t="e">
        <f t="shared" si="4"/>
        <v>#DIV/0!</v>
      </c>
      <c r="T41" s="34" t="e">
        <f t="shared" si="4"/>
        <v>#DIV/0!</v>
      </c>
      <c r="U41" s="34" t="e">
        <f t="shared" si="4"/>
        <v>#DIV/0!</v>
      </c>
      <c r="V41" s="65" t="e">
        <f>AVERAGE(V25:V40)</f>
        <v>#DIV/0!</v>
      </c>
    </row>
    <row r="45" spans="1:22" ht="18.75" x14ac:dyDescent="0.3">
      <c r="A45" s="1" t="s">
        <v>2</v>
      </c>
      <c r="B45" s="1" t="s">
        <v>0</v>
      </c>
      <c r="C45" s="9" t="s">
        <v>91</v>
      </c>
      <c r="D45" s="9" t="s">
        <v>92</v>
      </c>
      <c r="E45" s="1" t="s">
        <v>24</v>
      </c>
      <c r="F45" s="1" t="s">
        <v>15</v>
      </c>
      <c r="G45" s="1" t="s">
        <v>16</v>
      </c>
      <c r="H45" s="1" t="s">
        <v>9</v>
      </c>
      <c r="I45" s="1" t="s">
        <v>20</v>
      </c>
      <c r="J45" s="1" t="s">
        <v>10</v>
      </c>
      <c r="K45" s="1" t="s">
        <v>11</v>
      </c>
      <c r="L45" s="1" t="s">
        <v>19</v>
      </c>
      <c r="M45" s="1" t="s">
        <v>3</v>
      </c>
      <c r="N45" s="1" t="s">
        <v>4</v>
      </c>
      <c r="O45" s="1" t="s">
        <v>12</v>
      </c>
      <c r="P45" s="1" t="s">
        <v>13</v>
      </c>
      <c r="Q45" s="1" t="s">
        <v>5</v>
      </c>
      <c r="R45" s="1" t="s">
        <v>6</v>
      </c>
      <c r="S45" s="1" t="s">
        <v>7</v>
      </c>
      <c r="T45" s="1" t="s">
        <v>8</v>
      </c>
      <c r="U45" s="1" t="s">
        <v>14</v>
      </c>
      <c r="V45" s="63" t="s">
        <v>21</v>
      </c>
    </row>
    <row r="46" spans="1:22" ht="18.75" x14ac:dyDescent="0.3">
      <c r="A46" s="51" t="str">
        <f t="shared" ref="A46:A60" si="5">CONCATENATE(RANK(V46,$V$46:$V$61)," ",IF(RANK(V46,$V$46:$V$61)=1,"er/ère","ème"))</f>
        <v>10 ème</v>
      </c>
      <c r="B46" s="38" t="s">
        <v>73</v>
      </c>
      <c r="C46" s="51" t="s">
        <v>109</v>
      </c>
      <c r="D46" s="51">
        <v>241519274</v>
      </c>
      <c r="E46" s="2">
        <f t="shared" ref="E46:V48" si="6">(E5+E25)/2</f>
        <v>6.5</v>
      </c>
      <c r="F46" s="2">
        <f t="shared" si="6"/>
        <v>4</v>
      </c>
      <c r="G46" s="2">
        <f t="shared" si="6"/>
        <v>5</v>
      </c>
      <c r="H46" s="2">
        <f t="shared" si="6"/>
        <v>4.5</v>
      </c>
      <c r="I46" s="2">
        <f t="shared" si="6"/>
        <v>4</v>
      </c>
      <c r="J46" s="2">
        <f t="shared" si="6"/>
        <v>3</v>
      </c>
      <c r="K46" s="2">
        <f t="shared" si="6"/>
        <v>2.25</v>
      </c>
      <c r="L46" s="2">
        <f t="shared" si="6"/>
        <v>3.25</v>
      </c>
      <c r="M46" s="2">
        <f t="shared" si="6"/>
        <v>5</v>
      </c>
      <c r="N46" s="2">
        <f t="shared" si="6"/>
        <v>6</v>
      </c>
      <c r="O46" s="2">
        <f t="shared" si="6"/>
        <v>3.5</v>
      </c>
      <c r="P46" s="2">
        <f t="shared" si="6"/>
        <v>5.5</v>
      </c>
      <c r="Q46" s="2">
        <f t="shared" si="6"/>
        <v>8</v>
      </c>
      <c r="R46" s="2">
        <f t="shared" si="6"/>
        <v>7</v>
      </c>
      <c r="S46" s="2">
        <f t="shared" si="6"/>
        <v>7.5</v>
      </c>
      <c r="T46" s="2">
        <f t="shared" si="6"/>
        <v>8</v>
      </c>
      <c r="U46" s="2">
        <f t="shared" si="6"/>
        <v>8.5</v>
      </c>
      <c r="V46" s="66">
        <f t="shared" si="6"/>
        <v>4.9516129032258061</v>
      </c>
    </row>
    <row r="47" spans="1:22" ht="18.75" x14ac:dyDescent="0.3">
      <c r="A47" s="51" t="str">
        <f t="shared" si="5"/>
        <v>11 ème</v>
      </c>
      <c r="B47" s="38" t="s">
        <v>74</v>
      </c>
      <c r="C47" s="51" t="s">
        <v>109</v>
      </c>
      <c r="D47" s="51">
        <v>241519334</v>
      </c>
      <c r="E47" s="2">
        <f t="shared" si="6"/>
        <v>5.5</v>
      </c>
      <c r="F47" s="2">
        <f t="shared" si="6"/>
        <v>4</v>
      </c>
      <c r="G47" s="2">
        <f t="shared" si="6"/>
        <v>4</v>
      </c>
      <c r="H47" s="2">
        <f t="shared" si="6"/>
        <v>4</v>
      </c>
      <c r="I47" s="2">
        <f t="shared" si="6"/>
        <v>4</v>
      </c>
      <c r="J47" s="2">
        <f t="shared" si="6"/>
        <v>2</v>
      </c>
      <c r="K47" s="2">
        <f t="shared" si="6"/>
        <v>2.5</v>
      </c>
      <c r="L47" s="2">
        <f t="shared" si="6"/>
        <v>3</v>
      </c>
      <c r="M47" s="2">
        <f t="shared" si="6"/>
        <v>4</v>
      </c>
      <c r="N47" s="2">
        <f t="shared" si="6"/>
        <v>5.5</v>
      </c>
      <c r="O47" s="2">
        <f t="shared" si="6"/>
        <v>6.5</v>
      </c>
      <c r="P47" s="2">
        <f t="shared" si="6"/>
        <v>4.5</v>
      </c>
      <c r="Q47" s="2">
        <f t="shared" si="6"/>
        <v>8</v>
      </c>
      <c r="R47" s="2">
        <f t="shared" si="6"/>
        <v>7.5</v>
      </c>
      <c r="S47" s="2">
        <f t="shared" si="6"/>
        <v>5</v>
      </c>
      <c r="T47" s="2">
        <f t="shared" si="6"/>
        <v>8</v>
      </c>
      <c r="U47" s="2">
        <f t="shared" si="6"/>
        <v>8.5</v>
      </c>
      <c r="V47" s="66">
        <f t="shared" si="6"/>
        <v>4.709677419354839</v>
      </c>
    </row>
    <row r="48" spans="1:22" ht="18.75" x14ac:dyDescent="0.3">
      <c r="A48" s="51" t="str">
        <f t="shared" si="5"/>
        <v>6 ème</v>
      </c>
      <c r="B48" s="38" t="s">
        <v>75</v>
      </c>
      <c r="C48" s="51" t="s">
        <v>110</v>
      </c>
      <c r="D48" s="51">
        <v>241519384</v>
      </c>
      <c r="E48" s="2">
        <f t="shared" si="6"/>
        <v>7</v>
      </c>
      <c r="F48" s="2">
        <f t="shared" si="6"/>
        <v>3</v>
      </c>
      <c r="G48" s="2">
        <f t="shared" si="6"/>
        <v>5.5</v>
      </c>
      <c r="H48" s="2">
        <f t="shared" si="6"/>
        <v>4.5</v>
      </c>
      <c r="I48" s="2">
        <f t="shared" si="6"/>
        <v>5.5</v>
      </c>
      <c r="J48" s="2">
        <f t="shared" si="6"/>
        <v>4</v>
      </c>
      <c r="K48" s="2">
        <f t="shared" si="6"/>
        <v>1.5</v>
      </c>
      <c r="L48" s="2">
        <f t="shared" si="6"/>
        <v>2.5</v>
      </c>
      <c r="M48" s="2">
        <f t="shared" si="6"/>
        <v>4.5</v>
      </c>
      <c r="N48" s="2">
        <f t="shared" si="6"/>
        <v>4.5</v>
      </c>
      <c r="O48" s="2">
        <f t="shared" si="6"/>
        <v>5.5</v>
      </c>
      <c r="P48" s="2">
        <f t="shared" si="6"/>
        <v>5.5</v>
      </c>
      <c r="Q48" s="2">
        <f t="shared" si="6"/>
        <v>8</v>
      </c>
      <c r="R48" s="2">
        <f t="shared" si="6"/>
        <v>8.5</v>
      </c>
      <c r="S48" s="2">
        <f t="shared" si="6"/>
        <v>7.5</v>
      </c>
      <c r="T48" s="2">
        <f t="shared" si="6"/>
        <v>8</v>
      </c>
      <c r="U48" s="2">
        <f t="shared" si="6"/>
        <v>8.5</v>
      </c>
      <c r="V48" s="66">
        <f t="shared" si="6"/>
        <v>5.112903225806452</v>
      </c>
    </row>
    <row r="49" spans="1:22" ht="18.75" x14ac:dyDescent="0.3">
      <c r="A49" s="51" t="str">
        <f t="shared" si="5"/>
        <v>7 ème</v>
      </c>
      <c r="B49" s="38" t="s">
        <v>76</v>
      </c>
      <c r="C49" s="51" t="s">
        <v>110</v>
      </c>
      <c r="D49" s="51">
        <v>241519651</v>
      </c>
      <c r="E49" s="2">
        <f t="shared" ref="E49:V49" si="7">(E8+E28)/2</f>
        <v>7</v>
      </c>
      <c r="F49" s="2">
        <f t="shared" si="7"/>
        <v>4</v>
      </c>
      <c r="G49" s="2">
        <f t="shared" si="7"/>
        <v>6</v>
      </c>
      <c r="H49" s="2">
        <f t="shared" si="7"/>
        <v>4.5</v>
      </c>
      <c r="I49" s="2">
        <f t="shared" si="7"/>
        <v>5</v>
      </c>
      <c r="J49" s="2">
        <f t="shared" si="7"/>
        <v>4</v>
      </c>
      <c r="K49" s="2">
        <f t="shared" si="7"/>
        <v>2</v>
      </c>
      <c r="L49" s="2">
        <f t="shared" si="7"/>
        <v>1.5</v>
      </c>
      <c r="M49" s="2">
        <f t="shared" si="7"/>
        <v>4</v>
      </c>
      <c r="N49" s="2">
        <f t="shared" si="7"/>
        <v>5.5</v>
      </c>
      <c r="O49" s="2">
        <f t="shared" si="7"/>
        <v>4.5</v>
      </c>
      <c r="P49" s="2">
        <f t="shared" si="7"/>
        <v>6.5</v>
      </c>
      <c r="Q49" s="2">
        <f t="shared" si="7"/>
        <v>8</v>
      </c>
      <c r="R49" s="2">
        <f t="shared" si="7"/>
        <v>7.5</v>
      </c>
      <c r="S49" s="2">
        <f t="shared" si="7"/>
        <v>5</v>
      </c>
      <c r="T49" s="2">
        <f t="shared" si="7"/>
        <v>8</v>
      </c>
      <c r="U49" s="2">
        <f t="shared" si="7"/>
        <v>8.5</v>
      </c>
      <c r="V49" s="66">
        <f t="shared" si="7"/>
        <v>5.032258064516129</v>
      </c>
    </row>
    <row r="50" spans="1:22" ht="18.75" x14ac:dyDescent="0.3">
      <c r="A50" s="51" t="str">
        <f t="shared" si="5"/>
        <v>9 ème</v>
      </c>
      <c r="B50" s="38" t="s">
        <v>77</v>
      </c>
      <c r="C50" s="51" t="s">
        <v>109</v>
      </c>
      <c r="D50" s="51">
        <v>241519705</v>
      </c>
      <c r="E50" s="2">
        <f t="shared" ref="E50:V50" si="8">(E9+E29)/2</f>
        <v>7</v>
      </c>
      <c r="F50" s="2">
        <f t="shared" si="8"/>
        <v>4.5</v>
      </c>
      <c r="G50" s="2">
        <f t="shared" si="8"/>
        <v>3.5</v>
      </c>
      <c r="H50" s="2">
        <f t="shared" si="8"/>
        <v>5</v>
      </c>
      <c r="I50" s="2">
        <f t="shared" si="8"/>
        <v>5.5</v>
      </c>
      <c r="J50" s="2">
        <f t="shared" si="8"/>
        <v>4.5</v>
      </c>
      <c r="K50" s="2">
        <f t="shared" si="8"/>
        <v>1.5</v>
      </c>
      <c r="L50" s="2">
        <f t="shared" si="8"/>
        <v>2.5</v>
      </c>
      <c r="M50" s="2">
        <f t="shared" si="8"/>
        <v>4.5</v>
      </c>
      <c r="N50" s="2">
        <f t="shared" si="8"/>
        <v>5</v>
      </c>
      <c r="O50" s="2">
        <f t="shared" si="8"/>
        <v>4.5</v>
      </c>
      <c r="P50" s="2">
        <f t="shared" si="8"/>
        <v>6.5</v>
      </c>
      <c r="Q50" s="2">
        <f t="shared" si="8"/>
        <v>8</v>
      </c>
      <c r="R50" s="2">
        <f t="shared" si="8"/>
        <v>8</v>
      </c>
      <c r="S50" s="2">
        <f t="shared" si="8"/>
        <v>5.5</v>
      </c>
      <c r="T50" s="2">
        <f t="shared" si="8"/>
        <v>8</v>
      </c>
      <c r="U50" s="2">
        <f t="shared" si="8"/>
        <v>8.5</v>
      </c>
      <c r="V50" s="66">
        <f t="shared" si="8"/>
        <v>5.0161290322580649</v>
      </c>
    </row>
    <row r="51" spans="1:22" ht="18.75" x14ac:dyDescent="0.3">
      <c r="A51" s="51" t="str">
        <f t="shared" si="5"/>
        <v>3 ème</v>
      </c>
      <c r="B51" s="39" t="s">
        <v>111</v>
      </c>
      <c r="C51" s="55" t="s">
        <v>110</v>
      </c>
      <c r="D51" s="51">
        <v>240269499</v>
      </c>
      <c r="E51" s="2">
        <f t="shared" ref="E51:V53" si="9">(E10+E30)/2</f>
        <v>6.5</v>
      </c>
      <c r="F51" s="2">
        <f t="shared" si="9"/>
        <v>3.5</v>
      </c>
      <c r="G51" s="2">
        <f t="shared" si="9"/>
        <v>7</v>
      </c>
      <c r="H51" s="2">
        <f t="shared" si="9"/>
        <v>4.5</v>
      </c>
      <c r="I51" s="2">
        <f t="shared" si="9"/>
        <v>5</v>
      </c>
      <c r="J51" s="2">
        <f t="shared" si="9"/>
        <v>5.5</v>
      </c>
      <c r="K51" s="2">
        <f t="shared" si="9"/>
        <v>2</v>
      </c>
      <c r="L51" s="2">
        <f t="shared" si="9"/>
        <v>3.5</v>
      </c>
      <c r="M51" s="2">
        <f t="shared" si="9"/>
        <v>6</v>
      </c>
      <c r="N51" s="2">
        <f t="shared" si="9"/>
        <v>6</v>
      </c>
      <c r="O51" s="2">
        <f t="shared" si="9"/>
        <v>5.5</v>
      </c>
      <c r="P51" s="2">
        <f t="shared" si="9"/>
        <v>6.5</v>
      </c>
      <c r="Q51" s="2">
        <f t="shared" si="9"/>
        <v>8</v>
      </c>
      <c r="R51" s="2">
        <f t="shared" si="9"/>
        <v>7.5</v>
      </c>
      <c r="S51" s="2">
        <f t="shared" si="9"/>
        <v>6.5</v>
      </c>
      <c r="T51" s="2">
        <f t="shared" si="9"/>
        <v>8</v>
      </c>
      <c r="U51" s="2">
        <f t="shared" si="9"/>
        <v>8.5</v>
      </c>
      <c r="V51" s="66">
        <f t="shared" si="9"/>
        <v>5.532258064516129</v>
      </c>
    </row>
    <row r="52" spans="1:22" ht="18.75" x14ac:dyDescent="0.3">
      <c r="A52" s="51" t="str">
        <f t="shared" si="5"/>
        <v>14 ème</v>
      </c>
      <c r="B52" s="39" t="s">
        <v>85</v>
      </c>
      <c r="C52" s="55" t="s">
        <v>109</v>
      </c>
      <c r="D52" s="57">
        <v>242444388</v>
      </c>
      <c r="E52" s="2">
        <f t="shared" si="9"/>
        <v>0</v>
      </c>
      <c r="F52" s="2">
        <f t="shared" si="9"/>
        <v>0</v>
      </c>
      <c r="G52" s="2">
        <f t="shared" si="9"/>
        <v>0</v>
      </c>
      <c r="H52" s="2">
        <f t="shared" si="9"/>
        <v>0</v>
      </c>
      <c r="I52" s="2">
        <f t="shared" si="9"/>
        <v>0</v>
      </c>
      <c r="J52" s="2">
        <f t="shared" si="9"/>
        <v>0</v>
      </c>
      <c r="K52" s="2">
        <f t="shared" si="9"/>
        <v>0</v>
      </c>
      <c r="L52" s="2">
        <f t="shared" si="9"/>
        <v>0</v>
      </c>
      <c r="M52" s="2">
        <f t="shared" si="9"/>
        <v>0</v>
      </c>
      <c r="N52" s="2">
        <f t="shared" si="9"/>
        <v>0</v>
      </c>
      <c r="O52" s="2">
        <f t="shared" si="9"/>
        <v>0</v>
      </c>
      <c r="P52" s="2">
        <f t="shared" si="9"/>
        <v>0</v>
      </c>
      <c r="Q52" s="2">
        <f t="shared" si="9"/>
        <v>0</v>
      </c>
      <c r="R52" s="2">
        <f t="shared" si="9"/>
        <v>0</v>
      </c>
      <c r="S52" s="2">
        <f t="shared" si="9"/>
        <v>0</v>
      </c>
      <c r="T52" s="2">
        <f t="shared" si="9"/>
        <v>0</v>
      </c>
      <c r="U52" s="2">
        <f t="shared" si="9"/>
        <v>0</v>
      </c>
      <c r="V52" s="66">
        <f t="shared" si="9"/>
        <v>0</v>
      </c>
    </row>
    <row r="53" spans="1:22" ht="18.75" x14ac:dyDescent="0.3">
      <c r="A53" s="51" t="str">
        <f t="shared" si="5"/>
        <v>14 ème</v>
      </c>
      <c r="B53" s="39" t="s">
        <v>86</v>
      </c>
      <c r="C53" s="55" t="s">
        <v>109</v>
      </c>
      <c r="D53" s="59">
        <v>242474650</v>
      </c>
      <c r="E53" s="2">
        <f t="shared" si="9"/>
        <v>0</v>
      </c>
      <c r="F53" s="2">
        <f t="shared" si="9"/>
        <v>0</v>
      </c>
      <c r="G53" s="2">
        <f t="shared" si="9"/>
        <v>0</v>
      </c>
      <c r="H53" s="2">
        <f t="shared" si="9"/>
        <v>0</v>
      </c>
      <c r="I53" s="2">
        <f t="shared" si="9"/>
        <v>0</v>
      </c>
      <c r="J53" s="2">
        <f t="shared" si="9"/>
        <v>0</v>
      </c>
      <c r="K53" s="2">
        <f t="shared" si="9"/>
        <v>0</v>
      </c>
      <c r="L53" s="2">
        <f t="shared" si="9"/>
        <v>0</v>
      </c>
      <c r="M53" s="2">
        <f t="shared" si="9"/>
        <v>0</v>
      </c>
      <c r="N53" s="2">
        <f t="shared" si="9"/>
        <v>0</v>
      </c>
      <c r="O53" s="2">
        <f t="shared" si="9"/>
        <v>0</v>
      </c>
      <c r="P53" s="2">
        <f t="shared" si="9"/>
        <v>0</v>
      </c>
      <c r="Q53" s="2">
        <f t="shared" si="9"/>
        <v>0</v>
      </c>
      <c r="R53" s="2">
        <f t="shared" si="9"/>
        <v>0</v>
      </c>
      <c r="S53" s="2">
        <f t="shared" si="9"/>
        <v>0</v>
      </c>
      <c r="T53" s="2">
        <f t="shared" si="9"/>
        <v>0</v>
      </c>
      <c r="U53" s="2">
        <f t="shared" si="9"/>
        <v>0</v>
      </c>
      <c r="V53" s="66">
        <f t="shared" si="9"/>
        <v>0</v>
      </c>
    </row>
    <row r="54" spans="1:22" ht="18.75" x14ac:dyDescent="0.3">
      <c r="A54" s="51" t="str">
        <f t="shared" si="5"/>
        <v>7 ème</v>
      </c>
      <c r="B54" s="38" t="s">
        <v>78</v>
      </c>
      <c r="C54" s="51" t="s">
        <v>110</v>
      </c>
      <c r="D54" s="51">
        <v>241519780</v>
      </c>
      <c r="E54" s="2">
        <f t="shared" ref="E54:V56" si="10">(E13+E33)/2</f>
        <v>5.5</v>
      </c>
      <c r="F54" s="2">
        <f t="shared" si="10"/>
        <v>3</v>
      </c>
      <c r="G54" s="2">
        <f t="shared" si="10"/>
        <v>5.5</v>
      </c>
      <c r="H54" s="2">
        <f t="shared" si="10"/>
        <v>5.5</v>
      </c>
      <c r="I54" s="2">
        <f t="shared" si="10"/>
        <v>5</v>
      </c>
      <c r="J54" s="2">
        <f t="shared" si="10"/>
        <v>3.5</v>
      </c>
      <c r="K54" s="2">
        <f t="shared" si="10"/>
        <v>2.25</v>
      </c>
      <c r="L54" s="2">
        <f t="shared" si="10"/>
        <v>2</v>
      </c>
      <c r="M54" s="2">
        <f t="shared" si="10"/>
        <v>5</v>
      </c>
      <c r="N54" s="2">
        <f t="shared" si="10"/>
        <v>5</v>
      </c>
      <c r="O54" s="2">
        <f t="shared" si="10"/>
        <v>5.5</v>
      </c>
      <c r="P54" s="2">
        <f t="shared" si="10"/>
        <v>5</v>
      </c>
      <c r="Q54" s="2">
        <f t="shared" si="10"/>
        <v>8</v>
      </c>
      <c r="R54" s="2">
        <f t="shared" si="10"/>
        <v>8.5</v>
      </c>
      <c r="S54" s="2">
        <f t="shared" si="10"/>
        <v>7.5</v>
      </c>
      <c r="T54" s="2">
        <f t="shared" si="10"/>
        <v>8</v>
      </c>
      <c r="U54" s="2">
        <f t="shared" si="10"/>
        <v>8.5</v>
      </c>
      <c r="V54" s="66">
        <f t="shared" si="10"/>
        <v>5.032258064516129</v>
      </c>
    </row>
    <row r="55" spans="1:22" ht="18.75" x14ac:dyDescent="0.3">
      <c r="A55" s="51" t="str">
        <f t="shared" si="5"/>
        <v>5 ème</v>
      </c>
      <c r="B55" s="38" t="s">
        <v>79</v>
      </c>
      <c r="C55" s="51" t="s">
        <v>109</v>
      </c>
      <c r="D55" s="51">
        <v>241519858</v>
      </c>
      <c r="E55" s="2">
        <f t="shared" ref="E55:U56" si="11">(E14+E34)/2</f>
        <v>3.5</v>
      </c>
      <c r="F55" s="2">
        <f t="shared" si="11"/>
        <v>3.5</v>
      </c>
      <c r="G55" s="2">
        <f t="shared" si="11"/>
        <v>5.25</v>
      </c>
      <c r="H55" s="2">
        <f t="shared" si="11"/>
        <v>4.5</v>
      </c>
      <c r="I55" s="2">
        <f t="shared" si="11"/>
        <v>5.5</v>
      </c>
      <c r="J55" s="2">
        <f t="shared" si="11"/>
        <v>6.5</v>
      </c>
      <c r="K55" s="2">
        <f t="shared" si="11"/>
        <v>2.5</v>
      </c>
      <c r="L55" s="2">
        <f t="shared" si="11"/>
        <v>2.5</v>
      </c>
      <c r="M55" s="2">
        <f t="shared" si="11"/>
        <v>6</v>
      </c>
      <c r="N55" s="2">
        <f t="shared" si="11"/>
        <v>7.5</v>
      </c>
      <c r="O55" s="2">
        <f t="shared" si="11"/>
        <v>6.5</v>
      </c>
      <c r="P55" s="2">
        <f t="shared" si="11"/>
        <v>6.5</v>
      </c>
      <c r="Q55" s="2">
        <f t="shared" si="11"/>
        <v>8</v>
      </c>
      <c r="R55" s="2">
        <f t="shared" si="11"/>
        <v>8</v>
      </c>
      <c r="S55" s="2">
        <f t="shared" si="11"/>
        <v>6</v>
      </c>
      <c r="T55" s="2">
        <f t="shared" si="11"/>
        <v>8</v>
      </c>
      <c r="U55" s="2">
        <f t="shared" si="11"/>
        <v>8.5</v>
      </c>
      <c r="V55" s="66">
        <f t="shared" si="10"/>
        <v>5.403225806451613</v>
      </c>
    </row>
    <row r="56" spans="1:22" ht="18.75" x14ac:dyDescent="0.3">
      <c r="A56" s="51" t="str">
        <f t="shared" si="5"/>
        <v>14 ème</v>
      </c>
      <c r="B56" s="38" t="s">
        <v>80</v>
      </c>
      <c r="C56" s="51" t="s">
        <v>109</v>
      </c>
      <c r="D56" s="51">
        <v>241519910</v>
      </c>
      <c r="E56" s="2">
        <f t="shared" si="11"/>
        <v>0</v>
      </c>
      <c r="F56" s="2">
        <f t="shared" si="11"/>
        <v>0</v>
      </c>
      <c r="G56" s="2">
        <f t="shared" si="11"/>
        <v>0</v>
      </c>
      <c r="H56" s="2">
        <f t="shared" si="11"/>
        <v>0</v>
      </c>
      <c r="I56" s="2">
        <f t="shared" si="11"/>
        <v>0</v>
      </c>
      <c r="J56" s="2">
        <f t="shared" si="11"/>
        <v>0</v>
      </c>
      <c r="K56" s="2">
        <f t="shared" si="11"/>
        <v>0</v>
      </c>
      <c r="L56" s="2">
        <f t="shared" si="11"/>
        <v>0</v>
      </c>
      <c r="M56" s="2">
        <f t="shared" si="11"/>
        <v>0</v>
      </c>
      <c r="N56" s="2">
        <f t="shared" si="11"/>
        <v>0</v>
      </c>
      <c r="O56" s="2">
        <f t="shared" si="11"/>
        <v>0</v>
      </c>
      <c r="P56" s="2">
        <f t="shared" si="11"/>
        <v>0</v>
      </c>
      <c r="Q56" s="2">
        <f t="shared" si="11"/>
        <v>0</v>
      </c>
      <c r="R56" s="2">
        <f t="shared" si="11"/>
        <v>0</v>
      </c>
      <c r="S56" s="2">
        <f t="shared" si="11"/>
        <v>0</v>
      </c>
      <c r="T56" s="2">
        <f t="shared" si="11"/>
        <v>0</v>
      </c>
      <c r="U56" s="2">
        <f t="shared" si="11"/>
        <v>0</v>
      </c>
      <c r="V56" s="66">
        <f t="shared" si="10"/>
        <v>0</v>
      </c>
    </row>
    <row r="57" spans="1:22" ht="18.75" x14ac:dyDescent="0.3">
      <c r="A57" s="51" t="str">
        <f t="shared" si="5"/>
        <v>4 ème</v>
      </c>
      <c r="B57" s="39" t="s">
        <v>87</v>
      </c>
      <c r="C57" s="56" t="s">
        <v>109</v>
      </c>
      <c r="D57" s="59">
        <v>242369249</v>
      </c>
      <c r="E57" s="2">
        <f t="shared" ref="E57:V61" si="12">(E16+E36)/2</f>
        <v>6</v>
      </c>
      <c r="F57" s="2">
        <f t="shared" si="12"/>
        <v>3</v>
      </c>
      <c r="G57" s="2">
        <f t="shared" si="12"/>
        <v>6</v>
      </c>
      <c r="H57" s="2">
        <f t="shared" si="12"/>
        <v>5</v>
      </c>
      <c r="I57" s="2">
        <f t="shared" si="12"/>
        <v>5</v>
      </c>
      <c r="J57" s="2">
        <f t="shared" si="12"/>
        <v>4.5</v>
      </c>
      <c r="K57" s="2">
        <f t="shared" si="12"/>
        <v>2.5</v>
      </c>
      <c r="L57" s="2">
        <f t="shared" si="12"/>
        <v>3.5</v>
      </c>
      <c r="M57" s="2">
        <f t="shared" si="12"/>
        <v>5.5</v>
      </c>
      <c r="N57" s="2">
        <f t="shared" si="12"/>
        <v>6</v>
      </c>
      <c r="O57" s="2">
        <f t="shared" si="12"/>
        <v>5.5</v>
      </c>
      <c r="P57" s="2">
        <f t="shared" si="12"/>
        <v>6.5</v>
      </c>
      <c r="Q57" s="2">
        <f t="shared" si="12"/>
        <v>8</v>
      </c>
      <c r="R57" s="2">
        <f t="shared" si="12"/>
        <v>8.5</v>
      </c>
      <c r="S57" s="2">
        <f t="shared" si="12"/>
        <v>6.5</v>
      </c>
      <c r="T57" s="2">
        <f t="shared" si="12"/>
        <v>8</v>
      </c>
      <c r="U57" s="2">
        <f t="shared" si="12"/>
        <v>8.5</v>
      </c>
      <c r="V57" s="66">
        <f t="shared" si="12"/>
        <v>5.4516129032258061</v>
      </c>
    </row>
    <row r="58" spans="1:22" ht="18.75" x14ac:dyDescent="0.3">
      <c r="A58" s="51" t="str">
        <f t="shared" si="5"/>
        <v>2 ème</v>
      </c>
      <c r="B58" s="38" t="s">
        <v>81</v>
      </c>
      <c r="C58" s="51" t="s">
        <v>109</v>
      </c>
      <c r="D58" s="51">
        <v>241520152</v>
      </c>
      <c r="E58" s="2">
        <f t="shared" ref="E58:U58" si="13">(E17+E37)/2</f>
        <v>6</v>
      </c>
      <c r="F58" s="2">
        <f t="shared" si="13"/>
        <v>3.5</v>
      </c>
      <c r="G58" s="2">
        <f t="shared" si="13"/>
        <v>5.5</v>
      </c>
      <c r="H58" s="2">
        <f t="shared" si="13"/>
        <v>5</v>
      </c>
      <c r="I58" s="2">
        <f t="shared" si="13"/>
        <v>6</v>
      </c>
      <c r="J58" s="2">
        <f t="shared" si="13"/>
        <v>4</v>
      </c>
      <c r="K58" s="2">
        <f t="shared" si="13"/>
        <v>2.5</v>
      </c>
      <c r="L58" s="2">
        <f t="shared" si="13"/>
        <v>5</v>
      </c>
      <c r="M58" s="2">
        <f t="shared" si="13"/>
        <v>5</v>
      </c>
      <c r="N58" s="2">
        <f t="shared" si="13"/>
        <v>5.5</v>
      </c>
      <c r="O58" s="2">
        <f t="shared" si="13"/>
        <v>6.5</v>
      </c>
      <c r="P58" s="2">
        <f t="shared" si="13"/>
        <v>7</v>
      </c>
      <c r="Q58" s="2">
        <f t="shared" si="13"/>
        <v>8</v>
      </c>
      <c r="R58" s="2">
        <f t="shared" si="13"/>
        <v>8</v>
      </c>
      <c r="S58" s="2">
        <f t="shared" si="13"/>
        <v>7.5</v>
      </c>
      <c r="T58" s="2">
        <f t="shared" si="13"/>
        <v>8</v>
      </c>
      <c r="U58" s="2">
        <f t="shared" si="13"/>
        <v>8.5</v>
      </c>
      <c r="V58" s="66">
        <f t="shared" si="12"/>
        <v>5.596774193548387</v>
      </c>
    </row>
    <row r="59" spans="1:22" ht="18.75" x14ac:dyDescent="0.3">
      <c r="A59" s="51" t="str">
        <f t="shared" si="5"/>
        <v>1 er/ère</v>
      </c>
      <c r="B59" s="38" t="s">
        <v>82</v>
      </c>
      <c r="C59" s="51" t="s">
        <v>110</v>
      </c>
      <c r="D59" s="51">
        <v>241520204</v>
      </c>
      <c r="E59" s="2">
        <f t="shared" ref="E59:U59" si="14">(E18+E38)/2</f>
        <v>6</v>
      </c>
      <c r="F59" s="2">
        <f t="shared" si="14"/>
        <v>4.5</v>
      </c>
      <c r="G59" s="2">
        <f t="shared" si="14"/>
        <v>7.5</v>
      </c>
      <c r="H59" s="2">
        <f t="shared" si="14"/>
        <v>5</v>
      </c>
      <c r="I59" s="2">
        <f t="shared" si="14"/>
        <v>6.5</v>
      </c>
      <c r="J59" s="2">
        <f t="shared" si="14"/>
        <v>5.5</v>
      </c>
      <c r="K59" s="2">
        <f t="shared" si="14"/>
        <v>2.25</v>
      </c>
      <c r="L59" s="2">
        <f t="shared" si="14"/>
        <v>3.5</v>
      </c>
      <c r="M59" s="2">
        <f t="shared" si="14"/>
        <v>6.5</v>
      </c>
      <c r="N59" s="2">
        <f t="shared" si="14"/>
        <v>7</v>
      </c>
      <c r="O59" s="2">
        <f t="shared" si="14"/>
        <v>7</v>
      </c>
      <c r="P59" s="2">
        <f t="shared" si="14"/>
        <v>6</v>
      </c>
      <c r="Q59" s="2">
        <f t="shared" si="14"/>
        <v>8</v>
      </c>
      <c r="R59" s="2">
        <f t="shared" si="14"/>
        <v>8.5</v>
      </c>
      <c r="S59" s="2">
        <f t="shared" si="14"/>
        <v>7.5</v>
      </c>
      <c r="T59" s="2">
        <f t="shared" si="14"/>
        <v>8</v>
      </c>
      <c r="U59" s="2">
        <f t="shared" si="14"/>
        <v>8.5</v>
      </c>
      <c r="V59" s="66">
        <f t="shared" si="12"/>
        <v>5.9516129032258061</v>
      </c>
    </row>
    <row r="60" spans="1:22" ht="18.75" x14ac:dyDescent="0.3">
      <c r="A60" s="51" t="str">
        <f t="shared" si="5"/>
        <v>12 ème</v>
      </c>
      <c r="B60" s="38" t="s">
        <v>83</v>
      </c>
      <c r="C60" s="51" t="s">
        <v>110</v>
      </c>
      <c r="D60" s="51">
        <v>241520391</v>
      </c>
      <c r="E60" s="2">
        <f t="shared" ref="E60:U61" si="15">(E19+E39)/2</f>
        <v>4</v>
      </c>
      <c r="F60" s="2">
        <f t="shared" si="15"/>
        <v>3.5</v>
      </c>
      <c r="G60" s="2">
        <f t="shared" si="15"/>
        <v>3</v>
      </c>
      <c r="H60" s="2">
        <f t="shared" si="15"/>
        <v>4</v>
      </c>
      <c r="I60" s="2">
        <f t="shared" si="15"/>
        <v>3.5</v>
      </c>
      <c r="J60" s="2">
        <f t="shared" si="15"/>
        <v>3.5</v>
      </c>
      <c r="K60" s="2">
        <f t="shared" si="15"/>
        <v>2.5</v>
      </c>
      <c r="L60" s="2">
        <f t="shared" si="15"/>
        <v>1.5</v>
      </c>
      <c r="M60" s="2">
        <f t="shared" si="15"/>
        <v>4</v>
      </c>
      <c r="N60" s="2">
        <f t="shared" si="15"/>
        <v>5</v>
      </c>
      <c r="O60" s="2">
        <f t="shared" si="15"/>
        <v>5</v>
      </c>
      <c r="P60" s="2">
        <f t="shared" si="15"/>
        <v>5</v>
      </c>
      <c r="Q60" s="2">
        <f t="shared" si="15"/>
        <v>8</v>
      </c>
      <c r="R60" s="2">
        <f t="shared" si="15"/>
        <v>8</v>
      </c>
      <c r="S60" s="2">
        <f t="shared" si="15"/>
        <v>6</v>
      </c>
      <c r="T60" s="2">
        <f t="shared" si="15"/>
        <v>8</v>
      </c>
      <c r="U60" s="2">
        <f t="shared" si="15"/>
        <v>8.5</v>
      </c>
      <c r="V60" s="66">
        <f t="shared" si="12"/>
        <v>4.419354838709677</v>
      </c>
    </row>
    <row r="61" spans="1:22" ht="18.75" x14ac:dyDescent="0.3">
      <c r="A61" s="51" t="s">
        <v>127</v>
      </c>
      <c r="B61" s="40" t="s">
        <v>88</v>
      </c>
      <c r="C61" s="55" t="s">
        <v>110</v>
      </c>
      <c r="D61" s="60">
        <v>250315356</v>
      </c>
      <c r="E61" s="2">
        <f t="shared" si="15"/>
        <v>4</v>
      </c>
      <c r="F61" s="2">
        <f t="shared" si="15"/>
        <v>2.5</v>
      </c>
      <c r="G61" s="2">
        <f t="shared" si="15"/>
        <v>4</v>
      </c>
      <c r="H61" s="2">
        <f t="shared" si="15"/>
        <v>4</v>
      </c>
      <c r="I61" s="2">
        <f t="shared" si="15"/>
        <v>4</v>
      </c>
      <c r="J61" s="2">
        <f t="shared" si="15"/>
        <v>3</v>
      </c>
      <c r="K61" s="2">
        <f t="shared" si="15"/>
        <v>1.5</v>
      </c>
      <c r="L61" s="2">
        <f t="shared" si="15"/>
        <v>2.5</v>
      </c>
      <c r="M61" s="2">
        <f t="shared" si="15"/>
        <v>3.5</v>
      </c>
      <c r="N61" s="2">
        <f t="shared" si="15"/>
        <v>5.5</v>
      </c>
      <c r="O61" s="2">
        <f t="shared" si="15"/>
        <v>3.5</v>
      </c>
      <c r="P61" s="2">
        <f t="shared" si="15"/>
        <v>5</v>
      </c>
      <c r="Q61" s="2">
        <f t="shared" si="15"/>
        <v>8</v>
      </c>
      <c r="R61" s="2">
        <f t="shared" si="15"/>
        <v>7.5</v>
      </c>
      <c r="S61" s="2">
        <f t="shared" si="15"/>
        <v>5</v>
      </c>
      <c r="T61" s="2">
        <f t="shared" si="15"/>
        <v>8</v>
      </c>
      <c r="U61" s="2">
        <f t="shared" si="15"/>
        <v>8.5</v>
      </c>
      <c r="V61" s="66">
        <f t="shared" si="12"/>
        <v>4.225806451612903</v>
      </c>
    </row>
    <row r="62" spans="1:22" ht="18.75" x14ac:dyDescent="0.3">
      <c r="A62" s="9"/>
      <c r="B62" s="9" t="s">
        <v>18</v>
      </c>
      <c r="C62" s="9"/>
      <c r="D62" s="9"/>
      <c r="E62" s="8" t="e">
        <f t="shared" ref="E62:U62" si="16">(E21+E41)/2</f>
        <v>#DIV/0!</v>
      </c>
      <c r="F62" s="8" t="e">
        <f t="shared" si="16"/>
        <v>#DIV/0!</v>
      </c>
      <c r="G62" s="8" t="e">
        <f t="shared" si="16"/>
        <v>#DIV/0!</v>
      </c>
      <c r="H62" s="8" t="e">
        <f t="shared" si="16"/>
        <v>#DIV/0!</v>
      </c>
      <c r="I62" s="8" t="e">
        <f t="shared" si="16"/>
        <v>#DIV/0!</v>
      </c>
      <c r="J62" s="8" t="e">
        <f t="shared" si="16"/>
        <v>#DIV/0!</v>
      </c>
      <c r="K62" s="8" t="e">
        <f t="shared" si="16"/>
        <v>#DIV/0!</v>
      </c>
      <c r="L62" s="8" t="e">
        <f t="shared" si="16"/>
        <v>#DIV/0!</v>
      </c>
      <c r="M62" s="8" t="e">
        <f t="shared" si="16"/>
        <v>#DIV/0!</v>
      </c>
      <c r="N62" s="8" t="e">
        <f t="shared" si="16"/>
        <v>#DIV/0!</v>
      </c>
      <c r="O62" s="8" t="e">
        <f t="shared" si="16"/>
        <v>#DIV/0!</v>
      </c>
      <c r="P62" s="8" t="e">
        <f t="shared" si="16"/>
        <v>#DIV/0!</v>
      </c>
      <c r="Q62" s="8" t="e">
        <f t="shared" si="16"/>
        <v>#DIV/0!</v>
      </c>
      <c r="R62" s="8" t="e">
        <f t="shared" si="16"/>
        <v>#DIV/0!</v>
      </c>
      <c r="S62" s="8" t="e">
        <f t="shared" si="16"/>
        <v>#DIV/0!</v>
      </c>
      <c r="T62" s="8" t="e">
        <f t="shared" si="16"/>
        <v>#DIV/0!</v>
      </c>
      <c r="U62" s="8" t="e">
        <f t="shared" si="16"/>
        <v>#DIV/0!</v>
      </c>
      <c r="V62" s="66">
        <f>AVERAGE(V46:V61)</f>
        <v>4.152217741935484</v>
      </c>
    </row>
    <row r="66" spans="1:40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40" x14ac:dyDescent="0.25">
      <c r="B67" s="138" t="s">
        <v>124</v>
      </c>
      <c r="C67" s="138"/>
      <c r="D67" s="138"/>
      <c r="E67" s="138"/>
      <c r="F67" s="139"/>
      <c r="H67" s="138" t="s">
        <v>125</v>
      </c>
      <c r="I67" s="138"/>
      <c r="J67" s="138"/>
      <c r="K67" s="48"/>
      <c r="L67" s="48"/>
      <c r="M67" s="48"/>
      <c r="N67" s="48"/>
      <c r="O67" s="138" t="s">
        <v>126</v>
      </c>
      <c r="P67" s="138"/>
      <c r="Q67" s="138"/>
      <c r="R67" s="45"/>
      <c r="S67" s="45"/>
      <c r="T67" s="45"/>
      <c r="U67" s="45"/>
    </row>
    <row r="68" spans="1:40" x14ac:dyDescent="0.25">
      <c r="A68" s="41" t="s">
        <v>23</v>
      </c>
      <c r="B68" s="41" t="s">
        <v>0</v>
      </c>
      <c r="C68" s="41" t="s">
        <v>89</v>
      </c>
      <c r="D68" s="41" t="s">
        <v>90</v>
      </c>
      <c r="E68" s="46" t="s">
        <v>18</v>
      </c>
      <c r="F68" s="43"/>
      <c r="G68" s="47" t="s">
        <v>23</v>
      </c>
      <c r="H68" s="42" t="s">
        <v>0</v>
      </c>
      <c r="I68" s="42" t="s">
        <v>89</v>
      </c>
      <c r="J68" s="42" t="s">
        <v>90</v>
      </c>
      <c r="K68" s="140" t="s">
        <v>18</v>
      </c>
      <c r="L68" s="141"/>
      <c r="M68" s="1"/>
      <c r="N68" s="44" t="s">
        <v>23</v>
      </c>
      <c r="O68" s="44" t="s">
        <v>0</v>
      </c>
      <c r="P68" s="44" t="s">
        <v>89</v>
      </c>
      <c r="Q68" s="44" t="s">
        <v>90</v>
      </c>
      <c r="R68" s="137" t="s">
        <v>18</v>
      </c>
      <c r="S68" s="137"/>
      <c r="T68" s="133"/>
      <c r="U68" s="133"/>
    </row>
    <row r="69" spans="1:40" ht="15.75" x14ac:dyDescent="0.25">
      <c r="A69" s="51" t="s">
        <v>93</v>
      </c>
      <c r="B69" s="52" t="str">
        <f>INDEX(B5:B20,MATCH(A69:A84,A5:A20,0))</f>
        <v>NKENGUE Firming</v>
      </c>
      <c r="C69" s="52" t="str">
        <f t="shared" ref="C69:D71" si="17">INDEX(C5:C20,MATCH(A69:A84,A5:A20,0))</f>
        <v>M</v>
      </c>
      <c r="D69" s="57">
        <f t="shared" si="17"/>
        <v>241520204</v>
      </c>
      <c r="E69" s="51">
        <v>11.79</v>
      </c>
      <c r="G69" s="38" t="s">
        <v>93</v>
      </c>
      <c r="H69" s="61" t="e">
        <f>INDEX(B25:B40,MATCH(G69:G84,A25:A40,0))</f>
        <v>#N/A</v>
      </c>
      <c r="I69" s="61" t="e">
        <f>INDEX(C46:C61,MATCH(H69:H84,B46:B61,0))</f>
        <v>#N/A</v>
      </c>
      <c r="J69" s="62" t="e">
        <f>INDEX(D46:D61,MATCH(H69:H84,B46:B61,0))</f>
        <v>#N/A</v>
      </c>
      <c r="K69" s="130" t="e">
        <f>INDEX(V25:V40,MATCH(H69:H84,B25:B40,0))</f>
        <v>#N/A</v>
      </c>
      <c r="L69" s="131" t="e">
        <f t="shared" ref="L69" si="18">INDEX(F31:F42,MATCH(K69:K79,E31:E42,0))</f>
        <v>#N/A</v>
      </c>
      <c r="N69" s="38" t="s">
        <v>93</v>
      </c>
      <c r="O69" s="61" t="str">
        <f>INDEX(B46:B61,MATCH(N69:N84,A46:A61,0))</f>
        <v>NKENGUE Firming</v>
      </c>
      <c r="P69" s="62" t="str">
        <f t="shared" ref="P69:Q73" si="19">INDEX(C46:C61,MATCH(N69:N84,A46:A61,0))</f>
        <v>M</v>
      </c>
      <c r="Q69" s="62">
        <f t="shared" si="19"/>
        <v>241520204</v>
      </c>
      <c r="R69" s="130">
        <f>INDEX(V46:V61,MATCH(O69:O84,B46:B61,0))</f>
        <v>5.9516129032258061</v>
      </c>
      <c r="S69" s="131" t="e">
        <f t="shared" ref="S69:S84" si="20">INDEX(M31:M42,MATCH(R69:R79,L31:L42,0))</f>
        <v>#N/A</v>
      </c>
      <c r="U69" t="s">
        <v>18</v>
      </c>
      <c r="X69" s="3">
        <v>7.0833333333333339</v>
      </c>
      <c r="Y69" s="3">
        <v>5.8541666666666661</v>
      </c>
      <c r="Z69" s="3">
        <v>9.5694444444444446</v>
      </c>
      <c r="AA69" s="3">
        <v>9.0625</v>
      </c>
      <c r="AB69" s="3">
        <v>8.5833333333333321</v>
      </c>
      <c r="AC69" s="3">
        <v>8.0694444444444446</v>
      </c>
      <c r="AD69" s="3">
        <v>4.0486111111111107</v>
      </c>
      <c r="AE69" s="3">
        <v>4.6805555555555554</v>
      </c>
      <c r="AF69" s="3">
        <v>10.013888888888889</v>
      </c>
      <c r="AG69" s="3">
        <v>12.263888888888889</v>
      </c>
      <c r="AH69" s="3">
        <v>10</v>
      </c>
      <c r="AI69" s="3">
        <v>9.7222222222222214</v>
      </c>
      <c r="AJ69" s="3">
        <v>15.875</v>
      </c>
      <c r="AK69" s="3">
        <v>14.604166666666668</v>
      </c>
      <c r="AL69" s="3">
        <v>13.131944444444445</v>
      </c>
      <c r="AM69" s="3">
        <v>16</v>
      </c>
      <c r="AN69" s="3">
        <v>14.145833333333332</v>
      </c>
    </row>
    <row r="70" spans="1:40" ht="15.75" x14ac:dyDescent="0.25">
      <c r="A70" s="51" t="s">
        <v>94</v>
      </c>
      <c r="B70" s="52" t="str">
        <f>INDEX(B5:B20,MATCH(A70:A85,A5:A20,0))</f>
        <v>NKE TSALA Appolonie Andreina</v>
      </c>
      <c r="C70" s="52" t="str">
        <f t="shared" si="17"/>
        <v>F</v>
      </c>
      <c r="D70" s="57">
        <f t="shared" si="17"/>
        <v>241520152</v>
      </c>
      <c r="E70" s="51">
        <v>10.66</v>
      </c>
      <c r="G70" s="38" t="s">
        <v>94</v>
      </c>
      <c r="H70" s="61" t="e">
        <f>INDEX(B26:B41,MATCH(G70:G85,A26:A41,0))</f>
        <v>#N/A</v>
      </c>
      <c r="I70" s="61" t="e">
        <f>INDEX(C47:C62,MATCH(H70:H85,B47:B62,0))</f>
        <v>#N/A</v>
      </c>
      <c r="J70" s="62" t="e">
        <f>INDEX(D47:D62,MATCH(H70:H85,B47:B62,0))</f>
        <v>#N/A</v>
      </c>
      <c r="K70" s="130" t="e">
        <f>INDEX(V26:V41,MATCH(H70:H85,B26:B41,0))</f>
        <v>#N/A</v>
      </c>
      <c r="L70" s="131" t="e">
        <f t="shared" ref="L70:L81" si="21">INDEX(F32:F43,MATCH(K70:K80,E32:E43,0))</f>
        <v>#N/A</v>
      </c>
      <c r="N70" s="38" t="s">
        <v>94</v>
      </c>
      <c r="O70" s="61" t="str">
        <f>INDEX(B47:B62,MATCH(N70:N85,A47:A62,0))</f>
        <v>NKE TSALA Appolonie Andreina</v>
      </c>
      <c r="P70" s="62" t="str">
        <f t="shared" si="19"/>
        <v>F</v>
      </c>
      <c r="Q70" s="62">
        <f t="shared" si="19"/>
        <v>241520152</v>
      </c>
      <c r="R70" s="130">
        <f>INDEX(V47:V62,MATCH(O70:O85,B47:B62,0))</f>
        <v>5.596774193548387</v>
      </c>
      <c r="S70" s="131" t="e">
        <f t="shared" ref="S70:S78" si="22">INDEX(M32:M43,MATCH(R70:R80,L32:L43,0))</f>
        <v>#N/A</v>
      </c>
    </row>
    <row r="71" spans="1:40" ht="15.75" x14ac:dyDescent="0.25">
      <c r="A71" s="51" t="s">
        <v>95</v>
      </c>
      <c r="B71" s="52" t="str">
        <f>INDEX(B6:B21,MATCH(A71:A86,A6:A21,0))</f>
        <v>MANGWA NDJIKI Orline</v>
      </c>
      <c r="C71" s="52" t="str">
        <f t="shared" si="17"/>
        <v>M</v>
      </c>
      <c r="D71" s="57">
        <f t="shared" si="17"/>
        <v>240269499</v>
      </c>
      <c r="E71" s="51">
        <v>10.29</v>
      </c>
      <c r="G71" s="38" t="s">
        <v>95</v>
      </c>
      <c r="H71" s="61" t="e">
        <f>INDEX(B27:B42,MATCH(G71:G86,A27:A42,0))</f>
        <v>#N/A</v>
      </c>
      <c r="I71" s="61" t="e">
        <f>INDEX(C48:C63,MATCH(H71:H86,B48:B63,0))</f>
        <v>#N/A</v>
      </c>
      <c r="J71" s="62" t="e">
        <f>INDEX(D48:D63,MATCH(H71:H86,B48:B63,0))</f>
        <v>#N/A</v>
      </c>
      <c r="K71" s="130" t="e">
        <f>INDEX(V27:V42,MATCH(H71:H86,B27:B42,0))</f>
        <v>#N/A</v>
      </c>
      <c r="L71" s="131" t="e">
        <f t="shared" si="21"/>
        <v>#N/A</v>
      </c>
      <c r="N71" s="38" t="s">
        <v>95</v>
      </c>
      <c r="O71" s="61" t="str">
        <f>INDEX(B48:B63,MATCH(N71:N86,A48:A63,0))</f>
        <v>MANGWA NDJIKI Orline</v>
      </c>
      <c r="P71" s="62" t="str">
        <f t="shared" si="19"/>
        <v>M</v>
      </c>
      <c r="Q71" s="62">
        <f t="shared" si="19"/>
        <v>240269499</v>
      </c>
      <c r="R71" s="130">
        <f>INDEX(V48:V63,MATCH(O71:O86,B48:B63,0))</f>
        <v>5.532258064516129</v>
      </c>
      <c r="S71" s="131" t="e">
        <f t="shared" si="22"/>
        <v>#N/A</v>
      </c>
    </row>
    <row r="72" spans="1:40" ht="15.75" x14ac:dyDescent="0.25">
      <c r="A72" s="51" t="s">
        <v>96</v>
      </c>
      <c r="B72" s="52" t="str">
        <f>INDEX(B5:B20,MATCH(A72:A87,A5:A20,0))</f>
        <v>NGECHEJI FAUHOUE Davina Stella</v>
      </c>
      <c r="C72" s="52" t="str">
        <f>INDEX(C5:C20,MATCH(A72:A87,A5:A20,0))</f>
        <v>F</v>
      </c>
      <c r="D72" s="57">
        <f>INDEX(D5:D20,MATCH(B72:B87,B5:B20,0))</f>
        <v>242369249</v>
      </c>
      <c r="E72" s="51">
        <v>10.130000000000001</v>
      </c>
      <c r="G72" s="38" t="s">
        <v>96</v>
      </c>
      <c r="H72" s="61" t="e">
        <f>INDEX(B28:B43,MATCH(G72:G87,A28:A43,0))</f>
        <v>#N/A</v>
      </c>
      <c r="I72" s="61" t="e">
        <f>INDEX(C49:C64,MATCH(H72:H87,B49:B64,0))</f>
        <v>#N/A</v>
      </c>
      <c r="J72" s="62" t="e">
        <f>INDEX(D49:D64,MATCH(H72:H87,B49:B64,0))</f>
        <v>#N/A</v>
      </c>
      <c r="K72" s="130" t="e">
        <f>INDEX(V28:V43,MATCH(H72:H87,B28:B43,0))</f>
        <v>#N/A</v>
      </c>
      <c r="L72" s="131" t="e">
        <f t="shared" si="21"/>
        <v>#N/A</v>
      </c>
      <c r="N72" s="38" t="s">
        <v>96</v>
      </c>
      <c r="O72" s="61" t="str">
        <f>INDEX(B49:B64,MATCH(N72:N87,A49:A64,0))</f>
        <v>NGECHEJI FAUHOUE Davina Stella</v>
      </c>
      <c r="P72" s="62" t="str">
        <f t="shared" si="19"/>
        <v>F</v>
      </c>
      <c r="Q72" s="62">
        <f t="shared" si="19"/>
        <v>242369249</v>
      </c>
      <c r="R72" s="130">
        <f>INDEX(V49:V64,MATCH(O72:O87,B49:B64,0))</f>
        <v>5.4516129032258061</v>
      </c>
      <c r="S72" s="131" t="e">
        <f t="shared" si="22"/>
        <v>#N/A</v>
      </c>
    </row>
    <row r="73" spans="1:40" ht="15.75" x14ac:dyDescent="0.25">
      <c r="A73" s="51" t="s">
        <v>97</v>
      </c>
      <c r="B73" s="52" t="str">
        <f>INDEX(B8:B23,MATCH(A73:A88,A8:A23,0))</f>
        <v>MEWOULA NDJENGUE Serena Sylvana</v>
      </c>
      <c r="C73" s="52" t="str">
        <f>INDEX(C9:C24,MATCH(A73:A88,A9:A24,0))</f>
        <v>F</v>
      </c>
      <c r="D73" s="57">
        <f>INDEX(D9:D24,MATCH(B73:B88,B9:B24,0))</f>
        <v>241519858</v>
      </c>
      <c r="E73" s="51">
        <v>9.92</v>
      </c>
      <c r="G73" s="38" t="s">
        <v>97</v>
      </c>
      <c r="H73" s="61" t="e">
        <f>INDEX(B25:B40,MATCH(G73:G88,A25:A40,0))</f>
        <v>#N/A</v>
      </c>
      <c r="I73" s="61" t="e">
        <f>INDEX(C50:C65,MATCH(H73:H88,B42:B57,0))</f>
        <v>#N/A</v>
      </c>
      <c r="J73" s="62" t="e">
        <f>INDEX(D46:D61,MATCH(H73:H88,B46:B61,0))</f>
        <v>#N/A</v>
      </c>
      <c r="K73" s="130" t="e">
        <f>INDEX(V25:V40,MATCH(H73:H88,B25:B40,0))</f>
        <v>#N/A</v>
      </c>
      <c r="L73" s="131" t="e">
        <f t="shared" si="21"/>
        <v>#N/A</v>
      </c>
      <c r="N73" s="38" t="s">
        <v>97</v>
      </c>
      <c r="O73" s="61" t="str">
        <f>INDEX(B50:B65,MATCH(N73:N88,A50:A65,0))</f>
        <v>MEWOULA NDJENGUE Serena Sylvana</v>
      </c>
      <c r="P73" s="62" t="str">
        <f t="shared" si="19"/>
        <v>F</v>
      </c>
      <c r="Q73" s="62">
        <f t="shared" si="19"/>
        <v>241519858</v>
      </c>
      <c r="R73" s="130">
        <f>INDEX(V50:V65,MATCH(O73:O88,B50:B65,0))</f>
        <v>5.403225806451613</v>
      </c>
      <c r="S73" s="131" t="e">
        <f t="shared" si="22"/>
        <v>#N/A</v>
      </c>
    </row>
    <row r="74" spans="1:40" ht="15.75" x14ac:dyDescent="0.25">
      <c r="A74" s="51" t="s">
        <v>98</v>
      </c>
      <c r="B74" s="52" t="e">
        <f>INDEX(B9:B24,MATCH(A74:A89,A9:A24,0))</f>
        <v>#N/A</v>
      </c>
      <c r="C74" s="52" t="e">
        <f>INDEX(C10:C25,MATCH(A74:A89,A10:A25,0))</f>
        <v>#N/A</v>
      </c>
      <c r="D74" s="60" t="e">
        <f>INDEX(D10:D25,MATCH(B74:B89,B10:B25,0))</f>
        <v>#N/A</v>
      </c>
      <c r="E74" s="51">
        <v>9.39</v>
      </c>
      <c r="G74" s="38" t="s">
        <v>98</v>
      </c>
      <c r="H74" s="61" t="e">
        <f>INDEX(B26:B41,MATCH(G74:G89,A26:A41,0))</f>
        <v>#N/A</v>
      </c>
      <c r="I74" s="61" t="e">
        <f>INDEX(C51:C66,MATCH(H74:H89,B51:B66,0))</f>
        <v>#N/A</v>
      </c>
      <c r="J74" s="62" t="e">
        <f>INDEX(D51:D66,MATCH(H74:H89,B51:B66,0))</f>
        <v>#N/A</v>
      </c>
      <c r="K74" s="130" t="e">
        <f>INDEX(V26:V41,MATCH(H74:H89,B26:B41,0))</f>
        <v>#N/A</v>
      </c>
      <c r="L74" s="131" t="e">
        <f t="shared" ref="L74:L79" si="23">INDEX(F36:F47,MATCH(K74:K84,E36:E47,0))</f>
        <v>#N/A</v>
      </c>
      <c r="N74" s="38" t="s">
        <v>98</v>
      </c>
      <c r="O74" s="61" t="str">
        <f>INDEX(B46:B61,MATCH(N74:N89,A46:A61,0))</f>
        <v>BISSO MOTO Noah Nelly Angelo</v>
      </c>
      <c r="P74" s="62" t="str">
        <f>INDEX(C46:C61,MATCH(N74:N89,A46:A61,0))</f>
        <v>M</v>
      </c>
      <c r="Q74" s="62">
        <f>INDEX(D51:D66,MATCH(O74:O89,B46:B61,0))</f>
        <v>242474650</v>
      </c>
      <c r="R74" s="130">
        <f>INDEX(V46:V61,MATCH(O74:O89,B46:B61,0))</f>
        <v>5.112903225806452</v>
      </c>
      <c r="S74" s="131" t="e">
        <f t="shared" si="22"/>
        <v>#N/A</v>
      </c>
    </row>
    <row r="75" spans="1:40" ht="15.75" x14ac:dyDescent="0.25">
      <c r="A75" s="51" t="s">
        <v>99</v>
      </c>
      <c r="B75" s="52" t="str">
        <f>INDEX(B5:B20,MATCH(A75:A90,A5:A20,0))</f>
        <v>LOMA INEMB Lazare Dimitri</v>
      </c>
      <c r="C75" s="52" t="str">
        <f>INDEX(C5:C20,MATCH(A75:A90,A5:A20,0))</f>
        <v>M</v>
      </c>
      <c r="D75" s="57">
        <f>INDEX(D5:D20,MATCH(B75:B90,B5:B20,0))</f>
        <v>241519651</v>
      </c>
      <c r="E75" s="51">
        <v>8.8800000000000008</v>
      </c>
      <c r="G75" s="38" t="s">
        <v>99</v>
      </c>
      <c r="H75" s="61" t="e">
        <f>INDEX(B27:B42,MATCH(G75:G90,A27:A42,0))</f>
        <v>#N/A</v>
      </c>
      <c r="I75" s="61" t="e">
        <f>INDEX(C52:C67,MATCH(H75:H90,B46:B61,0))</f>
        <v>#N/A</v>
      </c>
      <c r="J75" s="62" t="e">
        <f>INDEX(D48:D63,MATCH(H75:H90,B48:B63,0))</f>
        <v>#N/A</v>
      </c>
      <c r="K75" s="130" t="e">
        <f>INDEX(V27:V42,MATCH(H75:H90,B27:B42,0))</f>
        <v>#N/A</v>
      </c>
      <c r="L75" s="131" t="e">
        <f t="shared" si="23"/>
        <v>#N/A</v>
      </c>
      <c r="N75" s="38" t="s">
        <v>99</v>
      </c>
      <c r="O75" s="61" t="str">
        <f>INDEX(B47:B62,MATCH(N75:N90,A47:A62,0))</f>
        <v>LOMA INEMB Lazare Dimitri</v>
      </c>
      <c r="P75" s="62" t="str">
        <f>INDEX(C46:C61,MATCH(N75:N90,A46:A61,0))</f>
        <v>M</v>
      </c>
      <c r="Q75" s="62">
        <f>INDEX(D52:D67,MATCH(O75:O90,B46:B61,0))</f>
        <v>241519858</v>
      </c>
      <c r="R75" s="130">
        <f>INDEX(V47:V62,MATCH(O75:O90,B47:B62,0))</f>
        <v>5.032258064516129</v>
      </c>
      <c r="S75" s="131" t="e">
        <f t="shared" ref="S75" si="24">INDEX(M37:M48,MATCH(R75:R85,L37:L48,0))</f>
        <v>#N/A</v>
      </c>
    </row>
    <row r="76" spans="1:40" ht="15.75" x14ac:dyDescent="0.25">
      <c r="A76" s="51" t="s">
        <v>100</v>
      </c>
      <c r="B76" s="52" t="e">
        <f>INDEX(B11:B26,MATCH(A76:A91,A11:A26,0))</f>
        <v>#N/A</v>
      </c>
      <c r="C76" s="52" t="e">
        <f>INDEX(C12:C27,MATCH(A76:A91,A12:A27,0))</f>
        <v>#N/A</v>
      </c>
      <c r="D76" s="60" t="e">
        <f>INDEX(D12:D27,MATCH(B76:B91,B12:B27,0))</f>
        <v>#N/A</v>
      </c>
      <c r="E76" s="51">
        <v>8.3800000000000008</v>
      </c>
      <c r="G76" s="38" t="s">
        <v>100</v>
      </c>
      <c r="H76" s="61" t="e">
        <f>INDEX(B28:B43,MATCH(G76:G91,A28:A43,0))</f>
        <v>#N/A</v>
      </c>
      <c r="I76" s="61" t="e">
        <f>INDEX(C46:C61,MATCH(H76:H91,B46:B61,0))</f>
        <v>#N/A</v>
      </c>
      <c r="J76" s="62" t="e">
        <f>INDEX(D49:D64,MATCH(H76:H91,B49:B64,0))</f>
        <v>#N/A</v>
      </c>
      <c r="K76" s="130" t="e">
        <f>INDEX(V28:V43,MATCH(H76:H91,B28:B43,0))</f>
        <v>#N/A</v>
      </c>
      <c r="L76" s="131" t="e">
        <f t="shared" si="23"/>
        <v>#N/A</v>
      </c>
      <c r="N76" s="38" t="s">
        <v>100</v>
      </c>
      <c r="O76" s="61" t="e">
        <f>INDEX(B48:B63,MATCH(N76:N91,A48:A63,0))</f>
        <v>#N/A</v>
      </c>
      <c r="P76" s="62" t="e">
        <f>INDEX(C46:C61,MATCH(N76:N91,A46:A61,0))</f>
        <v>#N/A</v>
      </c>
      <c r="Q76" s="62" t="e">
        <f>INDEX(D46:D61,MATCH(O76:O91,B46:B61,0))</f>
        <v>#N/A</v>
      </c>
      <c r="R76" s="130" t="e">
        <f>INDEX(V46:V61,MATCH(O76:O91,B46:B61,0))</f>
        <v>#N/A</v>
      </c>
      <c r="S76" s="131" t="e">
        <f t="shared" si="22"/>
        <v>#N/A</v>
      </c>
    </row>
    <row r="77" spans="1:40" ht="15.75" x14ac:dyDescent="0.25">
      <c r="A77" s="51" t="s">
        <v>101</v>
      </c>
      <c r="B77" s="52" t="str">
        <f>INDEX(B5:B20,MATCH(A77:A92,A5:A20,0))</f>
        <v>MADJI Ange Noëlle</v>
      </c>
      <c r="C77" s="52" t="str">
        <f>INDEX(C5:C20,MATCH(A77:A92,A5:A20,0))</f>
        <v>F</v>
      </c>
      <c r="D77" s="57" t="e">
        <f t="shared" ref="D77:D84" si="25">INDEX(D13:D28,MATCH(B77:B92,B13:B28,0))</f>
        <v>#N/A</v>
      </c>
      <c r="E77" s="52">
        <v>8.1999999999999993</v>
      </c>
      <c r="G77" s="38" t="s">
        <v>101</v>
      </c>
      <c r="H77" s="61" t="e">
        <f>INDEX(B25:B40,MATCH(G77:G92,A25:A40,0))</f>
        <v>#N/A</v>
      </c>
      <c r="I77" s="61" t="e">
        <f>INDEX(C47:C62,MATCH(H77:H92,B47:B62,0))</f>
        <v>#N/A</v>
      </c>
      <c r="J77" s="62" t="e">
        <f>INDEX(D46:D61,MATCH(H77:H92,B46:B61,0))</f>
        <v>#N/A</v>
      </c>
      <c r="K77" s="130" t="e">
        <f>INDEX(V25:V40,MATCH(H77:H92,B25:B40,0))</f>
        <v>#N/A</v>
      </c>
      <c r="L77" s="131" t="e">
        <f t="shared" si="23"/>
        <v>#N/A</v>
      </c>
      <c r="N77" s="38" t="s">
        <v>101</v>
      </c>
      <c r="O77" s="61" t="str">
        <f>INDEX(B49:B64,MATCH(N77:N92,A49:A64,0))</f>
        <v>MADJI Ange Noëlle</v>
      </c>
      <c r="P77" s="62" t="str">
        <f>INDEX(C46:C61,MATCH(N77:N92,A46:A61,0))</f>
        <v>F</v>
      </c>
      <c r="Q77" s="62">
        <f>INDEX(D54:D69,MATCH(O77:O92,B47:B62,0))</f>
        <v>242369249</v>
      </c>
      <c r="R77" s="130">
        <f>INDEX(V49:V64,MATCH(O77:O92,B49:B64,0))</f>
        <v>5.0161290322580649</v>
      </c>
      <c r="S77" s="131" t="e">
        <f t="shared" ref="S77" si="26">INDEX(M39:M50,MATCH(R77:R87,L39:L50,0))</f>
        <v>#N/A</v>
      </c>
    </row>
    <row r="78" spans="1:40" ht="15.75" x14ac:dyDescent="0.25">
      <c r="A78" s="51" t="s">
        <v>102</v>
      </c>
      <c r="B78" s="52" t="str">
        <f>INDEX(B5:B20,MATCH(A78:A93,A5:A20,0))</f>
        <v>APOULIE AYAMGMA Nesly Flavie</v>
      </c>
      <c r="C78" s="52" t="e">
        <f>INDEX(C14:C29,MATCH(A78:A93,A6:A21,0))</f>
        <v>#N/A</v>
      </c>
      <c r="D78" s="57">
        <f t="shared" si="25"/>
        <v>241519274</v>
      </c>
      <c r="E78" s="51">
        <v>8.1300000000000008</v>
      </c>
      <c r="G78" s="38" t="s">
        <v>102</v>
      </c>
      <c r="H78" s="61" t="e">
        <f>INDEX(B26:B41,MATCH(G78:G93,A26:A41,0))</f>
        <v>#N/A</v>
      </c>
      <c r="I78" s="61" t="e">
        <f>INDEX(C55:C70,MATCH(H78:H93,B55:B70,0))</f>
        <v>#N/A</v>
      </c>
      <c r="J78" s="62" t="e">
        <f>INDEX(D55:D70,MATCH(H78:H93,B55:B70,0))</f>
        <v>#N/A</v>
      </c>
      <c r="K78" s="130" t="e">
        <f>INDEX(V30:V45,MATCH(H78:H93,B30:B45,0))</f>
        <v>#N/A</v>
      </c>
      <c r="L78" s="131" t="e">
        <f t="shared" si="23"/>
        <v>#N/A</v>
      </c>
      <c r="N78" s="38" t="s">
        <v>128</v>
      </c>
      <c r="O78" s="51" t="s">
        <v>77</v>
      </c>
      <c r="P78" s="62" t="s">
        <v>109</v>
      </c>
      <c r="Q78" s="62">
        <f>INDEX(D46:D61,MATCH(O78:O93,B46:B61,0))</f>
        <v>241519705</v>
      </c>
      <c r="R78" s="130">
        <f>INDEX(V46:V61,MATCH(O78:O93,B46:B61,0))</f>
        <v>5.0161290322580649</v>
      </c>
      <c r="S78" s="131" t="e">
        <f t="shared" si="22"/>
        <v>#N/A</v>
      </c>
    </row>
    <row r="79" spans="1:40" ht="15.75" x14ac:dyDescent="0.25">
      <c r="A79" s="51" t="s">
        <v>103</v>
      </c>
      <c r="B79" s="52" t="str">
        <f>INDEX(B5:B20,MATCH(A79:A94,A5:A20,0))</f>
        <v>ASSENA Sandra Joana</v>
      </c>
      <c r="C79" s="52" t="str">
        <f>INDEX(C5:C20,MATCH(A79:A94,A5:A20,0))</f>
        <v>F</v>
      </c>
      <c r="D79" s="57">
        <f t="shared" si="25"/>
        <v>241519334</v>
      </c>
      <c r="E79" s="51">
        <v>8.06</v>
      </c>
      <c r="G79" s="38" t="s">
        <v>103</v>
      </c>
      <c r="H79" s="61" t="e">
        <f>INDEX(B27:B42,MATCH(G79:G94,A27:A42,0))</f>
        <v>#N/A</v>
      </c>
      <c r="I79" s="61" t="e">
        <f>INDEX(C49:C64,MATCH(H79:H94,B49:B64,0))</f>
        <v>#N/A</v>
      </c>
      <c r="J79" s="62" t="e">
        <f>INDEX(D52:D67,MATCH(H79:H94,B52:B67,0))</f>
        <v>#N/A</v>
      </c>
      <c r="K79" s="130" t="e">
        <f>INDEX(V31:V46,MATCH(H79:H94,B31:B46,0))</f>
        <v>#N/A</v>
      </c>
      <c r="L79" s="131" t="e">
        <f t="shared" si="23"/>
        <v>#N/A</v>
      </c>
      <c r="N79" s="38" t="s">
        <v>127</v>
      </c>
      <c r="O79" s="61" t="str">
        <f>INDEX(B46:B61,MATCH(N79:N94,A46:A61,0))</f>
        <v>SAMBOKOLONG AYE Narcisse Stève</v>
      </c>
      <c r="P79" s="62" t="str">
        <f>INDEX(C48:C63,MATCH(N79:N94,A48:A63,0))</f>
        <v>M</v>
      </c>
      <c r="Q79" s="62">
        <f>INDEX(D46:D61,MATCH(O79:O94,B46:B61,0))</f>
        <v>250315356</v>
      </c>
      <c r="R79" s="130">
        <f>INDEX(V46:V61,MATCH(O79:O94,B46:B61,0))</f>
        <v>4.225806451612903</v>
      </c>
      <c r="S79" s="131" t="e">
        <f t="shared" ref="S79" si="27">INDEX(M41:M52,MATCH(R79:R89,L41:L52,0))</f>
        <v>#N/A</v>
      </c>
    </row>
    <row r="80" spans="1:40" ht="15.75" x14ac:dyDescent="0.25">
      <c r="A80" s="51" t="s">
        <v>104</v>
      </c>
      <c r="B80" s="52" t="str">
        <f>INDEX(B5:B20,MATCH(A80:A95,A5:A20,0))</f>
        <v>POUGNONG Giberin</v>
      </c>
      <c r="C80" s="52" t="str">
        <f>INDEX(C5:C20,MATCH(A80:A95,A5:A20,0))</f>
        <v>M</v>
      </c>
      <c r="D80" s="57">
        <f t="shared" si="25"/>
        <v>241520391</v>
      </c>
      <c r="E80" s="51">
        <v>7.65</v>
      </c>
      <c r="G80" s="38" t="s">
        <v>104</v>
      </c>
      <c r="H80" s="61" t="e">
        <f>INDEX(B28:B43,MATCH(G80:G95,A28:A43,0))</f>
        <v>#N/A</v>
      </c>
      <c r="I80" s="61" t="e">
        <f>INDEX(C57:C72,MATCH(H80:H95,B57:B72,0))</f>
        <v>#N/A</v>
      </c>
      <c r="J80" s="62" t="e">
        <f>INDEX(D57:D72,MATCH(H80:H95,B57:B72,0))</f>
        <v>#N/A</v>
      </c>
      <c r="K80" s="130" t="e">
        <f>INDEX(V36:V51,MATCH(H80:H95,B36:B51,0))</f>
        <v>#N/A</v>
      </c>
      <c r="L80" s="131" t="e">
        <f t="shared" si="21"/>
        <v>#N/A</v>
      </c>
      <c r="N80" s="38" t="s">
        <v>104</v>
      </c>
      <c r="O80" s="61" t="str">
        <f>INDEX(B46:B61,MATCH(N80:N95,A46:A61,0))</f>
        <v>POUGNONG Giberin</v>
      </c>
      <c r="P80" s="62" t="str">
        <f>INDEX(C46:C61,MATCH(N80:N95,A46:A61,0))</f>
        <v>M</v>
      </c>
      <c r="Q80" s="62">
        <f>INDEX(D46:D61,MATCH(O80:O95,B46:B61,0))</f>
        <v>241520391</v>
      </c>
      <c r="R80" s="130">
        <f>INDEX(V46:V61,MATCH(O80:O95,B46:B61,0))</f>
        <v>4.419354838709677</v>
      </c>
      <c r="S80" s="131" t="e">
        <f t="shared" ref="S80" si="28">INDEX(M42:M53,MATCH(R80:R90,L42:L53,0))</f>
        <v>#N/A</v>
      </c>
    </row>
    <row r="81" spans="1:25" ht="15.75" x14ac:dyDescent="0.25">
      <c r="A81" s="53" t="s">
        <v>105</v>
      </c>
      <c r="B81" s="54" t="str">
        <f>INDEX(B5:B20,MATCH(A81:A96,A5:A20,0))</f>
        <v>SAMBOKOLONG AYE Narcisse Stève</v>
      </c>
      <c r="C81" s="54" t="str">
        <f>INDEX(C5:C20,MATCH(A81:A96,A5:A20,0))</f>
        <v>M</v>
      </c>
      <c r="D81" s="58">
        <f t="shared" si="25"/>
        <v>250315356</v>
      </c>
      <c r="E81" s="53" t="s">
        <v>112</v>
      </c>
      <c r="G81" s="38" t="s">
        <v>105</v>
      </c>
      <c r="H81" s="61" t="e">
        <f>INDEX(B25:B40,MATCH(G81:G96,A25:A40,0))</f>
        <v>#N/A</v>
      </c>
      <c r="I81" s="61" t="e">
        <f>INDEX(C46:C61,MATCH(H81:H96,B46:B61,0))</f>
        <v>#N/A</v>
      </c>
      <c r="J81" s="62" t="e">
        <f>INDEX(D46:D61,MATCH(H81:H96,B46:B61,0))</f>
        <v>#N/A</v>
      </c>
      <c r="K81" s="130" t="e">
        <f>INDEX(V37:V52,MATCH(H81:H96,B37:B52,0))</f>
        <v>#N/A</v>
      </c>
      <c r="L81" s="131" t="e">
        <f t="shared" si="21"/>
        <v>#N/A</v>
      </c>
      <c r="N81" s="38" t="s">
        <v>105</v>
      </c>
      <c r="O81" s="61" t="e">
        <f>INDEX(B58:B73,MATCH(N81:N96,A58:A73,0))</f>
        <v>#N/A</v>
      </c>
      <c r="P81" s="62" t="e">
        <f>INDEX(C58:C73,MATCH(N81:N96,A58:A73,0))</f>
        <v>#N/A</v>
      </c>
      <c r="Q81" s="62" t="e">
        <f>INDEX(D58:D73,MATCH(O81:O96,B58:B73,0))</f>
        <v>#N/A</v>
      </c>
      <c r="R81" s="130" t="e">
        <f>INDEX(V47:V62,MATCH(O81:O96,B47:B62,0))</f>
        <v>#N/A</v>
      </c>
      <c r="S81" s="131" t="e">
        <f t="shared" ref="S81" si="29">INDEX(M43:M54,MATCH(R81:R91,L43:L54,0))</f>
        <v>#N/A</v>
      </c>
    </row>
    <row r="82" spans="1:25" ht="15.75" x14ac:dyDescent="0.25">
      <c r="A82" s="53" t="s">
        <v>106</v>
      </c>
      <c r="B82" s="54" t="e">
        <f>INDEX(B5:B20,MATCH(A82:A97,A5:A20,0))</f>
        <v>#N/A</v>
      </c>
      <c r="C82" s="54" t="e">
        <f>INDEX(C5:C20,MATCH(A82:A97,A8:A23,0))</f>
        <v>#N/A</v>
      </c>
      <c r="D82" s="58" t="e">
        <f t="shared" si="25"/>
        <v>#N/A</v>
      </c>
      <c r="E82" s="53" t="s">
        <v>112</v>
      </c>
      <c r="G82" s="67" t="s">
        <v>106</v>
      </c>
      <c r="H82" s="68" t="e">
        <f>INDEX(B34:B49,MATCH(G82:G97,A34:A49,0))</f>
        <v>#N/A</v>
      </c>
      <c r="I82" s="68" t="e">
        <f t="shared" ref="I82" si="30">INDEX(C55:C60,MATCH(H82:H87,B55:B60,0))</f>
        <v>#N/A</v>
      </c>
      <c r="J82" s="69" t="e">
        <f t="shared" ref="J82" si="31">INDEX(D55:D60,MATCH(H82:H87,B55:B60,0))</f>
        <v>#N/A</v>
      </c>
      <c r="K82" s="128" t="s">
        <v>112</v>
      </c>
      <c r="L82" s="129" t="e">
        <f t="shared" ref="L82:L84" si="32">INDEX(F44:F55,MATCH(K82:K92,E44:E55,0))</f>
        <v>#N/A</v>
      </c>
      <c r="N82" s="71" t="s">
        <v>106</v>
      </c>
      <c r="O82" s="72" t="s">
        <v>80</v>
      </c>
      <c r="P82" s="72" t="s">
        <v>109</v>
      </c>
      <c r="Q82" s="73">
        <f>INDEX(D48:D63,MATCH(O82:O97,B48:B63,0))</f>
        <v>241519910</v>
      </c>
      <c r="R82" s="135" t="s">
        <v>112</v>
      </c>
      <c r="S82" s="136" t="e">
        <f t="shared" si="20"/>
        <v>#N/A</v>
      </c>
    </row>
    <row r="83" spans="1:25" ht="15.75" x14ac:dyDescent="0.25">
      <c r="A83" s="53" t="s">
        <v>107</v>
      </c>
      <c r="B83" s="54" t="e">
        <f>INDEX(B5:B20,MATCH(A83:A98,A5:A20,0))</f>
        <v>#N/A</v>
      </c>
      <c r="C83" s="54" t="e">
        <f>INDEX(C5:C20,MATCH(A83:A98,A5:A20,0))</f>
        <v>#N/A</v>
      </c>
      <c r="D83" s="58" t="e">
        <f t="shared" si="25"/>
        <v>#N/A</v>
      </c>
      <c r="E83" s="53" t="s">
        <v>112</v>
      </c>
      <c r="G83" s="67" t="s">
        <v>107</v>
      </c>
      <c r="H83" s="70" t="s">
        <v>85</v>
      </c>
      <c r="I83" s="68" t="s">
        <v>110</v>
      </c>
      <c r="J83" s="69">
        <v>242444388</v>
      </c>
      <c r="K83" s="128" t="s">
        <v>112</v>
      </c>
      <c r="L83" s="129" t="e">
        <f t="shared" si="32"/>
        <v>#N/A</v>
      </c>
      <c r="N83" s="71" t="s">
        <v>107</v>
      </c>
      <c r="O83" s="72" t="s">
        <v>85</v>
      </c>
      <c r="P83" s="72" t="s">
        <v>109</v>
      </c>
      <c r="Q83" s="73">
        <f>INDEX(D49:D64,MATCH(O83:O98,B49:B64,0))</f>
        <v>242444388</v>
      </c>
      <c r="R83" s="135" t="s">
        <v>112</v>
      </c>
      <c r="S83" s="136" t="e">
        <f t="shared" si="20"/>
        <v>#N/A</v>
      </c>
    </row>
    <row r="84" spans="1:25" ht="15.75" x14ac:dyDescent="0.25">
      <c r="A84" s="53" t="s">
        <v>108</v>
      </c>
      <c r="B84" s="54" t="e">
        <f>INDEX(B5:B20,MATCH(A84:A99,A5:A20,0))</f>
        <v>#N/A</v>
      </c>
      <c r="C84" s="54" t="e">
        <f>INDEX(C5:C20,MATCH(A84:A99,A5:A20,0))</f>
        <v>#N/A</v>
      </c>
      <c r="D84" s="58" t="e">
        <f t="shared" si="25"/>
        <v>#N/A</v>
      </c>
      <c r="E84" s="53" t="s">
        <v>112</v>
      </c>
      <c r="G84" s="67" t="s">
        <v>108</v>
      </c>
      <c r="H84" s="68" t="s">
        <v>86</v>
      </c>
      <c r="I84" s="68" t="s">
        <v>109</v>
      </c>
      <c r="J84" s="69">
        <v>242474650</v>
      </c>
      <c r="K84" s="128" t="s">
        <v>112</v>
      </c>
      <c r="L84" s="129" t="e">
        <f t="shared" si="32"/>
        <v>#N/A</v>
      </c>
      <c r="N84" s="71" t="s">
        <v>108</v>
      </c>
      <c r="O84" s="72" t="s">
        <v>86</v>
      </c>
      <c r="P84" s="72" t="s">
        <v>109</v>
      </c>
      <c r="Q84" s="73">
        <f>INDEX(D50:D65,MATCH(O84:O99,B50:B65,0))</f>
        <v>242474650</v>
      </c>
      <c r="R84" s="135" t="s">
        <v>112</v>
      </c>
      <c r="S84" s="136" t="e">
        <f t="shared" si="20"/>
        <v>#N/A</v>
      </c>
    </row>
    <row r="85" spans="1:25" ht="18.75" x14ac:dyDescent="0.3">
      <c r="A85" s="142" t="s">
        <v>22</v>
      </c>
      <c r="B85" s="142"/>
      <c r="C85" s="142"/>
      <c r="D85" s="143">
        <v>9.32</v>
      </c>
      <c r="E85" s="143"/>
      <c r="F85" s="45"/>
      <c r="G85" s="144" t="s">
        <v>22</v>
      </c>
      <c r="H85" s="144"/>
      <c r="I85" s="144"/>
      <c r="J85" s="144"/>
      <c r="K85" s="132"/>
      <c r="L85" s="132"/>
      <c r="M85" s="45"/>
      <c r="N85" s="127" t="s">
        <v>22</v>
      </c>
      <c r="O85" s="127"/>
      <c r="P85" s="127"/>
      <c r="Q85" s="127"/>
      <c r="R85" s="134"/>
      <c r="S85" s="134"/>
    </row>
    <row r="88" spans="1:25" x14ac:dyDescent="0.25">
      <c r="H88" s="82"/>
    </row>
    <row r="93" spans="1:25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6" spans="1:25" ht="15.75" x14ac:dyDescent="0.25">
      <c r="H96" s="9" t="s">
        <v>0</v>
      </c>
      <c r="I96" s="51" t="s">
        <v>73</v>
      </c>
      <c r="J96" s="51" t="s">
        <v>74</v>
      </c>
      <c r="K96" s="51" t="s">
        <v>75</v>
      </c>
      <c r="L96" s="51" t="s">
        <v>76</v>
      </c>
      <c r="M96" s="51" t="s">
        <v>77</v>
      </c>
      <c r="N96" s="55" t="s">
        <v>111</v>
      </c>
      <c r="O96" s="55" t="s">
        <v>85</v>
      </c>
      <c r="P96" s="55" t="s">
        <v>86</v>
      </c>
      <c r="Q96" s="51" t="s">
        <v>78</v>
      </c>
      <c r="R96" s="51" t="s">
        <v>79</v>
      </c>
      <c r="S96" s="51" t="s">
        <v>80</v>
      </c>
      <c r="T96" s="56" t="s">
        <v>87</v>
      </c>
      <c r="U96" s="51" t="s">
        <v>81</v>
      </c>
      <c r="V96" s="51" t="s">
        <v>82</v>
      </c>
      <c r="W96" s="51" t="s">
        <v>83</v>
      </c>
      <c r="X96" s="55" t="s">
        <v>88</v>
      </c>
      <c r="Y96" s="13" t="s">
        <v>22</v>
      </c>
    </row>
    <row r="97" spans="1:25" ht="15.75" x14ac:dyDescent="0.25">
      <c r="H97" s="9" t="s">
        <v>91</v>
      </c>
      <c r="I97" s="51" t="s">
        <v>109</v>
      </c>
      <c r="J97" s="51" t="s">
        <v>109</v>
      </c>
      <c r="K97" s="51" t="s">
        <v>110</v>
      </c>
      <c r="L97" s="51" t="s">
        <v>110</v>
      </c>
      <c r="M97" s="51" t="s">
        <v>109</v>
      </c>
      <c r="N97" s="55" t="s">
        <v>110</v>
      </c>
      <c r="O97" s="55" t="s">
        <v>109</v>
      </c>
      <c r="P97" s="55" t="s">
        <v>109</v>
      </c>
      <c r="Q97" s="51" t="s">
        <v>110</v>
      </c>
      <c r="R97" s="51" t="s">
        <v>109</v>
      </c>
      <c r="S97" s="51" t="s">
        <v>109</v>
      </c>
      <c r="T97" s="56" t="s">
        <v>109</v>
      </c>
      <c r="U97" s="51" t="s">
        <v>109</v>
      </c>
      <c r="V97" s="51" t="s">
        <v>110</v>
      </c>
      <c r="W97" s="51" t="s">
        <v>110</v>
      </c>
      <c r="X97" s="55" t="s">
        <v>110</v>
      </c>
      <c r="Y97" s="13"/>
    </row>
    <row r="98" spans="1:25" s="10" customFormat="1" ht="15.75" x14ac:dyDescent="0.25">
      <c r="A98"/>
      <c r="B98"/>
      <c r="C98"/>
      <c r="D98"/>
      <c r="E98"/>
      <c r="F98"/>
      <c r="G98"/>
      <c r="H98" s="9" t="s">
        <v>92</v>
      </c>
      <c r="I98" s="51">
        <v>241519274</v>
      </c>
      <c r="J98" s="51">
        <v>241519334</v>
      </c>
      <c r="K98" s="51">
        <v>241519384</v>
      </c>
      <c r="L98" s="51">
        <v>241519651</v>
      </c>
      <c r="M98" s="51">
        <v>241519705</v>
      </c>
      <c r="N98" s="51">
        <v>240269499</v>
      </c>
      <c r="O98" s="57">
        <v>242444388</v>
      </c>
      <c r="P98" s="59">
        <v>242474650</v>
      </c>
      <c r="Q98" s="51">
        <v>241519780</v>
      </c>
      <c r="R98" s="51">
        <v>241519858</v>
      </c>
      <c r="S98" s="51">
        <v>241519910</v>
      </c>
      <c r="T98" s="59">
        <v>242369249</v>
      </c>
      <c r="U98" s="51">
        <v>241520152</v>
      </c>
      <c r="V98" s="51">
        <v>241520204</v>
      </c>
      <c r="W98" s="51">
        <v>241520391</v>
      </c>
      <c r="X98" s="60">
        <v>250315356</v>
      </c>
      <c r="Y98" s="13"/>
    </row>
    <row r="99" spans="1:25" x14ac:dyDescent="0.25">
      <c r="H99" s="9" t="s">
        <v>1</v>
      </c>
      <c r="I99" s="2">
        <v>13</v>
      </c>
      <c r="J99" s="12">
        <v>11</v>
      </c>
      <c r="K99" s="2">
        <v>14</v>
      </c>
      <c r="L99" s="2">
        <v>14</v>
      </c>
      <c r="M99" s="2">
        <v>14</v>
      </c>
      <c r="N99" s="2">
        <v>13</v>
      </c>
      <c r="O99" s="2"/>
      <c r="P99" s="2"/>
      <c r="Q99" s="2">
        <v>11</v>
      </c>
      <c r="R99" s="2">
        <v>7</v>
      </c>
      <c r="S99" s="2"/>
      <c r="T99" s="2">
        <v>12</v>
      </c>
      <c r="U99" s="2">
        <v>12</v>
      </c>
      <c r="V99" s="2">
        <v>12</v>
      </c>
      <c r="W99" s="2">
        <v>8</v>
      </c>
      <c r="X99" s="2">
        <v>8</v>
      </c>
      <c r="Y99" s="14">
        <f t="shared" ref="Y99:Y115" si="33">AVERAGE(I99:X99)</f>
        <v>11.461538461538462</v>
      </c>
    </row>
    <row r="100" spans="1:25" x14ac:dyDescent="0.25">
      <c r="H100" s="9" t="s">
        <v>15</v>
      </c>
      <c r="I100" s="2">
        <v>8</v>
      </c>
      <c r="J100" s="12">
        <v>8</v>
      </c>
      <c r="K100" s="2">
        <v>6</v>
      </c>
      <c r="L100" s="2">
        <v>8</v>
      </c>
      <c r="M100" s="2">
        <v>9</v>
      </c>
      <c r="N100" s="2">
        <v>7</v>
      </c>
      <c r="O100" s="2"/>
      <c r="P100" s="2"/>
      <c r="Q100" s="2">
        <v>6</v>
      </c>
      <c r="R100" s="2">
        <v>7</v>
      </c>
      <c r="S100" s="2"/>
      <c r="T100" s="2">
        <v>6</v>
      </c>
      <c r="U100" s="2">
        <v>7</v>
      </c>
      <c r="V100" s="2">
        <v>9</v>
      </c>
      <c r="W100" s="2">
        <v>7</v>
      </c>
      <c r="X100" s="2">
        <v>5</v>
      </c>
      <c r="Y100" s="14">
        <f t="shared" si="33"/>
        <v>7.1538461538461542</v>
      </c>
    </row>
    <row r="101" spans="1:25" x14ac:dyDescent="0.25">
      <c r="H101" s="9" t="s">
        <v>16</v>
      </c>
      <c r="I101" s="2">
        <v>10</v>
      </c>
      <c r="J101" s="12">
        <v>8</v>
      </c>
      <c r="K101" s="2">
        <v>11</v>
      </c>
      <c r="L101" s="2">
        <v>12</v>
      </c>
      <c r="M101" s="2">
        <v>7</v>
      </c>
      <c r="N101" s="2">
        <v>14</v>
      </c>
      <c r="O101" s="2"/>
      <c r="P101" s="2"/>
      <c r="Q101" s="2">
        <v>11</v>
      </c>
      <c r="R101" s="2">
        <v>10.5</v>
      </c>
      <c r="S101" s="2"/>
      <c r="T101" s="2">
        <v>12</v>
      </c>
      <c r="U101" s="2">
        <v>11</v>
      </c>
      <c r="V101" s="2">
        <v>15</v>
      </c>
      <c r="W101" s="2">
        <v>6</v>
      </c>
      <c r="X101" s="2">
        <v>8</v>
      </c>
      <c r="Y101" s="14">
        <f t="shared" si="33"/>
        <v>10.423076923076923</v>
      </c>
    </row>
    <row r="102" spans="1:25" s="10" customFormat="1" x14ac:dyDescent="0.25">
      <c r="A102"/>
      <c r="B102"/>
      <c r="C102"/>
      <c r="D102"/>
      <c r="E102"/>
      <c r="F102"/>
      <c r="G102"/>
      <c r="H102" s="9" t="s">
        <v>9</v>
      </c>
      <c r="I102" s="2">
        <v>9</v>
      </c>
      <c r="J102" s="12">
        <v>8</v>
      </c>
      <c r="K102" s="2">
        <v>9</v>
      </c>
      <c r="L102" s="2">
        <v>9</v>
      </c>
      <c r="M102" s="2">
        <v>10</v>
      </c>
      <c r="N102" s="2">
        <v>9</v>
      </c>
      <c r="O102" s="2"/>
      <c r="P102" s="2"/>
      <c r="Q102" s="2">
        <v>11</v>
      </c>
      <c r="R102" s="2">
        <v>9</v>
      </c>
      <c r="S102" s="2"/>
      <c r="T102" s="2">
        <v>10</v>
      </c>
      <c r="U102" s="2">
        <v>10</v>
      </c>
      <c r="V102" s="2">
        <v>10</v>
      </c>
      <c r="W102" s="2">
        <v>8</v>
      </c>
      <c r="X102" s="2">
        <v>8</v>
      </c>
      <c r="Y102" s="14">
        <f t="shared" si="33"/>
        <v>9.2307692307692299</v>
      </c>
    </row>
    <row r="103" spans="1:25" x14ac:dyDescent="0.25">
      <c r="H103" s="9" t="s">
        <v>20</v>
      </c>
      <c r="I103" s="2">
        <v>8</v>
      </c>
      <c r="J103" s="12">
        <v>8</v>
      </c>
      <c r="K103" s="2">
        <v>11</v>
      </c>
      <c r="L103" s="2">
        <v>10</v>
      </c>
      <c r="M103" s="2">
        <v>11</v>
      </c>
      <c r="N103" s="2">
        <v>10</v>
      </c>
      <c r="O103" s="2"/>
      <c r="P103" s="2"/>
      <c r="Q103" s="2">
        <v>10</v>
      </c>
      <c r="R103" s="2">
        <v>11</v>
      </c>
      <c r="S103" s="2"/>
      <c r="T103" s="2">
        <v>10</v>
      </c>
      <c r="U103" s="2">
        <v>12</v>
      </c>
      <c r="V103" s="2">
        <v>13</v>
      </c>
      <c r="W103" s="2">
        <v>7</v>
      </c>
      <c r="X103" s="2">
        <v>8</v>
      </c>
      <c r="Y103" s="14">
        <f t="shared" si="33"/>
        <v>9.9230769230769234</v>
      </c>
    </row>
    <row r="104" spans="1:25" x14ac:dyDescent="0.25">
      <c r="H104" s="9" t="s">
        <v>10</v>
      </c>
      <c r="I104" s="2">
        <v>6</v>
      </c>
      <c r="J104" s="12">
        <v>4</v>
      </c>
      <c r="K104" s="2">
        <v>8</v>
      </c>
      <c r="L104" s="2">
        <v>8</v>
      </c>
      <c r="M104" s="2">
        <v>9</v>
      </c>
      <c r="N104" s="2">
        <v>11</v>
      </c>
      <c r="O104" s="2"/>
      <c r="P104" s="2"/>
      <c r="Q104" s="2">
        <v>7</v>
      </c>
      <c r="R104" s="2">
        <v>13</v>
      </c>
      <c r="S104" s="2"/>
      <c r="T104" s="2">
        <v>9</v>
      </c>
      <c r="U104" s="2">
        <v>8</v>
      </c>
      <c r="V104" s="2">
        <v>11</v>
      </c>
      <c r="W104" s="2">
        <v>7</v>
      </c>
      <c r="X104" s="2">
        <v>6</v>
      </c>
      <c r="Y104" s="14">
        <f t="shared" si="33"/>
        <v>8.2307692307692299</v>
      </c>
    </row>
    <row r="105" spans="1:25" x14ac:dyDescent="0.25">
      <c r="H105" s="9" t="s">
        <v>11</v>
      </c>
      <c r="I105" s="2">
        <v>4.5</v>
      </c>
      <c r="J105" s="12">
        <v>5</v>
      </c>
      <c r="K105" s="2">
        <v>3</v>
      </c>
      <c r="L105" s="2">
        <v>4</v>
      </c>
      <c r="M105" s="2">
        <v>3</v>
      </c>
      <c r="N105" s="2">
        <v>4</v>
      </c>
      <c r="O105" s="2"/>
      <c r="P105" s="2"/>
      <c r="Q105" s="2">
        <v>4.5</v>
      </c>
      <c r="R105" s="2">
        <v>5</v>
      </c>
      <c r="S105" s="2"/>
      <c r="T105" s="2">
        <v>5</v>
      </c>
      <c r="U105" s="2">
        <v>5</v>
      </c>
      <c r="V105" s="2">
        <v>4.5</v>
      </c>
      <c r="W105" s="2">
        <v>5</v>
      </c>
      <c r="X105" s="2">
        <v>3</v>
      </c>
      <c r="Y105" s="14">
        <f t="shared" si="33"/>
        <v>4.2692307692307692</v>
      </c>
    </row>
    <row r="106" spans="1:25" x14ac:dyDescent="0.25">
      <c r="C106" s="3"/>
      <c r="H106" s="9" t="s">
        <v>19</v>
      </c>
      <c r="I106" s="2">
        <v>6.5</v>
      </c>
      <c r="J106" s="12">
        <v>6</v>
      </c>
      <c r="K106" s="2">
        <v>5</v>
      </c>
      <c r="L106" s="2">
        <v>3</v>
      </c>
      <c r="M106" s="2">
        <v>5</v>
      </c>
      <c r="N106" s="2">
        <v>7</v>
      </c>
      <c r="O106" s="2"/>
      <c r="P106" s="2"/>
      <c r="Q106" s="2">
        <v>4</v>
      </c>
      <c r="R106" s="2">
        <v>5</v>
      </c>
      <c r="S106" s="2"/>
      <c r="T106" s="2">
        <v>7</v>
      </c>
      <c r="U106" s="2">
        <v>10</v>
      </c>
      <c r="V106" s="2">
        <v>7</v>
      </c>
      <c r="W106" s="2">
        <v>3</v>
      </c>
      <c r="X106" s="2">
        <v>5</v>
      </c>
      <c r="Y106" s="14">
        <f t="shared" si="33"/>
        <v>5.6538461538461542</v>
      </c>
    </row>
    <row r="107" spans="1:25" x14ac:dyDescent="0.25">
      <c r="C107" s="3"/>
      <c r="H107" s="9" t="s">
        <v>3</v>
      </c>
      <c r="I107" s="2">
        <v>10</v>
      </c>
      <c r="J107" s="12">
        <v>8</v>
      </c>
      <c r="K107" s="2">
        <v>9</v>
      </c>
      <c r="L107" s="2">
        <v>8</v>
      </c>
      <c r="M107" s="2">
        <v>9</v>
      </c>
      <c r="N107" s="2">
        <v>12</v>
      </c>
      <c r="O107" s="2"/>
      <c r="P107" s="2"/>
      <c r="Q107" s="2">
        <v>10</v>
      </c>
      <c r="R107" s="2">
        <v>12</v>
      </c>
      <c r="S107" s="2"/>
      <c r="T107" s="2">
        <v>11</v>
      </c>
      <c r="U107" s="2">
        <v>10</v>
      </c>
      <c r="V107" s="2">
        <v>13</v>
      </c>
      <c r="W107" s="2">
        <v>8</v>
      </c>
      <c r="X107" s="2">
        <v>7</v>
      </c>
      <c r="Y107" s="14">
        <f t="shared" si="33"/>
        <v>9.7692307692307701</v>
      </c>
    </row>
    <row r="108" spans="1:25" x14ac:dyDescent="0.25">
      <c r="C108" s="3"/>
      <c r="H108" s="9" t="s">
        <v>4</v>
      </c>
      <c r="I108" s="2">
        <v>12</v>
      </c>
      <c r="J108" s="12">
        <v>11</v>
      </c>
      <c r="K108" s="2">
        <v>9</v>
      </c>
      <c r="L108" s="2">
        <v>11</v>
      </c>
      <c r="M108" s="2">
        <v>10</v>
      </c>
      <c r="N108" s="2">
        <v>12</v>
      </c>
      <c r="O108" s="2"/>
      <c r="P108" s="2"/>
      <c r="Q108" s="2">
        <v>10</v>
      </c>
      <c r="R108" s="2">
        <v>15</v>
      </c>
      <c r="S108" s="2"/>
      <c r="T108" s="2">
        <v>12</v>
      </c>
      <c r="U108" s="2">
        <v>11</v>
      </c>
      <c r="V108" s="2">
        <v>14</v>
      </c>
      <c r="W108" s="2">
        <v>10</v>
      </c>
      <c r="X108" s="2">
        <v>11</v>
      </c>
      <c r="Y108" s="14">
        <f t="shared" si="33"/>
        <v>11.384615384615385</v>
      </c>
    </row>
    <row r="109" spans="1:25" x14ac:dyDescent="0.25">
      <c r="C109" s="3"/>
      <c r="H109" s="9" t="s">
        <v>12</v>
      </c>
      <c r="I109" s="2">
        <v>7</v>
      </c>
      <c r="J109" s="12">
        <v>13</v>
      </c>
      <c r="K109" s="2">
        <v>11</v>
      </c>
      <c r="L109" s="2">
        <v>9</v>
      </c>
      <c r="M109" s="2">
        <v>9</v>
      </c>
      <c r="N109" s="2">
        <v>11</v>
      </c>
      <c r="O109" s="2"/>
      <c r="P109" s="2"/>
      <c r="Q109" s="2">
        <v>11</v>
      </c>
      <c r="R109" s="2">
        <v>13</v>
      </c>
      <c r="S109" s="2"/>
      <c r="T109" s="2">
        <v>11</v>
      </c>
      <c r="U109" s="2">
        <v>13</v>
      </c>
      <c r="V109" s="2">
        <v>14</v>
      </c>
      <c r="W109" s="2">
        <v>10</v>
      </c>
      <c r="X109" s="2">
        <v>7</v>
      </c>
      <c r="Y109" s="14">
        <f t="shared" si="33"/>
        <v>10.692307692307692</v>
      </c>
    </row>
    <row r="110" spans="1:25" x14ac:dyDescent="0.25">
      <c r="C110" s="3"/>
      <c r="H110" s="9" t="s">
        <v>13</v>
      </c>
      <c r="I110" s="2">
        <v>11</v>
      </c>
      <c r="J110" s="12">
        <v>9</v>
      </c>
      <c r="K110" s="2">
        <v>11</v>
      </c>
      <c r="L110" s="2">
        <v>13</v>
      </c>
      <c r="M110" s="2">
        <v>13</v>
      </c>
      <c r="N110" s="2">
        <v>13</v>
      </c>
      <c r="O110" s="2"/>
      <c r="P110" s="2"/>
      <c r="Q110" s="2">
        <v>10</v>
      </c>
      <c r="R110" s="2">
        <v>13</v>
      </c>
      <c r="S110" s="2"/>
      <c r="T110" s="2">
        <v>13</v>
      </c>
      <c r="U110" s="2">
        <v>14</v>
      </c>
      <c r="V110" s="2">
        <v>12</v>
      </c>
      <c r="W110" s="2">
        <v>10</v>
      </c>
      <c r="X110" s="2">
        <v>10</v>
      </c>
      <c r="Y110" s="14">
        <f t="shared" si="33"/>
        <v>11.692307692307692</v>
      </c>
    </row>
    <row r="111" spans="1:25" x14ac:dyDescent="0.25">
      <c r="C111" s="3"/>
      <c r="H111" s="9" t="s">
        <v>5</v>
      </c>
      <c r="I111" s="2">
        <v>16</v>
      </c>
      <c r="J111" s="2">
        <v>16</v>
      </c>
      <c r="K111" s="2">
        <v>16</v>
      </c>
      <c r="L111" s="2">
        <v>16</v>
      </c>
      <c r="M111" s="2">
        <v>16</v>
      </c>
      <c r="N111" s="2">
        <v>16</v>
      </c>
      <c r="O111" s="2"/>
      <c r="P111" s="2"/>
      <c r="Q111" s="2">
        <v>16</v>
      </c>
      <c r="R111" s="2">
        <v>16</v>
      </c>
      <c r="S111" s="2"/>
      <c r="T111" s="2">
        <v>16</v>
      </c>
      <c r="U111" s="2">
        <v>16</v>
      </c>
      <c r="V111" s="2">
        <v>16</v>
      </c>
      <c r="W111" s="2">
        <v>16</v>
      </c>
      <c r="X111" s="2">
        <v>16</v>
      </c>
      <c r="Y111" s="14">
        <f t="shared" si="33"/>
        <v>16</v>
      </c>
    </row>
    <row r="112" spans="1:25" x14ac:dyDescent="0.25">
      <c r="C112" s="3"/>
      <c r="H112" s="9" t="s">
        <v>6</v>
      </c>
      <c r="I112" s="2">
        <v>14</v>
      </c>
      <c r="J112" s="12">
        <v>15</v>
      </c>
      <c r="K112" s="2">
        <v>17</v>
      </c>
      <c r="L112" s="2">
        <v>15</v>
      </c>
      <c r="M112" s="2">
        <v>16</v>
      </c>
      <c r="N112" s="2">
        <v>15</v>
      </c>
      <c r="O112" s="2"/>
      <c r="P112" s="2"/>
      <c r="Q112" s="2">
        <v>17</v>
      </c>
      <c r="R112" s="2">
        <v>16</v>
      </c>
      <c r="S112" s="2"/>
      <c r="T112" s="2">
        <v>17</v>
      </c>
      <c r="U112" s="2">
        <v>16</v>
      </c>
      <c r="V112" s="2">
        <v>17</v>
      </c>
      <c r="W112" s="2">
        <v>16</v>
      </c>
      <c r="X112" s="2">
        <v>15</v>
      </c>
      <c r="Y112" s="14">
        <f t="shared" si="33"/>
        <v>15.846153846153847</v>
      </c>
    </row>
    <row r="113" spans="1:25" x14ac:dyDescent="0.25">
      <c r="C113" s="3"/>
      <c r="H113" s="9" t="s">
        <v>7</v>
      </c>
      <c r="I113" s="2">
        <v>15</v>
      </c>
      <c r="J113" s="12">
        <v>10</v>
      </c>
      <c r="K113" s="2">
        <v>15</v>
      </c>
      <c r="L113" s="2">
        <v>10</v>
      </c>
      <c r="M113" s="2">
        <v>11</v>
      </c>
      <c r="N113" s="2">
        <v>13</v>
      </c>
      <c r="O113" s="2"/>
      <c r="P113" s="2"/>
      <c r="Q113" s="2">
        <v>15</v>
      </c>
      <c r="R113" s="2">
        <v>12</v>
      </c>
      <c r="S113" s="2"/>
      <c r="T113" s="2">
        <v>13</v>
      </c>
      <c r="U113" s="2">
        <v>15</v>
      </c>
      <c r="V113" s="2">
        <v>15</v>
      </c>
      <c r="W113" s="2">
        <v>12</v>
      </c>
      <c r="X113" s="2">
        <v>10</v>
      </c>
      <c r="Y113" s="14">
        <f t="shared" si="33"/>
        <v>12.76923076923077</v>
      </c>
    </row>
    <row r="114" spans="1:25" x14ac:dyDescent="0.25">
      <c r="C114" s="3"/>
      <c r="H114" s="9" t="s">
        <v>8</v>
      </c>
      <c r="I114" s="2">
        <v>16</v>
      </c>
      <c r="J114" s="2">
        <v>16</v>
      </c>
      <c r="K114" s="2">
        <v>16</v>
      </c>
      <c r="L114" s="2">
        <v>16</v>
      </c>
      <c r="M114" s="2">
        <v>16</v>
      </c>
      <c r="N114" s="2">
        <v>16</v>
      </c>
      <c r="O114" s="2"/>
      <c r="P114" s="2"/>
      <c r="Q114" s="2">
        <v>16</v>
      </c>
      <c r="R114" s="2">
        <v>16</v>
      </c>
      <c r="S114" s="2"/>
      <c r="T114" s="2">
        <v>16</v>
      </c>
      <c r="U114" s="2">
        <v>16</v>
      </c>
      <c r="V114" s="2">
        <v>16</v>
      </c>
      <c r="W114" s="2">
        <v>16</v>
      </c>
      <c r="X114" s="2">
        <v>16</v>
      </c>
      <c r="Y114" s="14">
        <f t="shared" si="33"/>
        <v>16</v>
      </c>
    </row>
    <row r="115" spans="1:25" x14ac:dyDescent="0.25">
      <c r="C115" s="3"/>
      <c r="H115" s="9" t="s">
        <v>14</v>
      </c>
      <c r="I115" s="2">
        <v>17</v>
      </c>
      <c r="J115" s="2">
        <v>17</v>
      </c>
      <c r="K115" s="2">
        <v>17</v>
      </c>
      <c r="L115" s="2">
        <v>17</v>
      </c>
      <c r="M115" s="2">
        <v>17</v>
      </c>
      <c r="N115" s="2">
        <v>17</v>
      </c>
      <c r="O115" s="2"/>
      <c r="P115" s="2"/>
      <c r="Q115" s="2">
        <v>17</v>
      </c>
      <c r="R115" s="2">
        <v>17</v>
      </c>
      <c r="S115" s="2"/>
      <c r="T115" s="2">
        <v>17</v>
      </c>
      <c r="U115" s="2">
        <v>17</v>
      </c>
      <c r="V115" s="2">
        <v>17</v>
      </c>
      <c r="W115" s="2">
        <v>17</v>
      </c>
      <c r="X115" s="2">
        <v>17</v>
      </c>
      <c r="Y115" s="14">
        <f t="shared" si="33"/>
        <v>17</v>
      </c>
    </row>
    <row r="116" spans="1:25" x14ac:dyDescent="0.25">
      <c r="C116" s="3"/>
    </row>
    <row r="117" spans="1:25" x14ac:dyDescent="0.25">
      <c r="C117" s="3"/>
    </row>
    <row r="118" spans="1:25" x14ac:dyDescent="0.25">
      <c r="C118" s="3"/>
    </row>
    <row r="119" spans="1:25" s="10" customFormat="1" x14ac:dyDescent="0.25">
      <c r="A119"/>
      <c r="B119"/>
      <c r="C119" s="3"/>
      <c r="D119"/>
      <c r="E119"/>
    </row>
    <row r="120" spans="1:25" x14ac:dyDescent="0.25">
      <c r="C120" s="3"/>
    </row>
    <row r="121" spans="1:25" x14ac:dyDescent="0.25">
      <c r="C121" s="3"/>
    </row>
    <row r="122" spans="1:25" x14ac:dyDescent="0.25">
      <c r="C122" s="3"/>
    </row>
  </sheetData>
  <mergeCells count="44">
    <mergeCell ref="A85:C85"/>
    <mergeCell ref="D85:E85"/>
    <mergeCell ref="G85:J85"/>
    <mergeCell ref="K70:L70"/>
    <mergeCell ref="K71:L71"/>
    <mergeCell ref="K72:L72"/>
    <mergeCell ref="K79:L79"/>
    <mergeCell ref="K78:L78"/>
    <mergeCell ref="K77:L77"/>
    <mergeCell ref="K76:L76"/>
    <mergeCell ref="K75:L75"/>
    <mergeCell ref="K74:L74"/>
    <mergeCell ref="K73:L73"/>
    <mergeCell ref="R70:S70"/>
    <mergeCell ref="R71:S71"/>
    <mergeCell ref="R72:S72"/>
    <mergeCell ref="B67:F67"/>
    <mergeCell ref="K68:L68"/>
    <mergeCell ref="K69:L69"/>
    <mergeCell ref="O67:Q67"/>
    <mergeCell ref="H67:J67"/>
    <mergeCell ref="T68:U68"/>
    <mergeCell ref="R85:S85"/>
    <mergeCell ref="R83:S83"/>
    <mergeCell ref="R82:S82"/>
    <mergeCell ref="R81:S81"/>
    <mergeCell ref="R80:S80"/>
    <mergeCell ref="R73:S73"/>
    <mergeCell ref="R84:S84"/>
    <mergeCell ref="R79:S79"/>
    <mergeCell ref="R78:S78"/>
    <mergeCell ref="R77:S77"/>
    <mergeCell ref="R76:S76"/>
    <mergeCell ref="R75:S75"/>
    <mergeCell ref="R74:S74"/>
    <mergeCell ref="R68:S68"/>
    <mergeCell ref="R69:S69"/>
    <mergeCell ref="N85:Q85"/>
    <mergeCell ref="K83:L83"/>
    <mergeCell ref="K82:L82"/>
    <mergeCell ref="K81:L81"/>
    <mergeCell ref="K80:L80"/>
    <mergeCell ref="K85:L85"/>
    <mergeCell ref="K84:L84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BORDEREAU!V25:V25</xm:f>
              <xm:sqref>B25</xm:sqref>
            </x14:sparkline>
            <x14:sparkline>
              <xm:f>BORDEREAU!V26:V26</xm:f>
              <xm:sqref>B26</xm:sqref>
            </x14:sparkline>
            <x14:sparkline>
              <xm:f>BORDEREAU!V27:V27</xm:f>
              <xm:sqref>B27</xm:sqref>
            </x14:sparkline>
            <x14:sparkline>
              <xm:f>BORDEREAU!V28:V28</xm:f>
              <xm:sqref>B28</xm:sqref>
            </x14:sparkline>
            <x14:sparkline>
              <xm:f>BORDEREAU!V29:V29</xm:f>
              <xm:sqref>B29</xm:sqref>
            </x14:sparkline>
            <x14:sparkline>
              <xm:f>BORDEREAU!V30:V30</xm:f>
              <xm:sqref>B30</xm:sqref>
            </x14:sparkline>
            <x14:sparkline>
              <xm:f>BORDEREAU!V31:V31</xm:f>
              <xm:sqref>B31</xm:sqref>
            </x14:sparkline>
            <x14:sparkline>
              <xm:f>BORDEREAU!V32:V32</xm:f>
              <xm:sqref>B32</xm:sqref>
            </x14:sparkline>
            <x14:sparkline>
              <xm:f>BORDEREAU!V33:V33</xm:f>
              <xm:sqref>B33</xm:sqref>
            </x14:sparkline>
            <x14:sparkline>
              <xm:f>BORDEREAU!V34:V34</xm:f>
              <xm:sqref>B34</xm:sqref>
            </x14:sparkline>
            <x14:sparkline>
              <xm:f>BORDEREAU!V35:V35</xm:f>
              <xm:sqref>B35</xm:sqref>
            </x14:sparkline>
            <x14:sparkline>
              <xm:f>BORDEREAU!V36:V36</xm:f>
              <xm:sqref>B36</xm:sqref>
            </x14:sparkline>
            <x14:sparkline>
              <xm:f>BORDEREAU!V37:V37</xm:f>
              <xm:sqref>B37</xm:sqref>
            </x14:sparkline>
            <x14:sparkline>
              <xm:f>BORDEREAU!V38:V38</xm:f>
              <xm:sqref>B38</xm:sqref>
            </x14:sparkline>
            <x14:sparkline>
              <xm:f>BORDEREAU!V39:V39</xm:f>
              <xm:sqref>B39</xm:sqref>
            </x14:sparkline>
            <x14:sparkline>
              <xm:f>BORDEREAU!V40:V40</xm:f>
              <xm:sqref>B40</xm:sqref>
            </x14:sparkline>
          </x14:sparklines>
        </x14:sparklineGroup>
        <x14:sparklineGroup displayEmptyCellsAs="gap">
          <x14:colorSeries theme="1"/>
          <x14:colorNegative theme="9"/>
          <x14:colorAxis rgb="FF000000"/>
          <x14:colorMarkers theme="8"/>
          <x14:colorFirst theme="4"/>
          <x14:colorLast theme="5"/>
          <x14:colorHigh theme="6"/>
          <x14:colorLow theme="7"/>
          <x14:sparklines>
            <x14:sparkline>
              <xm:f>BORDEREAU!B25:B25</xm:f>
              <xm:sqref>V25</xm:sqref>
            </x14:sparkline>
            <x14:sparkline>
              <xm:f>BORDEREAU!B26:B26</xm:f>
              <xm:sqref>V26</xm:sqref>
            </x14:sparkline>
            <x14:sparkline>
              <xm:f>BORDEREAU!B27:B27</xm:f>
              <xm:sqref>V27</xm:sqref>
            </x14:sparkline>
            <x14:sparkline>
              <xm:f>BORDEREAU!B28:B28</xm:f>
              <xm:sqref>V28</xm:sqref>
            </x14:sparkline>
            <x14:sparkline>
              <xm:f>BORDEREAU!B29:B29</xm:f>
              <xm:sqref>V29</xm:sqref>
            </x14:sparkline>
            <x14:sparkline>
              <xm:f>BORDEREAU!B30:B30</xm:f>
              <xm:sqref>V30</xm:sqref>
            </x14:sparkline>
            <x14:sparkline>
              <xm:f>BORDEREAU!B31:B31</xm:f>
              <xm:sqref>V31</xm:sqref>
            </x14:sparkline>
            <x14:sparkline>
              <xm:f>BORDEREAU!B32:B32</xm:f>
              <xm:sqref>V32</xm:sqref>
            </x14:sparkline>
            <x14:sparkline>
              <xm:f>BORDEREAU!B33:B33</xm:f>
              <xm:sqref>V33</xm:sqref>
            </x14:sparkline>
            <x14:sparkline>
              <xm:f>BORDEREAU!B34:B34</xm:f>
              <xm:sqref>V34</xm:sqref>
            </x14:sparkline>
            <x14:sparkline>
              <xm:f>BORDEREAU!B35:B35</xm:f>
              <xm:sqref>V35</xm:sqref>
            </x14:sparkline>
            <x14:sparkline>
              <xm:f>BORDEREAU!B36:B36</xm:f>
              <xm:sqref>V36</xm:sqref>
            </x14:sparkline>
            <x14:sparkline>
              <xm:f>BORDEREAU!B37:B37</xm:f>
              <xm:sqref>V37</xm:sqref>
            </x14:sparkline>
            <x14:sparkline>
              <xm:f>BORDEREAU!B38:B38</xm:f>
              <xm:sqref>V38</xm:sqref>
            </x14:sparkline>
            <x14:sparkline>
              <xm:f>BORDEREAU!B39:B39</xm:f>
              <xm:sqref>V39</xm:sqref>
            </x14:sparkline>
            <x14:sparkline>
              <xm:f>BORDEREAU!B40:B40</xm:f>
              <xm:sqref>V40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1"/>
  <sheetViews>
    <sheetView topLeftCell="F32" zoomScale="90" zoomScaleNormal="90" workbookViewId="0">
      <selection activeCell="B4" sqref="B4:K51"/>
    </sheetView>
  </sheetViews>
  <sheetFormatPr baseColWidth="10" defaultRowHeight="15" x14ac:dyDescent="0.25"/>
  <cols>
    <col min="2" max="2" width="44.140625" customWidth="1"/>
    <col min="3" max="3" width="12.140625" customWidth="1"/>
    <col min="5" max="5" width="16.28515625" customWidth="1"/>
    <col min="7" max="7" width="13.7109375" customWidth="1"/>
    <col min="11" max="11" width="16.42578125" customWidth="1"/>
  </cols>
  <sheetData>
    <row r="3" spans="2:15" ht="15.75" thickBot="1" x14ac:dyDescent="0.3"/>
    <row r="4" spans="2:15" ht="16.5" thickBot="1" x14ac:dyDescent="0.3">
      <c r="B4" s="84" t="s">
        <v>25</v>
      </c>
      <c r="C4" s="85" t="s">
        <v>129</v>
      </c>
      <c r="D4" s="213" t="s">
        <v>130</v>
      </c>
      <c r="E4" s="214"/>
      <c r="F4" s="85" t="s">
        <v>26</v>
      </c>
      <c r="G4" s="84" t="s">
        <v>27</v>
      </c>
      <c r="H4" s="213" t="s">
        <v>28</v>
      </c>
      <c r="I4" s="214"/>
      <c r="J4" s="85" t="s">
        <v>23</v>
      </c>
      <c r="K4" s="85" t="s">
        <v>29</v>
      </c>
      <c r="L4" s="15"/>
      <c r="M4" s="15"/>
      <c r="N4" s="15"/>
      <c r="O4" s="15"/>
    </row>
    <row r="5" spans="2:15" ht="32.25" thickBot="1" x14ac:dyDescent="0.3">
      <c r="B5" s="86" t="s">
        <v>68</v>
      </c>
      <c r="C5" s="16">
        <f>(D5+E5)/2</f>
        <v>13</v>
      </c>
      <c r="D5" s="205">
        <v>13</v>
      </c>
      <c r="E5" s="206">
        <v>13</v>
      </c>
      <c r="F5" s="17">
        <v>3</v>
      </c>
      <c r="G5" s="18">
        <f>C5*F5</f>
        <v>39</v>
      </c>
      <c r="H5" s="202">
        <v>11.461538461538462</v>
      </c>
      <c r="I5" s="203">
        <v>11.461538461538462</v>
      </c>
      <c r="J5" s="35"/>
      <c r="K5" s="16" t="str">
        <f>IF(C5&lt;10,"D",IF(C5&lt;12,"C",IF(C5&lt;14,"C+",IF(C5&lt;15,"B",IF(C5&lt;16,"B+",IF(C5&lt;18,"A",IF(C5&lt;20,"A+")))))))</f>
        <v>C+</v>
      </c>
      <c r="L5" s="15"/>
      <c r="M5" s="15"/>
      <c r="N5" s="19">
        <f>D5*F5</f>
        <v>39</v>
      </c>
      <c r="O5" s="19">
        <f>E5*F5</f>
        <v>39</v>
      </c>
    </row>
    <row r="6" spans="2:15" ht="32.25" thickBot="1" x14ac:dyDescent="0.3">
      <c r="B6" s="86" t="s">
        <v>115</v>
      </c>
      <c r="C6" s="16">
        <f t="shared" ref="C6:C9" si="0">(D6+E6)/2</f>
        <v>8</v>
      </c>
      <c r="D6" s="205">
        <v>8</v>
      </c>
      <c r="E6" s="206">
        <v>8</v>
      </c>
      <c r="F6" s="17">
        <v>1</v>
      </c>
      <c r="G6" s="18">
        <f t="shared" ref="G6:G9" si="1">C6*F6</f>
        <v>8</v>
      </c>
      <c r="H6" s="202">
        <v>7.1538461538461542</v>
      </c>
      <c r="I6" s="203">
        <v>7.1538461538461542</v>
      </c>
      <c r="J6" s="35"/>
      <c r="K6" s="16" t="str">
        <f t="shared" ref="K6:K9" si="2">IF(C6&lt;10,"D",IF(C6&lt;12,"C",IF(C6&lt;14,"C+",IF(C6&lt;15,"B",IF(C6&lt;16,"B+",IF(C6&lt;18,"A",IF(C6&lt;20,"A+")))))))</f>
        <v>D</v>
      </c>
      <c r="L6" s="15"/>
      <c r="M6" s="15"/>
      <c r="N6" s="19">
        <f t="shared" ref="N6:N9" si="3">D6*F6</f>
        <v>8</v>
      </c>
      <c r="O6" s="19">
        <f t="shared" ref="O6:O9" si="4">E6*F6</f>
        <v>8</v>
      </c>
    </row>
    <row r="7" spans="2:15" ht="32.25" thickBot="1" x14ac:dyDescent="0.3">
      <c r="B7" s="86" t="s">
        <v>116</v>
      </c>
      <c r="C7" s="16">
        <f t="shared" si="0"/>
        <v>10</v>
      </c>
      <c r="D7" s="205">
        <v>10</v>
      </c>
      <c r="E7" s="206">
        <v>10</v>
      </c>
      <c r="F7" s="17">
        <v>2</v>
      </c>
      <c r="G7" s="18">
        <f t="shared" si="1"/>
        <v>20</v>
      </c>
      <c r="H7" s="202">
        <v>10.423076923076923</v>
      </c>
      <c r="I7" s="203">
        <v>10.423076923076923</v>
      </c>
      <c r="J7" s="35"/>
      <c r="K7" s="16" t="str">
        <f t="shared" si="2"/>
        <v>C</v>
      </c>
      <c r="L7" s="15"/>
      <c r="M7" s="15"/>
      <c r="N7" s="19">
        <f t="shared" si="3"/>
        <v>20</v>
      </c>
      <c r="O7" s="19">
        <f t="shared" si="4"/>
        <v>20</v>
      </c>
    </row>
    <row r="8" spans="2:15" ht="32.25" thickBot="1" x14ac:dyDescent="0.3">
      <c r="B8" s="86" t="s">
        <v>117</v>
      </c>
      <c r="C8" s="16">
        <f t="shared" si="0"/>
        <v>9</v>
      </c>
      <c r="D8" s="205">
        <v>9</v>
      </c>
      <c r="E8" s="206">
        <v>9</v>
      </c>
      <c r="F8" s="17">
        <v>1</v>
      </c>
      <c r="G8" s="18">
        <f t="shared" si="1"/>
        <v>9</v>
      </c>
      <c r="H8" s="202">
        <v>9.2307692307692299</v>
      </c>
      <c r="I8" s="203">
        <v>9.2307692307692299</v>
      </c>
      <c r="J8" s="35"/>
      <c r="K8" s="16" t="str">
        <f t="shared" si="2"/>
        <v>D</v>
      </c>
      <c r="L8" s="15"/>
      <c r="M8" s="15"/>
      <c r="N8" s="19">
        <f t="shared" si="3"/>
        <v>9</v>
      </c>
      <c r="O8" s="19">
        <f t="shared" si="4"/>
        <v>9</v>
      </c>
    </row>
    <row r="9" spans="2:15" ht="32.25" thickBot="1" x14ac:dyDescent="0.3">
      <c r="B9" s="86" t="s">
        <v>64</v>
      </c>
      <c r="C9" s="16">
        <f t="shared" si="0"/>
        <v>8</v>
      </c>
      <c r="D9" s="205">
        <v>8</v>
      </c>
      <c r="E9" s="206">
        <v>8</v>
      </c>
      <c r="F9" s="17">
        <v>2</v>
      </c>
      <c r="G9" s="18">
        <f t="shared" si="1"/>
        <v>16</v>
      </c>
      <c r="H9" s="202">
        <v>9.9230769230769234</v>
      </c>
      <c r="I9" s="203">
        <v>9.9230769230769234</v>
      </c>
      <c r="J9" s="35"/>
      <c r="K9" s="16" t="str">
        <f t="shared" si="2"/>
        <v>D</v>
      </c>
      <c r="L9" s="15"/>
      <c r="M9" s="15"/>
      <c r="N9" s="19">
        <f t="shared" si="3"/>
        <v>16</v>
      </c>
      <c r="O9" s="19">
        <f t="shared" si="4"/>
        <v>16</v>
      </c>
    </row>
    <row r="10" spans="2:15" ht="16.5" thickBot="1" x14ac:dyDescent="0.3">
      <c r="B10" s="207" t="s">
        <v>30</v>
      </c>
      <c r="C10" s="208"/>
      <c r="D10" s="208"/>
      <c r="E10" s="208"/>
      <c r="F10" s="208"/>
      <c r="G10" s="208"/>
      <c r="H10" s="208"/>
      <c r="I10" s="208"/>
      <c r="J10" s="208"/>
      <c r="K10" s="209"/>
      <c r="L10" s="15"/>
      <c r="M10" s="15"/>
      <c r="N10" s="15"/>
      <c r="O10" s="15"/>
    </row>
    <row r="11" spans="2:15" ht="16.5" thickBot="1" x14ac:dyDescent="0.3">
      <c r="B11" s="20" t="s">
        <v>31</v>
      </c>
      <c r="C11" s="195">
        <f>(SUM(G5:G9)/SUM(F5:F9))</f>
        <v>10.222222222222221</v>
      </c>
      <c r="D11" s="195"/>
      <c r="E11" s="195"/>
      <c r="F11" s="196" t="s">
        <v>32</v>
      </c>
      <c r="G11" s="196"/>
      <c r="H11" s="89"/>
      <c r="I11" s="190"/>
      <c r="J11" s="190"/>
      <c r="K11" s="197"/>
      <c r="L11" s="15"/>
      <c r="M11" s="15"/>
      <c r="N11" s="15"/>
      <c r="O11" s="15"/>
    </row>
    <row r="12" spans="2:15" ht="16.5" thickBot="1" x14ac:dyDescent="0.3">
      <c r="B12" s="198"/>
      <c r="C12" s="199"/>
      <c r="D12" s="199"/>
      <c r="E12" s="199"/>
      <c r="F12" s="199"/>
      <c r="G12" s="199"/>
      <c r="H12" s="199"/>
      <c r="I12" s="199"/>
      <c r="J12" s="199"/>
      <c r="K12" s="201"/>
      <c r="L12" s="15"/>
      <c r="M12" s="15"/>
      <c r="N12" s="15"/>
      <c r="O12" s="15"/>
    </row>
    <row r="13" spans="2:15" ht="32.25" thickBot="1" x14ac:dyDescent="0.3">
      <c r="B13" s="86" t="s">
        <v>65</v>
      </c>
      <c r="C13" s="16">
        <f t="shared" ref="C13:C16" si="5">(D13+E13)/2</f>
        <v>12</v>
      </c>
      <c r="D13" s="205">
        <v>12</v>
      </c>
      <c r="E13" s="206">
        <v>12</v>
      </c>
      <c r="F13" s="17">
        <v>2</v>
      </c>
      <c r="G13" s="18">
        <f t="shared" ref="G13:G16" si="6">C13*F13</f>
        <v>24</v>
      </c>
      <c r="H13" s="202">
        <v>11.384615384615385</v>
      </c>
      <c r="I13" s="203">
        <v>11.384615384615385</v>
      </c>
      <c r="J13" s="35"/>
      <c r="K13" s="16" t="str">
        <f t="shared" ref="K13:K16" si="7">IF(C13&lt;10,"D",IF(C13&lt;12,"C",IF(C13&lt;14,"C+",IF(C13&lt;15,"B",IF(C13&lt;16,"B+",IF(C13&lt;18,"A",IF(C13&lt;20,"A+")))))))</f>
        <v>C+</v>
      </c>
      <c r="L13" s="15"/>
      <c r="M13" s="15"/>
      <c r="N13" s="19">
        <f t="shared" ref="N13:N16" si="8">D13*F13</f>
        <v>24</v>
      </c>
      <c r="O13" s="19">
        <f t="shared" ref="O13:O16" si="9">E13*F13</f>
        <v>24</v>
      </c>
    </row>
    <row r="14" spans="2:15" ht="32.25" thickBot="1" x14ac:dyDescent="0.3">
      <c r="B14" s="86" t="s">
        <v>118</v>
      </c>
      <c r="C14" s="16">
        <f t="shared" si="5"/>
        <v>7</v>
      </c>
      <c r="D14" s="205">
        <v>7</v>
      </c>
      <c r="E14" s="206">
        <v>7</v>
      </c>
      <c r="F14" s="17">
        <v>2</v>
      </c>
      <c r="G14" s="18">
        <f t="shared" si="6"/>
        <v>14</v>
      </c>
      <c r="H14" s="202">
        <v>10.692307692307692</v>
      </c>
      <c r="I14" s="203">
        <v>10.692307692307692</v>
      </c>
      <c r="J14" s="35"/>
      <c r="K14" s="16" t="str">
        <f t="shared" si="7"/>
        <v>D</v>
      </c>
      <c r="L14" s="15"/>
      <c r="M14" s="15"/>
      <c r="N14" s="19">
        <f t="shared" si="8"/>
        <v>14</v>
      </c>
      <c r="O14" s="19">
        <f t="shared" si="9"/>
        <v>14</v>
      </c>
    </row>
    <row r="15" spans="2:15" ht="32.25" thickBot="1" x14ac:dyDescent="0.3">
      <c r="B15" s="86" t="s">
        <v>119</v>
      </c>
      <c r="C15" s="16">
        <f t="shared" si="5"/>
        <v>11</v>
      </c>
      <c r="D15" s="205">
        <v>11</v>
      </c>
      <c r="E15" s="206">
        <v>11</v>
      </c>
      <c r="F15" s="17">
        <v>2</v>
      </c>
      <c r="G15" s="18">
        <f t="shared" si="6"/>
        <v>22</v>
      </c>
      <c r="H15" s="202">
        <v>11.692307692307692</v>
      </c>
      <c r="I15" s="203">
        <v>11.692307692307692</v>
      </c>
      <c r="J15" s="35"/>
      <c r="K15" s="16" t="str">
        <f t="shared" si="7"/>
        <v>C</v>
      </c>
      <c r="L15" s="15"/>
      <c r="M15" s="15"/>
      <c r="N15" s="19">
        <f t="shared" si="8"/>
        <v>22</v>
      </c>
      <c r="O15" s="19">
        <f t="shared" si="9"/>
        <v>22</v>
      </c>
    </row>
    <row r="16" spans="2:15" ht="32.25" thickBot="1" x14ac:dyDescent="0.3">
      <c r="B16" s="86" t="s">
        <v>66</v>
      </c>
      <c r="C16" s="16">
        <f t="shared" si="5"/>
        <v>16</v>
      </c>
      <c r="D16" s="205">
        <v>16</v>
      </c>
      <c r="E16" s="206">
        <v>16</v>
      </c>
      <c r="F16" s="17">
        <v>1</v>
      </c>
      <c r="G16" s="18">
        <f t="shared" si="6"/>
        <v>16</v>
      </c>
      <c r="H16" s="202">
        <v>16</v>
      </c>
      <c r="I16" s="203"/>
      <c r="J16" s="35"/>
      <c r="K16" s="16" t="str">
        <f t="shared" si="7"/>
        <v>A</v>
      </c>
      <c r="L16" s="15"/>
      <c r="M16" s="15"/>
      <c r="N16" s="19">
        <f t="shared" si="8"/>
        <v>16</v>
      </c>
      <c r="O16" s="19">
        <f t="shared" si="9"/>
        <v>16</v>
      </c>
    </row>
    <row r="17" spans="2:15" ht="16.5" thickBot="1" x14ac:dyDescent="0.3">
      <c r="B17" s="207" t="s">
        <v>33</v>
      </c>
      <c r="C17" s="208"/>
      <c r="D17" s="208"/>
      <c r="E17" s="208"/>
      <c r="F17" s="208"/>
      <c r="G17" s="208"/>
      <c r="H17" s="208"/>
      <c r="I17" s="208"/>
      <c r="J17" s="208"/>
      <c r="K17" s="209"/>
      <c r="L17" s="15"/>
      <c r="M17" s="15"/>
      <c r="N17" s="15"/>
      <c r="O17" s="15"/>
    </row>
    <row r="18" spans="2:15" ht="16.5" thickBot="1" x14ac:dyDescent="0.3">
      <c r="B18" s="20" t="s">
        <v>34</v>
      </c>
      <c r="C18" s="195">
        <f>(SUM(G13:G16)/SUM(F13:F16))</f>
        <v>10.857142857142858</v>
      </c>
      <c r="D18" s="195"/>
      <c r="E18" s="195"/>
      <c r="F18" s="196" t="s">
        <v>32</v>
      </c>
      <c r="G18" s="196"/>
      <c r="H18" s="89"/>
      <c r="I18" s="190"/>
      <c r="J18" s="190"/>
      <c r="K18" s="197"/>
      <c r="L18" s="15"/>
      <c r="M18" s="15"/>
      <c r="N18" s="15"/>
      <c r="O18" s="15"/>
    </row>
    <row r="19" spans="2:15" ht="16.5" thickBot="1" x14ac:dyDescent="0.3">
      <c r="B19" s="210"/>
      <c r="C19" s="211"/>
      <c r="D19" s="211"/>
      <c r="E19" s="211"/>
      <c r="F19" s="211"/>
      <c r="G19" s="211"/>
      <c r="H19" s="211"/>
      <c r="I19" s="211"/>
      <c r="J19" s="211"/>
      <c r="K19" s="212"/>
      <c r="L19" s="15"/>
      <c r="M19" s="15"/>
      <c r="N19" s="15"/>
      <c r="O19" s="15"/>
    </row>
    <row r="20" spans="2:15" ht="32.25" thickBot="1" x14ac:dyDescent="0.3">
      <c r="B20" s="86" t="s">
        <v>69</v>
      </c>
      <c r="C20" s="16">
        <f t="shared" ref="C20:C23" si="10">(D20+E20)/2</f>
        <v>6</v>
      </c>
      <c r="D20" s="205">
        <v>6</v>
      </c>
      <c r="E20" s="206">
        <v>6</v>
      </c>
      <c r="F20" s="17">
        <v>2</v>
      </c>
      <c r="G20" s="18">
        <f t="shared" ref="G20:G23" si="11">C20*F20</f>
        <v>12</v>
      </c>
      <c r="H20" s="202">
        <v>8.2307692307692299</v>
      </c>
      <c r="I20" s="203">
        <v>8.2307692307692299</v>
      </c>
      <c r="J20" s="35"/>
      <c r="K20" s="16" t="str">
        <f t="shared" ref="K20:K23" si="12">IF(C20&lt;10,"D",IF(C20&lt;12,"C",IF(C20&lt;14,"C+",IF(C20&lt;15,"B",IF(C20&lt;16,"B+",IF(C20&lt;18,"A",IF(C20&lt;20,"A+")))))))</f>
        <v>D</v>
      </c>
      <c r="L20" s="15"/>
      <c r="M20" s="15"/>
      <c r="N20" s="19">
        <f t="shared" ref="N20:N23" si="13">D20*F20</f>
        <v>12</v>
      </c>
      <c r="O20" s="19">
        <f t="shared" ref="O20:O23" si="14">E20*F20</f>
        <v>12</v>
      </c>
    </row>
    <row r="21" spans="2:15" ht="32.25" thickBot="1" x14ac:dyDescent="0.3">
      <c r="B21" s="86" t="s">
        <v>70</v>
      </c>
      <c r="C21" s="16">
        <f t="shared" si="10"/>
        <v>4.5</v>
      </c>
      <c r="D21" s="205">
        <v>4.5</v>
      </c>
      <c r="E21" s="206">
        <v>4.5</v>
      </c>
      <c r="F21" s="17">
        <v>4</v>
      </c>
      <c r="G21" s="18">
        <f t="shared" si="11"/>
        <v>18</v>
      </c>
      <c r="H21" s="202">
        <v>4.2692307692307692</v>
      </c>
      <c r="I21" s="203">
        <v>4.2692307692307692</v>
      </c>
      <c r="J21" s="35"/>
      <c r="K21" s="16" t="str">
        <f t="shared" si="12"/>
        <v>D</v>
      </c>
      <c r="L21" s="15"/>
      <c r="M21" s="15"/>
      <c r="N21" s="19">
        <f t="shared" si="13"/>
        <v>18</v>
      </c>
      <c r="O21" s="19">
        <f t="shared" si="14"/>
        <v>18</v>
      </c>
    </row>
    <row r="22" spans="2:15" ht="32.25" thickBot="1" x14ac:dyDescent="0.3">
      <c r="B22" s="86" t="s">
        <v>120</v>
      </c>
      <c r="C22" s="16">
        <f t="shared" si="10"/>
        <v>6.5</v>
      </c>
      <c r="D22" s="205">
        <v>6.5</v>
      </c>
      <c r="E22" s="206">
        <v>6.5</v>
      </c>
      <c r="F22" s="17">
        <v>2</v>
      </c>
      <c r="G22" s="18">
        <f t="shared" si="11"/>
        <v>13</v>
      </c>
      <c r="H22" s="202">
        <v>5.6538461538461542</v>
      </c>
      <c r="I22" s="203">
        <v>5.6538461538461542</v>
      </c>
      <c r="J22" s="35"/>
      <c r="K22" s="16" t="str">
        <f t="shared" si="12"/>
        <v>D</v>
      </c>
      <c r="L22" s="15"/>
      <c r="M22" s="15"/>
      <c r="N22" s="19">
        <f t="shared" si="13"/>
        <v>13</v>
      </c>
      <c r="O22" s="19">
        <f t="shared" si="14"/>
        <v>13</v>
      </c>
    </row>
    <row r="23" spans="2:15" ht="32.25" thickBot="1" x14ac:dyDescent="0.3">
      <c r="B23" s="86" t="s">
        <v>71</v>
      </c>
      <c r="C23" s="16">
        <f t="shared" si="10"/>
        <v>10</v>
      </c>
      <c r="D23" s="205">
        <v>10</v>
      </c>
      <c r="E23" s="206">
        <v>10</v>
      </c>
      <c r="F23" s="17">
        <v>2</v>
      </c>
      <c r="G23" s="18">
        <f t="shared" si="11"/>
        <v>20</v>
      </c>
      <c r="H23" s="202">
        <v>9.7692307692307701</v>
      </c>
      <c r="I23" s="203">
        <v>9.7692307692307701</v>
      </c>
      <c r="J23" s="35"/>
      <c r="K23" s="16" t="str">
        <f t="shared" si="12"/>
        <v>C</v>
      </c>
      <c r="L23" s="15"/>
      <c r="M23" s="15"/>
      <c r="N23" s="19">
        <f t="shared" si="13"/>
        <v>20</v>
      </c>
      <c r="O23" s="19">
        <f t="shared" si="14"/>
        <v>20</v>
      </c>
    </row>
    <row r="24" spans="2:15" ht="16.5" thickBot="1" x14ac:dyDescent="0.3">
      <c r="B24" s="207" t="s">
        <v>35</v>
      </c>
      <c r="C24" s="208"/>
      <c r="D24" s="208"/>
      <c r="E24" s="208"/>
      <c r="F24" s="208"/>
      <c r="G24" s="208"/>
      <c r="H24" s="208"/>
      <c r="I24" s="208"/>
      <c r="J24" s="208"/>
      <c r="K24" s="209"/>
      <c r="L24" s="15"/>
      <c r="M24" s="15"/>
      <c r="N24" s="15"/>
      <c r="O24" s="15"/>
    </row>
    <row r="25" spans="2:15" ht="16.5" thickBot="1" x14ac:dyDescent="0.3">
      <c r="B25" s="20" t="s">
        <v>31</v>
      </c>
      <c r="C25" s="195">
        <f>(SUM(G20:G23)/SUM(F20:F23))</f>
        <v>6.3</v>
      </c>
      <c r="D25" s="195"/>
      <c r="E25" s="195"/>
      <c r="F25" s="196" t="s">
        <v>32</v>
      </c>
      <c r="G25" s="196"/>
      <c r="H25" s="89"/>
      <c r="I25" s="190"/>
      <c r="J25" s="190"/>
      <c r="K25" s="197"/>
      <c r="L25" s="15"/>
      <c r="M25" s="15"/>
      <c r="N25" s="15"/>
      <c r="O25" s="15"/>
    </row>
    <row r="26" spans="2:15" ht="16.5" thickBot="1" x14ac:dyDescent="0.3">
      <c r="B26" s="198"/>
      <c r="C26" s="199"/>
      <c r="D26" s="199"/>
      <c r="E26" s="199"/>
      <c r="F26" s="199"/>
      <c r="G26" s="199"/>
      <c r="H26" s="200"/>
      <c r="I26" s="200"/>
      <c r="J26" s="200"/>
      <c r="K26" s="201"/>
      <c r="L26" s="15"/>
      <c r="M26" s="15"/>
      <c r="N26" s="15"/>
      <c r="O26" s="15"/>
    </row>
    <row r="27" spans="2:15" ht="32.25" thickBot="1" x14ac:dyDescent="0.3">
      <c r="B27" s="86" t="s">
        <v>67</v>
      </c>
      <c r="C27" s="16">
        <f t="shared" ref="C27:C30" si="15">(D27+E27)/2</f>
        <v>16</v>
      </c>
      <c r="D27" s="205">
        <v>16</v>
      </c>
      <c r="E27" s="206">
        <v>16</v>
      </c>
      <c r="F27" s="17">
        <v>1</v>
      </c>
      <c r="G27" s="18">
        <f t="shared" ref="G27:G30" si="16">C27*F27</f>
        <v>16</v>
      </c>
      <c r="H27" s="202">
        <v>16</v>
      </c>
      <c r="I27" s="203">
        <v>16</v>
      </c>
      <c r="J27" s="35"/>
      <c r="K27" s="16" t="str">
        <f t="shared" ref="K27:K30" si="17">IF(C27&lt;10,"D",IF(C27&lt;12,"C",IF(C27&lt;14,"C+",IF(C27&lt;15,"B",IF(C27&lt;16,"B+",IF(C27&lt;18,"A",IF(C27&lt;20,"A+")))))))</f>
        <v>A</v>
      </c>
      <c r="L27" s="15"/>
      <c r="M27" s="15"/>
      <c r="N27" s="19">
        <f t="shared" ref="N27:O30" si="18">D27*F27</f>
        <v>16</v>
      </c>
      <c r="O27" s="19">
        <f t="shared" ref="O27:O28" si="19">E27*F27</f>
        <v>16</v>
      </c>
    </row>
    <row r="28" spans="2:15" ht="32.25" thickBot="1" x14ac:dyDescent="0.3">
      <c r="B28" s="86" t="s">
        <v>122</v>
      </c>
      <c r="C28" s="16">
        <f t="shared" si="15"/>
        <v>14</v>
      </c>
      <c r="D28" s="205">
        <v>14</v>
      </c>
      <c r="E28" s="206">
        <v>14</v>
      </c>
      <c r="F28" s="17">
        <v>2</v>
      </c>
      <c r="G28" s="18">
        <f t="shared" si="16"/>
        <v>28</v>
      </c>
      <c r="H28" s="202">
        <v>15.846153846153847</v>
      </c>
      <c r="I28" s="203">
        <v>15.846153846153847</v>
      </c>
      <c r="J28" s="35"/>
      <c r="K28" s="16" t="str">
        <f t="shared" si="17"/>
        <v>B</v>
      </c>
      <c r="L28" s="15"/>
      <c r="M28" s="15"/>
      <c r="N28" s="19">
        <f t="shared" si="18"/>
        <v>28</v>
      </c>
      <c r="O28" s="19">
        <f t="shared" si="19"/>
        <v>28</v>
      </c>
    </row>
    <row r="29" spans="2:15" ht="32.25" thickBot="1" x14ac:dyDescent="0.3">
      <c r="B29" s="86" t="s">
        <v>72</v>
      </c>
      <c r="C29" s="16">
        <f t="shared" si="15"/>
        <v>15</v>
      </c>
      <c r="D29" s="205">
        <v>15</v>
      </c>
      <c r="E29" s="206">
        <v>15</v>
      </c>
      <c r="F29" s="17">
        <v>1</v>
      </c>
      <c r="G29" s="18">
        <f t="shared" si="16"/>
        <v>15</v>
      </c>
      <c r="H29" s="202">
        <v>12.76923076923077</v>
      </c>
      <c r="I29" s="203">
        <v>12.76923076923077</v>
      </c>
      <c r="J29" s="35"/>
      <c r="K29" s="16" t="str">
        <f t="shared" si="17"/>
        <v>B+</v>
      </c>
      <c r="L29" s="15"/>
      <c r="M29" s="15"/>
      <c r="N29" s="19">
        <f t="shared" si="18"/>
        <v>15</v>
      </c>
      <c r="O29" s="19">
        <f>E29*F29</f>
        <v>15</v>
      </c>
    </row>
    <row r="30" spans="2:15" ht="32.25" thickBot="1" x14ac:dyDescent="0.3">
      <c r="B30" s="86" t="s">
        <v>121</v>
      </c>
      <c r="C30" s="16">
        <f t="shared" si="15"/>
        <v>8.5</v>
      </c>
      <c r="D30" s="205">
        <v>17</v>
      </c>
      <c r="E30" s="206"/>
      <c r="F30" s="17">
        <v>1</v>
      </c>
      <c r="G30" s="18">
        <f t="shared" si="16"/>
        <v>8.5</v>
      </c>
      <c r="H30" s="202">
        <v>17</v>
      </c>
      <c r="I30" s="203"/>
      <c r="J30" s="35"/>
      <c r="K30" s="16" t="str">
        <f t="shared" si="17"/>
        <v>D</v>
      </c>
      <c r="L30" s="15"/>
      <c r="M30" s="15"/>
      <c r="N30" s="19">
        <f t="shared" si="18"/>
        <v>17</v>
      </c>
      <c r="O30" s="19">
        <f t="shared" si="18"/>
        <v>0</v>
      </c>
    </row>
    <row r="31" spans="2:15" ht="16.5" thickBot="1" x14ac:dyDescent="0.3">
      <c r="B31" s="86" t="s">
        <v>36</v>
      </c>
      <c r="C31" s="87"/>
      <c r="D31" s="87"/>
      <c r="E31" s="87"/>
      <c r="F31" s="87"/>
      <c r="G31" s="87"/>
      <c r="H31" s="87"/>
      <c r="I31" s="87"/>
      <c r="J31" s="87"/>
      <c r="K31" s="88"/>
      <c r="L31" s="15"/>
      <c r="M31" s="15"/>
      <c r="N31" s="15">
        <f>SUM(N5:N30)</f>
        <v>307</v>
      </c>
      <c r="O31" s="15">
        <f>SUM(O5:O30)</f>
        <v>290</v>
      </c>
    </row>
    <row r="32" spans="2:15" ht="16.5" thickBot="1" x14ac:dyDescent="0.3">
      <c r="B32" s="21" t="s">
        <v>34</v>
      </c>
      <c r="C32" s="195">
        <f>(SUM(G27:G30)/SUM(F27:F30))</f>
        <v>13.5</v>
      </c>
      <c r="D32" s="195"/>
      <c r="E32" s="195"/>
      <c r="F32" s="204" t="s">
        <v>32</v>
      </c>
      <c r="G32" s="204"/>
      <c r="H32" s="90"/>
      <c r="I32" s="163"/>
      <c r="J32" s="163"/>
      <c r="K32" s="164"/>
      <c r="L32" s="15"/>
      <c r="M32" s="15"/>
      <c r="N32" s="15">
        <v>31</v>
      </c>
      <c r="O32" s="15">
        <v>31</v>
      </c>
    </row>
    <row r="33" spans="2:15" ht="16.5" thickBot="1" x14ac:dyDescent="0.3">
      <c r="B33" s="178"/>
      <c r="C33" s="179"/>
      <c r="D33" s="179"/>
      <c r="E33" s="179"/>
      <c r="F33" s="179"/>
      <c r="G33" s="179"/>
      <c r="H33" s="179"/>
      <c r="I33" s="179"/>
      <c r="J33" s="179"/>
      <c r="K33" s="180"/>
      <c r="L33" s="15"/>
      <c r="M33" s="15"/>
      <c r="N33" s="15">
        <f>N31/N32</f>
        <v>9.9032258064516121</v>
      </c>
      <c r="O33" s="15">
        <f>O31/O32</f>
        <v>9.3548387096774199</v>
      </c>
    </row>
    <row r="34" spans="2:15" ht="48" thickBot="1" x14ac:dyDescent="0.3">
      <c r="B34" s="22" t="s">
        <v>37</v>
      </c>
      <c r="C34" s="23" t="s">
        <v>38</v>
      </c>
      <c r="D34" s="90">
        <v>10.220000000000001</v>
      </c>
      <c r="E34" s="24" t="s">
        <v>39</v>
      </c>
      <c r="F34" s="190">
        <v>11.9</v>
      </c>
      <c r="G34" s="190"/>
      <c r="H34" s="24" t="s">
        <v>40</v>
      </c>
      <c r="I34" s="190">
        <v>8.4499999999999993</v>
      </c>
      <c r="J34" s="190"/>
      <c r="K34" s="25"/>
      <c r="L34" s="26"/>
      <c r="M34" s="26"/>
      <c r="N34" s="26"/>
      <c r="O34" s="26"/>
    </row>
    <row r="35" spans="2:15" ht="15.75" x14ac:dyDescent="0.25">
      <c r="B35" s="74"/>
      <c r="C35" s="193" t="s">
        <v>130</v>
      </c>
      <c r="D35" s="193"/>
      <c r="E35" s="75"/>
      <c r="F35" s="75"/>
      <c r="G35" s="76"/>
      <c r="H35" s="145"/>
      <c r="I35" s="146"/>
      <c r="J35" s="146"/>
      <c r="K35" s="147"/>
      <c r="L35" s="15"/>
      <c r="M35" s="15"/>
      <c r="N35" s="15"/>
      <c r="O35" s="15"/>
    </row>
    <row r="36" spans="2:15" ht="15.75" x14ac:dyDescent="0.25">
      <c r="B36" s="77" t="s">
        <v>41</v>
      </c>
      <c r="C36" s="194">
        <f>N33</f>
        <v>9.9032258064516121</v>
      </c>
      <c r="D36" s="194"/>
      <c r="E36" s="79" t="s">
        <v>131</v>
      </c>
      <c r="F36" s="80">
        <f>C36</f>
        <v>9.9032258064516121</v>
      </c>
      <c r="G36" s="81" t="s">
        <v>42</v>
      </c>
      <c r="H36" s="191" t="s">
        <v>43</v>
      </c>
      <c r="I36" s="192"/>
      <c r="J36" s="27" t="s">
        <v>138</v>
      </c>
      <c r="K36" s="28" t="s">
        <v>113</v>
      </c>
      <c r="L36" s="15"/>
      <c r="M36" s="15"/>
      <c r="N36" s="15"/>
      <c r="O36" s="15"/>
    </row>
    <row r="37" spans="2:15" ht="12.75" customHeight="1" x14ac:dyDescent="0.25">
      <c r="B37" s="77"/>
      <c r="C37" s="78"/>
      <c r="D37" s="78"/>
      <c r="E37" s="79"/>
      <c r="F37" s="80"/>
      <c r="G37" s="81"/>
      <c r="H37" s="91"/>
      <c r="I37" s="92"/>
      <c r="J37" s="27"/>
      <c r="K37" s="28"/>
      <c r="L37" s="15"/>
      <c r="M37" s="15"/>
      <c r="N37" s="15"/>
      <c r="O37" s="15"/>
    </row>
    <row r="38" spans="2:15" ht="18" customHeight="1" x14ac:dyDescent="0.25">
      <c r="B38" s="102" t="s">
        <v>132</v>
      </c>
      <c r="C38" s="103" t="s">
        <v>133</v>
      </c>
      <c r="D38" s="103" t="s">
        <v>134</v>
      </c>
      <c r="E38" s="104" t="s">
        <v>135</v>
      </c>
      <c r="F38" s="105">
        <f>AVERAGE(B39:C39:D39)</f>
        <v>8.6710752688172033</v>
      </c>
      <c r="G38" s="106" t="s">
        <v>42</v>
      </c>
      <c r="H38" s="171" t="s">
        <v>136</v>
      </c>
      <c r="I38" s="172"/>
      <c r="J38" s="173" t="s">
        <v>163</v>
      </c>
      <c r="K38" s="174"/>
      <c r="L38" s="15"/>
      <c r="M38" s="15"/>
      <c r="N38" s="15"/>
      <c r="O38" s="15"/>
    </row>
    <row r="39" spans="2:15" ht="25.5" customHeight="1" thickBot="1" x14ac:dyDescent="0.3">
      <c r="B39" s="107">
        <v>8.2100000000000009</v>
      </c>
      <c r="C39" s="108">
        <v>7.9</v>
      </c>
      <c r="D39" s="108">
        <f>F36</f>
        <v>9.9032258064516121</v>
      </c>
      <c r="E39" s="109"/>
      <c r="F39" s="110"/>
      <c r="G39" s="111"/>
      <c r="H39" s="92"/>
      <c r="I39" s="92"/>
      <c r="J39" s="27"/>
      <c r="K39" s="28"/>
      <c r="L39" s="15"/>
      <c r="M39" s="15"/>
      <c r="N39" s="15"/>
      <c r="O39" s="15"/>
    </row>
    <row r="40" spans="2:15" ht="16.5" thickBot="1" x14ac:dyDescent="0.3">
      <c r="B40" s="175" t="s">
        <v>44</v>
      </c>
      <c r="C40" s="176"/>
      <c r="D40" s="176"/>
      <c r="E40" s="176"/>
      <c r="F40" s="176"/>
      <c r="G40" s="176"/>
      <c r="H40" s="176"/>
      <c r="I40" s="176"/>
      <c r="J40" s="176"/>
      <c r="K40" s="177"/>
      <c r="L40" s="15"/>
      <c r="M40" s="15"/>
      <c r="N40" s="15"/>
      <c r="O40" s="15"/>
    </row>
    <row r="41" spans="2:15" ht="16.5" thickBot="1" x14ac:dyDescent="0.3">
      <c r="B41" s="162" t="s">
        <v>45</v>
      </c>
      <c r="C41" s="163"/>
      <c r="D41" s="163"/>
      <c r="E41" s="163"/>
      <c r="F41" s="163"/>
      <c r="G41" s="163"/>
      <c r="H41" s="163"/>
      <c r="I41" s="163"/>
      <c r="J41" s="163"/>
      <c r="K41" s="164"/>
      <c r="L41" s="15"/>
      <c r="M41" s="15"/>
      <c r="N41" s="15"/>
      <c r="O41" s="15"/>
    </row>
    <row r="42" spans="2:15" ht="16.5" thickBot="1" x14ac:dyDescent="0.3">
      <c r="B42" s="22" t="s">
        <v>46</v>
      </c>
      <c r="C42" s="178" t="s">
        <v>47</v>
      </c>
      <c r="D42" s="179"/>
      <c r="E42" s="180"/>
      <c r="F42" s="165" t="s">
        <v>48</v>
      </c>
      <c r="G42" s="166"/>
      <c r="H42" s="166"/>
      <c r="I42" s="166"/>
      <c r="J42" s="166"/>
      <c r="K42" s="167"/>
      <c r="L42" s="15"/>
      <c r="M42" s="15"/>
      <c r="N42" s="15"/>
      <c r="O42" s="15"/>
    </row>
    <row r="43" spans="2:15" ht="16.5" thickBot="1" x14ac:dyDescent="0.3">
      <c r="B43" s="29" t="s">
        <v>49</v>
      </c>
      <c r="C43" s="181" t="str">
        <f>IF(F38&lt;10,"CNA",IF(F38&lt;12,"CMA",IF(F38&lt;14,"CA",IF(F38&lt;16,"CBA",IF(F38&lt;20,"CTBA")))))</f>
        <v>CNA</v>
      </c>
      <c r="D43" s="182" t="e">
        <f>IF(#REF!&lt;10,"D",IF(#REF!&lt;12,"C",IF(#REF!&lt;14,"C+",IF(#REF!&lt;15,"B",IF(#REF!&lt;16,"B+",IF(#REF!&lt;18,"A",IF(#REF!&lt;20,"A+")))))))</f>
        <v>#REF!</v>
      </c>
      <c r="E43" s="183" t="e">
        <f>IF(#REF!&lt;10,"D",IF(#REF!&lt;12,"C",IF(#REF!&lt;14,"C+",IF(#REF!&lt;15,"B",IF(#REF!&lt;16,"B+",IF(#REF!&lt;18,"A",IF(#REF!&lt;20,"A+")))))))</f>
        <v>#REF!</v>
      </c>
      <c r="F43" s="168"/>
      <c r="G43" s="169"/>
      <c r="H43" s="169"/>
      <c r="I43" s="169"/>
      <c r="J43" s="169"/>
      <c r="K43" s="170"/>
      <c r="L43" s="15"/>
      <c r="M43" s="15"/>
      <c r="N43" s="15"/>
      <c r="O43" s="15"/>
    </row>
    <row r="44" spans="2:15" ht="16.5" thickBot="1" x14ac:dyDescent="0.3">
      <c r="B44" s="30" t="s">
        <v>50</v>
      </c>
      <c r="C44" s="184" t="e">
        <f>IF(#REF!&lt;10,"D",IF(#REF!&lt;12,"C",IF(#REF!&lt;14,"C+",IF(#REF!&lt;15,"B",IF(#REF!&lt;16,"B+",IF(#REF!&lt;18,"A",IF(#REF!&lt;20,"A+")))))))</f>
        <v>#REF!</v>
      </c>
      <c r="D44" s="185" t="e">
        <f>IF(#REF!&lt;10,"D",IF(#REF!&lt;12,"C",IF(#REF!&lt;14,"C+",IF(#REF!&lt;15,"B",IF(#REF!&lt;16,"B+",IF(#REF!&lt;18,"A",IF(#REF!&lt;20,"A+")))))))</f>
        <v>#REF!</v>
      </c>
      <c r="E44" s="186" t="e">
        <f>IF(#REF!&lt;10,"D",IF(#REF!&lt;12,"C",IF(#REF!&lt;14,"C+",IF(#REF!&lt;15,"B",IF(#REF!&lt;16,"B+",IF(#REF!&lt;18,"A",IF(#REF!&lt;20,"A+")))))))</f>
        <v>#REF!</v>
      </c>
      <c r="F44" s="162" t="s">
        <v>51</v>
      </c>
      <c r="G44" s="163"/>
      <c r="H44" s="163"/>
      <c r="I44" s="164"/>
      <c r="J44" s="165" t="s">
        <v>52</v>
      </c>
      <c r="K44" s="167"/>
      <c r="L44" s="15"/>
      <c r="M44" s="15"/>
      <c r="N44" s="15"/>
      <c r="O44" s="15"/>
    </row>
    <row r="45" spans="2:15" ht="16.5" thickBot="1" x14ac:dyDescent="0.3">
      <c r="B45" s="31" t="s">
        <v>53</v>
      </c>
      <c r="C45" s="187" t="e">
        <f>IF(#REF!&lt;10,"D",IF(#REF!&lt;12,"C",IF(#REF!&lt;14,"C+",IF(#REF!&lt;15,"B",IF(#REF!&lt;16,"B+",IF(#REF!&lt;18,"A",IF(#REF!&lt;20,"A+")))))))</f>
        <v>#REF!</v>
      </c>
      <c r="D45" s="188" t="e">
        <f>IF(#REF!&lt;10,"D",IF(#REF!&lt;12,"C",IF(#REF!&lt;14,"C+",IF(#REF!&lt;15,"B",IF(#REF!&lt;16,"B+",IF(#REF!&lt;18,"A",IF(#REF!&lt;20,"A+")))))))</f>
        <v>#REF!</v>
      </c>
      <c r="E45" s="189" t="e">
        <f>IF(#REF!&lt;10,"D",IF(#REF!&lt;12,"C",IF(#REF!&lt;14,"C+",IF(#REF!&lt;15,"B",IF(#REF!&lt;16,"B+",IF(#REF!&lt;18,"A",IF(#REF!&lt;20,"A+")))))))</f>
        <v>#REF!</v>
      </c>
      <c r="F45" s="162" t="s">
        <v>54</v>
      </c>
      <c r="G45" s="163"/>
      <c r="H45" s="163"/>
      <c r="I45" s="164"/>
      <c r="J45" s="160" t="s">
        <v>55</v>
      </c>
      <c r="K45" s="161"/>
      <c r="L45" s="15"/>
      <c r="M45" s="15"/>
      <c r="N45" s="15"/>
      <c r="O45" s="15"/>
    </row>
    <row r="46" spans="2:15" ht="16.5" thickBot="1" x14ac:dyDescent="0.3">
      <c r="B46" s="23" t="s">
        <v>56</v>
      </c>
      <c r="C46" s="165" t="s">
        <v>57</v>
      </c>
      <c r="D46" s="166"/>
      <c r="E46" s="167"/>
      <c r="F46" s="162" t="s">
        <v>58</v>
      </c>
      <c r="G46" s="163"/>
      <c r="H46" s="163"/>
      <c r="I46" s="164"/>
      <c r="J46" s="160"/>
      <c r="K46" s="161"/>
      <c r="L46" s="15"/>
      <c r="M46" s="15"/>
      <c r="N46" s="15"/>
      <c r="O46" s="15"/>
    </row>
    <row r="47" spans="2:15" ht="16.5" thickBot="1" x14ac:dyDescent="0.3">
      <c r="B47" s="23" t="s">
        <v>59</v>
      </c>
      <c r="C47" s="168"/>
      <c r="D47" s="169"/>
      <c r="E47" s="170"/>
      <c r="F47" s="162" t="s">
        <v>60</v>
      </c>
      <c r="G47" s="163"/>
      <c r="H47" s="163"/>
      <c r="I47" s="164"/>
      <c r="J47" s="154" t="s">
        <v>61</v>
      </c>
      <c r="K47" s="155"/>
      <c r="L47" s="15"/>
      <c r="M47" s="15"/>
      <c r="N47" s="15"/>
      <c r="O47" s="15"/>
    </row>
    <row r="48" spans="2:15" ht="31.5" x14ac:dyDescent="0.25">
      <c r="B48" s="22" t="s">
        <v>62</v>
      </c>
      <c r="C48" s="145"/>
      <c r="D48" s="146"/>
      <c r="E48" s="147"/>
      <c r="F48" s="145"/>
      <c r="G48" s="146"/>
      <c r="H48" s="146"/>
      <c r="I48" s="147"/>
      <c r="J48" s="154" t="s">
        <v>63</v>
      </c>
      <c r="K48" s="155"/>
      <c r="L48" s="15"/>
      <c r="M48" s="15"/>
      <c r="N48" s="15"/>
      <c r="O48" s="15"/>
    </row>
    <row r="49" spans="2:15" ht="15.75" x14ac:dyDescent="0.25">
      <c r="B49" s="32"/>
      <c r="C49" s="148"/>
      <c r="D49" s="149"/>
      <c r="E49" s="150"/>
      <c r="F49" s="148"/>
      <c r="G49" s="149"/>
      <c r="H49" s="149"/>
      <c r="I49" s="150"/>
      <c r="J49" s="156"/>
      <c r="K49" s="157"/>
      <c r="L49" s="15"/>
      <c r="M49" s="15"/>
      <c r="N49" s="15"/>
      <c r="O49" s="15"/>
    </row>
    <row r="50" spans="2:15" ht="15.75" x14ac:dyDescent="0.25">
      <c r="B50" s="32"/>
      <c r="C50" s="148"/>
      <c r="D50" s="149"/>
      <c r="E50" s="150"/>
      <c r="F50" s="148"/>
      <c r="G50" s="149"/>
      <c r="H50" s="149"/>
      <c r="I50" s="150"/>
      <c r="J50" s="156"/>
      <c r="K50" s="157"/>
      <c r="L50" s="15"/>
      <c r="M50" s="15"/>
      <c r="N50" s="15"/>
      <c r="O50" s="15"/>
    </row>
    <row r="51" spans="2:15" ht="16.5" thickBot="1" x14ac:dyDescent="0.3">
      <c r="B51" s="31"/>
      <c r="C51" s="151"/>
      <c r="D51" s="152"/>
      <c r="E51" s="153"/>
      <c r="F51" s="151"/>
      <c r="G51" s="152"/>
      <c r="H51" s="152"/>
      <c r="I51" s="153"/>
      <c r="J51" s="158"/>
      <c r="K51" s="159"/>
      <c r="L51" s="15"/>
      <c r="M51" s="15"/>
      <c r="N51" s="15"/>
      <c r="O51" s="15"/>
    </row>
  </sheetData>
  <mergeCells count="83">
    <mergeCell ref="D20:E20"/>
    <mergeCell ref="D21:E21"/>
    <mergeCell ref="D8:E8"/>
    <mergeCell ref="D9:E9"/>
    <mergeCell ref="D13:E13"/>
    <mergeCell ref="D14:E14"/>
    <mergeCell ref="D15:E15"/>
    <mergeCell ref="H13:I13"/>
    <mergeCell ref="H4:I4"/>
    <mergeCell ref="H5:I5"/>
    <mergeCell ref="H6:I6"/>
    <mergeCell ref="H7:I7"/>
    <mergeCell ref="H8:I8"/>
    <mergeCell ref="H9:I9"/>
    <mergeCell ref="B10:K10"/>
    <mergeCell ref="C11:E11"/>
    <mergeCell ref="F11:G11"/>
    <mergeCell ref="I11:K11"/>
    <mergeCell ref="B12:K12"/>
    <mergeCell ref="D4:E4"/>
    <mergeCell ref="D5:E5"/>
    <mergeCell ref="D6:E6"/>
    <mergeCell ref="D7:E7"/>
    <mergeCell ref="B24:K24"/>
    <mergeCell ref="H14:I14"/>
    <mergeCell ref="H15:I15"/>
    <mergeCell ref="H16:I16"/>
    <mergeCell ref="B17:K17"/>
    <mergeCell ref="C18:E18"/>
    <mergeCell ref="F18:G18"/>
    <mergeCell ref="I18:K18"/>
    <mergeCell ref="B19:K19"/>
    <mergeCell ref="H20:I20"/>
    <mergeCell ref="H21:I21"/>
    <mergeCell ref="H22:I22"/>
    <mergeCell ref="H23:I23"/>
    <mergeCell ref="D22:E22"/>
    <mergeCell ref="D23:E23"/>
    <mergeCell ref="D16:E16"/>
    <mergeCell ref="B33:K33"/>
    <mergeCell ref="C25:E25"/>
    <mergeCell ref="F25:G25"/>
    <mergeCell ref="I25:K25"/>
    <mergeCell ref="B26:K26"/>
    <mergeCell ref="H27:I27"/>
    <mergeCell ref="H28:I28"/>
    <mergeCell ref="H29:I29"/>
    <mergeCell ref="H30:I30"/>
    <mergeCell ref="C32:E32"/>
    <mergeCell ref="F32:G32"/>
    <mergeCell ref="I32:K32"/>
    <mergeCell ref="D27:E27"/>
    <mergeCell ref="D28:E28"/>
    <mergeCell ref="D29:E29"/>
    <mergeCell ref="D30:E30"/>
    <mergeCell ref="F34:G34"/>
    <mergeCell ref="I34:J34"/>
    <mergeCell ref="H35:K35"/>
    <mergeCell ref="H36:I36"/>
    <mergeCell ref="C35:D35"/>
    <mergeCell ref="C36:D36"/>
    <mergeCell ref="H38:I38"/>
    <mergeCell ref="J38:K38"/>
    <mergeCell ref="B40:K40"/>
    <mergeCell ref="B41:K41"/>
    <mergeCell ref="C42:E42"/>
    <mergeCell ref="F42:K43"/>
    <mergeCell ref="C43:E45"/>
    <mergeCell ref="F44:I44"/>
    <mergeCell ref="J44:K44"/>
    <mergeCell ref="J45:K45"/>
    <mergeCell ref="J46:K46"/>
    <mergeCell ref="J47:K47"/>
    <mergeCell ref="F45:I45"/>
    <mergeCell ref="C46:E47"/>
    <mergeCell ref="F46:I46"/>
    <mergeCell ref="F47:I47"/>
    <mergeCell ref="C48:E51"/>
    <mergeCell ref="J48:K48"/>
    <mergeCell ref="F48:I51"/>
    <mergeCell ref="J49:K49"/>
    <mergeCell ref="J50:K50"/>
    <mergeCell ref="J51:K5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1"/>
  <sheetViews>
    <sheetView topLeftCell="A36" zoomScale="90" zoomScaleNormal="90" workbookViewId="0">
      <selection activeCell="B4" sqref="B4:K51"/>
    </sheetView>
  </sheetViews>
  <sheetFormatPr baseColWidth="10" defaultRowHeight="15" x14ac:dyDescent="0.25"/>
  <cols>
    <col min="2" max="2" width="44.140625" customWidth="1"/>
    <col min="3" max="3" width="12.140625" customWidth="1"/>
    <col min="5" max="5" width="16.28515625" customWidth="1"/>
    <col min="7" max="7" width="13.7109375" customWidth="1"/>
    <col min="11" max="11" width="16.42578125" customWidth="1"/>
  </cols>
  <sheetData>
    <row r="3" spans="2:15" ht="15.75" thickBot="1" x14ac:dyDescent="0.3"/>
    <row r="4" spans="2:15" ht="16.5" thickBot="1" x14ac:dyDescent="0.3">
      <c r="B4" s="93" t="s">
        <v>25</v>
      </c>
      <c r="C4" s="94" t="s">
        <v>129</v>
      </c>
      <c r="D4" s="213" t="s">
        <v>130</v>
      </c>
      <c r="E4" s="214"/>
      <c r="F4" s="94" t="s">
        <v>26</v>
      </c>
      <c r="G4" s="93" t="s">
        <v>27</v>
      </c>
      <c r="H4" s="213" t="s">
        <v>28</v>
      </c>
      <c r="I4" s="214"/>
      <c r="J4" s="94" t="s">
        <v>23</v>
      </c>
      <c r="K4" s="94" t="s">
        <v>29</v>
      </c>
      <c r="L4" s="15"/>
      <c r="M4" s="15"/>
      <c r="N4" s="15"/>
      <c r="O4" s="15"/>
    </row>
    <row r="5" spans="2:15" ht="32.25" thickBot="1" x14ac:dyDescent="0.3">
      <c r="B5" s="95" t="s">
        <v>68</v>
      </c>
      <c r="C5" s="16">
        <f>(D5+E5)/2</f>
        <v>11</v>
      </c>
      <c r="D5" s="205">
        <v>11</v>
      </c>
      <c r="E5" s="206">
        <v>11</v>
      </c>
      <c r="F5" s="17">
        <v>3</v>
      </c>
      <c r="G5" s="18">
        <f>C5*F5</f>
        <v>33</v>
      </c>
      <c r="H5" s="202">
        <v>11.461538461538462</v>
      </c>
      <c r="I5" s="203">
        <v>11.461538461538462</v>
      </c>
      <c r="J5" s="35"/>
      <c r="K5" s="16" t="str">
        <f>IF(C5&lt;10,"D",IF(C5&lt;12,"C",IF(C5&lt;14,"C+",IF(C5&lt;15,"B",IF(C5&lt;16,"B+",IF(C5&lt;18,"A",IF(C5&lt;20,"A+")))))))</f>
        <v>C</v>
      </c>
      <c r="L5" s="15"/>
      <c r="M5" s="15"/>
      <c r="N5" s="19">
        <f>D5*F5</f>
        <v>33</v>
      </c>
      <c r="O5" s="19">
        <f>E5*F5</f>
        <v>33</v>
      </c>
    </row>
    <row r="6" spans="2:15" ht="32.25" thickBot="1" x14ac:dyDescent="0.3">
      <c r="B6" s="95" t="s">
        <v>115</v>
      </c>
      <c r="C6" s="16">
        <f t="shared" ref="C6:C9" si="0">(D6+E6)/2</f>
        <v>8</v>
      </c>
      <c r="D6" s="205">
        <v>8</v>
      </c>
      <c r="E6" s="206">
        <v>8</v>
      </c>
      <c r="F6" s="17">
        <v>1</v>
      </c>
      <c r="G6" s="18">
        <f t="shared" ref="G6:G9" si="1">C6*F6</f>
        <v>8</v>
      </c>
      <c r="H6" s="202">
        <v>7.1538461538461542</v>
      </c>
      <c r="I6" s="203">
        <v>7.1538461538461542</v>
      </c>
      <c r="J6" s="35"/>
      <c r="K6" s="16" t="str">
        <f t="shared" ref="K6:K9" si="2">IF(C6&lt;10,"D",IF(C6&lt;12,"C",IF(C6&lt;14,"C+",IF(C6&lt;15,"B",IF(C6&lt;16,"B+",IF(C6&lt;18,"A",IF(C6&lt;20,"A+")))))))</f>
        <v>D</v>
      </c>
      <c r="L6" s="15"/>
      <c r="M6" s="15"/>
      <c r="N6" s="19">
        <f t="shared" ref="N6:N9" si="3">D6*F6</f>
        <v>8</v>
      </c>
      <c r="O6" s="19">
        <f t="shared" ref="O6:O9" si="4">E6*F6</f>
        <v>8</v>
      </c>
    </row>
    <row r="7" spans="2:15" ht="32.25" thickBot="1" x14ac:dyDescent="0.3">
      <c r="B7" s="95" t="s">
        <v>116</v>
      </c>
      <c r="C7" s="16">
        <f t="shared" si="0"/>
        <v>8</v>
      </c>
      <c r="D7" s="205">
        <v>8</v>
      </c>
      <c r="E7" s="206">
        <v>8</v>
      </c>
      <c r="F7" s="17">
        <v>2</v>
      </c>
      <c r="G7" s="18">
        <f t="shared" si="1"/>
        <v>16</v>
      </c>
      <c r="H7" s="202">
        <v>10.423076923076923</v>
      </c>
      <c r="I7" s="203">
        <v>10.423076923076923</v>
      </c>
      <c r="J7" s="35"/>
      <c r="K7" s="16" t="str">
        <f t="shared" si="2"/>
        <v>D</v>
      </c>
      <c r="L7" s="15"/>
      <c r="M7" s="15"/>
      <c r="N7" s="19">
        <f t="shared" si="3"/>
        <v>16</v>
      </c>
      <c r="O7" s="19">
        <f t="shared" si="4"/>
        <v>16</v>
      </c>
    </row>
    <row r="8" spans="2:15" ht="32.25" thickBot="1" x14ac:dyDescent="0.3">
      <c r="B8" s="95" t="s">
        <v>117</v>
      </c>
      <c r="C8" s="16">
        <f t="shared" si="0"/>
        <v>8</v>
      </c>
      <c r="D8" s="205">
        <v>8</v>
      </c>
      <c r="E8" s="206">
        <v>8</v>
      </c>
      <c r="F8" s="17">
        <v>1</v>
      </c>
      <c r="G8" s="18">
        <f t="shared" si="1"/>
        <v>8</v>
      </c>
      <c r="H8" s="202">
        <v>9.2307692307692299</v>
      </c>
      <c r="I8" s="203">
        <v>9.2307692307692299</v>
      </c>
      <c r="J8" s="35"/>
      <c r="K8" s="16" t="str">
        <f t="shared" si="2"/>
        <v>D</v>
      </c>
      <c r="L8" s="15"/>
      <c r="M8" s="15"/>
      <c r="N8" s="19">
        <f t="shared" si="3"/>
        <v>8</v>
      </c>
      <c r="O8" s="19">
        <f t="shared" si="4"/>
        <v>8</v>
      </c>
    </row>
    <row r="9" spans="2:15" ht="32.25" thickBot="1" x14ac:dyDescent="0.3">
      <c r="B9" s="95" t="s">
        <v>64</v>
      </c>
      <c r="C9" s="16">
        <f t="shared" si="0"/>
        <v>8</v>
      </c>
      <c r="D9" s="205">
        <v>8</v>
      </c>
      <c r="E9" s="206">
        <v>8</v>
      </c>
      <c r="F9" s="17">
        <v>2</v>
      </c>
      <c r="G9" s="18">
        <f t="shared" si="1"/>
        <v>16</v>
      </c>
      <c r="H9" s="202">
        <v>9.9230769230769234</v>
      </c>
      <c r="I9" s="203">
        <v>9.9230769230769234</v>
      </c>
      <c r="J9" s="35"/>
      <c r="K9" s="16" t="str">
        <f t="shared" si="2"/>
        <v>D</v>
      </c>
      <c r="L9" s="15"/>
      <c r="M9" s="15"/>
      <c r="N9" s="19">
        <f t="shared" si="3"/>
        <v>16</v>
      </c>
      <c r="O9" s="19">
        <f t="shared" si="4"/>
        <v>16</v>
      </c>
    </row>
    <row r="10" spans="2:15" ht="16.5" thickBot="1" x14ac:dyDescent="0.3">
      <c r="B10" s="207" t="s">
        <v>30</v>
      </c>
      <c r="C10" s="208"/>
      <c r="D10" s="208"/>
      <c r="E10" s="208"/>
      <c r="F10" s="208"/>
      <c r="G10" s="208"/>
      <c r="H10" s="208"/>
      <c r="I10" s="208"/>
      <c r="J10" s="208"/>
      <c r="K10" s="209"/>
      <c r="L10" s="15"/>
      <c r="M10" s="15"/>
      <c r="N10" s="15"/>
      <c r="O10" s="15"/>
    </row>
    <row r="11" spans="2:15" ht="16.5" thickBot="1" x14ac:dyDescent="0.3">
      <c r="B11" s="20" t="s">
        <v>31</v>
      </c>
      <c r="C11" s="195">
        <f>(SUM(G5:G9)/SUM(F5:F9))</f>
        <v>9</v>
      </c>
      <c r="D11" s="195"/>
      <c r="E11" s="195"/>
      <c r="F11" s="196" t="s">
        <v>32</v>
      </c>
      <c r="G11" s="196"/>
      <c r="H11" s="98"/>
      <c r="I11" s="190"/>
      <c r="J11" s="190"/>
      <c r="K11" s="197"/>
      <c r="L11" s="15"/>
      <c r="M11" s="15"/>
      <c r="N11" s="15"/>
      <c r="O11" s="15"/>
    </row>
    <row r="12" spans="2:15" ht="16.5" thickBot="1" x14ac:dyDescent="0.3">
      <c r="B12" s="198"/>
      <c r="C12" s="199"/>
      <c r="D12" s="199"/>
      <c r="E12" s="199"/>
      <c r="F12" s="199"/>
      <c r="G12" s="199"/>
      <c r="H12" s="199"/>
      <c r="I12" s="199"/>
      <c r="J12" s="199"/>
      <c r="K12" s="201"/>
      <c r="L12" s="15"/>
      <c r="M12" s="15"/>
      <c r="N12" s="15"/>
      <c r="O12" s="15"/>
    </row>
    <row r="13" spans="2:15" ht="32.25" thickBot="1" x14ac:dyDescent="0.3">
      <c r="B13" s="95" t="s">
        <v>65</v>
      </c>
      <c r="C13" s="16">
        <f t="shared" ref="C13:C16" si="5">(D13+E13)/2</f>
        <v>11</v>
      </c>
      <c r="D13" s="205">
        <v>11</v>
      </c>
      <c r="E13" s="206">
        <v>11</v>
      </c>
      <c r="F13" s="17">
        <v>2</v>
      </c>
      <c r="G13" s="18">
        <f t="shared" ref="G13:G16" si="6">C13*F13</f>
        <v>22</v>
      </c>
      <c r="H13" s="202">
        <v>11.384615384615385</v>
      </c>
      <c r="I13" s="203">
        <v>11.384615384615385</v>
      </c>
      <c r="J13" s="35"/>
      <c r="K13" s="16" t="str">
        <f t="shared" ref="K13:K16" si="7">IF(C13&lt;10,"D",IF(C13&lt;12,"C",IF(C13&lt;14,"C+",IF(C13&lt;15,"B",IF(C13&lt;16,"B+",IF(C13&lt;18,"A",IF(C13&lt;20,"A+")))))))</f>
        <v>C</v>
      </c>
      <c r="L13" s="15"/>
      <c r="M13" s="15"/>
      <c r="N13" s="19">
        <f t="shared" ref="N13:N16" si="8">D13*F13</f>
        <v>22</v>
      </c>
      <c r="O13" s="19">
        <f t="shared" ref="O13:O16" si="9">E13*F13</f>
        <v>22</v>
      </c>
    </row>
    <row r="14" spans="2:15" ht="32.25" thickBot="1" x14ac:dyDescent="0.3">
      <c r="B14" s="95" t="s">
        <v>118</v>
      </c>
      <c r="C14" s="16">
        <f t="shared" si="5"/>
        <v>13</v>
      </c>
      <c r="D14" s="205">
        <v>13</v>
      </c>
      <c r="E14" s="206">
        <v>13</v>
      </c>
      <c r="F14" s="17">
        <v>2</v>
      </c>
      <c r="G14" s="18">
        <f t="shared" si="6"/>
        <v>26</v>
      </c>
      <c r="H14" s="202">
        <v>10.692307692307692</v>
      </c>
      <c r="I14" s="203">
        <v>10.692307692307692</v>
      </c>
      <c r="J14" s="35"/>
      <c r="K14" s="16" t="str">
        <f t="shared" si="7"/>
        <v>C+</v>
      </c>
      <c r="L14" s="15"/>
      <c r="M14" s="15"/>
      <c r="N14" s="19">
        <f t="shared" si="8"/>
        <v>26</v>
      </c>
      <c r="O14" s="19">
        <f t="shared" si="9"/>
        <v>26</v>
      </c>
    </row>
    <row r="15" spans="2:15" ht="32.25" thickBot="1" x14ac:dyDescent="0.3">
      <c r="B15" s="95" t="s">
        <v>119</v>
      </c>
      <c r="C15" s="16">
        <f t="shared" si="5"/>
        <v>9</v>
      </c>
      <c r="D15" s="205">
        <v>9</v>
      </c>
      <c r="E15" s="206">
        <v>9</v>
      </c>
      <c r="F15" s="17">
        <v>2</v>
      </c>
      <c r="G15" s="18">
        <f t="shared" si="6"/>
        <v>18</v>
      </c>
      <c r="H15" s="202">
        <v>11.692307692307692</v>
      </c>
      <c r="I15" s="203">
        <v>11.692307692307692</v>
      </c>
      <c r="J15" s="35"/>
      <c r="K15" s="16" t="str">
        <f t="shared" si="7"/>
        <v>D</v>
      </c>
      <c r="L15" s="15"/>
      <c r="M15" s="15"/>
      <c r="N15" s="19">
        <f t="shared" si="8"/>
        <v>18</v>
      </c>
      <c r="O15" s="19">
        <f t="shared" si="9"/>
        <v>18</v>
      </c>
    </row>
    <row r="16" spans="2:15" ht="32.25" thickBot="1" x14ac:dyDescent="0.3">
      <c r="B16" s="95" t="s">
        <v>66</v>
      </c>
      <c r="C16" s="16">
        <f t="shared" si="5"/>
        <v>16</v>
      </c>
      <c r="D16" s="205">
        <v>16</v>
      </c>
      <c r="E16" s="206">
        <v>16</v>
      </c>
      <c r="F16" s="17">
        <v>1</v>
      </c>
      <c r="G16" s="18">
        <f t="shared" si="6"/>
        <v>16</v>
      </c>
      <c r="H16" s="202">
        <v>16</v>
      </c>
      <c r="I16" s="203"/>
      <c r="J16" s="35"/>
      <c r="K16" s="16" t="str">
        <f t="shared" si="7"/>
        <v>A</v>
      </c>
      <c r="L16" s="15"/>
      <c r="M16" s="15"/>
      <c r="N16" s="19">
        <f t="shared" si="8"/>
        <v>16</v>
      </c>
      <c r="O16" s="19">
        <f t="shared" si="9"/>
        <v>16</v>
      </c>
    </row>
    <row r="17" spans="2:15" ht="16.5" thickBot="1" x14ac:dyDescent="0.3">
      <c r="B17" s="207" t="s">
        <v>33</v>
      </c>
      <c r="C17" s="208"/>
      <c r="D17" s="208"/>
      <c r="E17" s="208"/>
      <c r="F17" s="208"/>
      <c r="G17" s="208"/>
      <c r="H17" s="208"/>
      <c r="I17" s="208"/>
      <c r="J17" s="208"/>
      <c r="K17" s="209"/>
      <c r="L17" s="15"/>
      <c r="M17" s="15"/>
      <c r="N17" s="15"/>
      <c r="O17" s="15"/>
    </row>
    <row r="18" spans="2:15" ht="16.5" thickBot="1" x14ac:dyDescent="0.3">
      <c r="B18" s="20" t="s">
        <v>34</v>
      </c>
      <c r="C18" s="195">
        <f>(SUM(G13:G16)/SUM(F13:F16))</f>
        <v>11.714285714285714</v>
      </c>
      <c r="D18" s="195"/>
      <c r="E18" s="195"/>
      <c r="F18" s="196" t="s">
        <v>32</v>
      </c>
      <c r="G18" s="196"/>
      <c r="H18" s="98"/>
      <c r="I18" s="190"/>
      <c r="J18" s="190"/>
      <c r="K18" s="197"/>
      <c r="L18" s="15"/>
      <c r="M18" s="15"/>
      <c r="N18" s="15"/>
      <c r="O18" s="15"/>
    </row>
    <row r="19" spans="2:15" ht="16.5" thickBot="1" x14ac:dyDescent="0.3">
      <c r="B19" s="210"/>
      <c r="C19" s="211"/>
      <c r="D19" s="211"/>
      <c r="E19" s="211"/>
      <c r="F19" s="211"/>
      <c r="G19" s="211"/>
      <c r="H19" s="211"/>
      <c r="I19" s="211"/>
      <c r="J19" s="211"/>
      <c r="K19" s="212"/>
      <c r="L19" s="15"/>
      <c r="M19" s="15"/>
      <c r="N19" s="15"/>
      <c r="O19" s="15"/>
    </row>
    <row r="20" spans="2:15" ht="32.25" thickBot="1" x14ac:dyDescent="0.3">
      <c r="B20" s="95" t="s">
        <v>69</v>
      </c>
      <c r="C20" s="16">
        <f t="shared" ref="C20:C23" si="10">(D20+E20)/2</f>
        <v>4</v>
      </c>
      <c r="D20" s="205">
        <v>4</v>
      </c>
      <c r="E20" s="206">
        <v>4</v>
      </c>
      <c r="F20" s="17">
        <v>2</v>
      </c>
      <c r="G20" s="18">
        <f t="shared" ref="G20:G23" si="11">C20*F20</f>
        <v>8</v>
      </c>
      <c r="H20" s="202">
        <v>8.2307692307692299</v>
      </c>
      <c r="I20" s="203">
        <v>8.2307692307692299</v>
      </c>
      <c r="J20" s="35"/>
      <c r="K20" s="16" t="str">
        <f t="shared" ref="K20:K23" si="12">IF(C20&lt;10,"D",IF(C20&lt;12,"C",IF(C20&lt;14,"C+",IF(C20&lt;15,"B",IF(C20&lt;16,"B+",IF(C20&lt;18,"A",IF(C20&lt;20,"A+")))))))</f>
        <v>D</v>
      </c>
      <c r="L20" s="15"/>
      <c r="M20" s="15"/>
      <c r="N20" s="19">
        <f t="shared" ref="N20:N23" si="13">D20*F20</f>
        <v>8</v>
      </c>
      <c r="O20" s="19">
        <f t="shared" ref="O20:O23" si="14">E20*F20</f>
        <v>8</v>
      </c>
    </row>
    <row r="21" spans="2:15" ht="32.25" thickBot="1" x14ac:dyDescent="0.3">
      <c r="B21" s="95" t="s">
        <v>70</v>
      </c>
      <c r="C21" s="16">
        <f t="shared" si="10"/>
        <v>5</v>
      </c>
      <c r="D21" s="205">
        <v>5</v>
      </c>
      <c r="E21" s="206">
        <v>5</v>
      </c>
      <c r="F21" s="17">
        <v>4</v>
      </c>
      <c r="G21" s="18">
        <f t="shared" si="11"/>
        <v>20</v>
      </c>
      <c r="H21" s="202">
        <v>4.2692307692307692</v>
      </c>
      <c r="I21" s="203">
        <v>4.2692307692307692</v>
      </c>
      <c r="J21" s="35"/>
      <c r="K21" s="16" t="str">
        <f t="shared" si="12"/>
        <v>D</v>
      </c>
      <c r="L21" s="15"/>
      <c r="M21" s="15"/>
      <c r="N21" s="19">
        <f t="shared" si="13"/>
        <v>20</v>
      </c>
      <c r="O21" s="19">
        <f t="shared" si="14"/>
        <v>20</v>
      </c>
    </row>
    <row r="22" spans="2:15" ht="32.25" thickBot="1" x14ac:dyDescent="0.3">
      <c r="B22" s="95" t="s">
        <v>120</v>
      </c>
      <c r="C22" s="16">
        <f t="shared" si="10"/>
        <v>6</v>
      </c>
      <c r="D22" s="205">
        <v>6</v>
      </c>
      <c r="E22" s="206">
        <v>6</v>
      </c>
      <c r="F22" s="17">
        <v>2</v>
      </c>
      <c r="G22" s="18">
        <f t="shared" si="11"/>
        <v>12</v>
      </c>
      <c r="H22" s="202">
        <v>5.6538461538461542</v>
      </c>
      <c r="I22" s="203">
        <v>5.6538461538461542</v>
      </c>
      <c r="J22" s="35"/>
      <c r="K22" s="16" t="str">
        <f t="shared" si="12"/>
        <v>D</v>
      </c>
      <c r="L22" s="15"/>
      <c r="M22" s="15"/>
      <c r="N22" s="19">
        <f t="shared" si="13"/>
        <v>12</v>
      </c>
      <c r="O22" s="19">
        <f t="shared" si="14"/>
        <v>12</v>
      </c>
    </row>
    <row r="23" spans="2:15" ht="32.25" thickBot="1" x14ac:dyDescent="0.3">
      <c r="B23" s="95" t="s">
        <v>71</v>
      </c>
      <c r="C23" s="16">
        <f t="shared" si="10"/>
        <v>8</v>
      </c>
      <c r="D23" s="205">
        <v>8</v>
      </c>
      <c r="E23" s="206">
        <v>8</v>
      </c>
      <c r="F23" s="17">
        <v>2</v>
      </c>
      <c r="G23" s="18">
        <f t="shared" si="11"/>
        <v>16</v>
      </c>
      <c r="H23" s="202">
        <v>9.7692307692307701</v>
      </c>
      <c r="I23" s="203">
        <v>9.7692307692307701</v>
      </c>
      <c r="J23" s="35"/>
      <c r="K23" s="16" t="str">
        <f t="shared" si="12"/>
        <v>D</v>
      </c>
      <c r="L23" s="15"/>
      <c r="M23" s="15"/>
      <c r="N23" s="19">
        <f t="shared" si="13"/>
        <v>16</v>
      </c>
      <c r="O23" s="19">
        <f t="shared" si="14"/>
        <v>16</v>
      </c>
    </row>
    <row r="24" spans="2:15" ht="16.5" thickBot="1" x14ac:dyDescent="0.3">
      <c r="B24" s="207" t="s">
        <v>35</v>
      </c>
      <c r="C24" s="208"/>
      <c r="D24" s="208"/>
      <c r="E24" s="208"/>
      <c r="F24" s="208"/>
      <c r="G24" s="208"/>
      <c r="H24" s="208"/>
      <c r="I24" s="208"/>
      <c r="J24" s="208"/>
      <c r="K24" s="209"/>
      <c r="L24" s="15"/>
      <c r="M24" s="15"/>
      <c r="N24" s="15"/>
      <c r="O24" s="15"/>
    </row>
    <row r="25" spans="2:15" ht="16.5" thickBot="1" x14ac:dyDescent="0.3">
      <c r="B25" s="20" t="s">
        <v>31</v>
      </c>
      <c r="C25" s="195">
        <f>(SUM(G20:G23)/SUM(F20:F23))</f>
        <v>5.6</v>
      </c>
      <c r="D25" s="195"/>
      <c r="E25" s="195"/>
      <c r="F25" s="196" t="s">
        <v>32</v>
      </c>
      <c r="G25" s="196"/>
      <c r="H25" s="98"/>
      <c r="I25" s="190"/>
      <c r="J25" s="190"/>
      <c r="K25" s="197"/>
      <c r="L25" s="15"/>
      <c r="M25" s="15"/>
      <c r="N25" s="15"/>
      <c r="O25" s="15"/>
    </row>
    <row r="26" spans="2:15" ht="16.5" thickBot="1" x14ac:dyDescent="0.3">
      <c r="B26" s="198"/>
      <c r="C26" s="199"/>
      <c r="D26" s="199"/>
      <c r="E26" s="199"/>
      <c r="F26" s="199"/>
      <c r="G26" s="199"/>
      <c r="H26" s="200"/>
      <c r="I26" s="200"/>
      <c r="J26" s="200"/>
      <c r="K26" s="201"/>
      <c r="L26" s="15"/>
      <c r="M26" s="15"/>
      <c r="N26" s="15"/>
      <c r="O26" s="15"/>
    </row>
    <row r="27" spans="2:15" ht="32.25" thickBot="1" x14ac:dyDescent="0.3">
      <c r="B27" s="95" t="s">
        <v>67</v>
      </c>
      <c r="C27" s="16">
        <f t="shared" ref="C27:C30" si="15">(D27+E27)/2</f>
        <v>16</v>
      </c>
      <c r="D27" s="205">
        <v>16</v>
      </c>
      <c r="E27" s="206">
        <v>16</v>
      </c>
      <c r="F27" s="17">
        <v>1</v>
      </c>
      <c r="G27" s="18">
        <f t="shared" ref="G27:G30" si="16">C27*F27</f>
        <v>16</v>
      </c>
      <c r="H27" s="202">
        <v>16</v>
      </c>
      <c r="I27" s="203">
        <v>16</v>
      </c>
      <c r="J27" s="35"/>
      <c r="K27" s="16" t="str">
        <f t="shared" ref="K27:K30" si="17">IF(C27&lt;10,"D",IF(C27&lt;12,"C",IF(C27&lt;14,"C+",IF(C27&lt;15,"B",IF(C27&lt;16,"B+",IF(C27&lt;18,"A",IF(C27&lt;20,"A+")))))))</f>
        <v>A</v>
      </c>
      <c r="L27" s="15"/>
      <c r="M27" s="15"/>
      <c r="N27" s="19">
        <f t="shared" ref="N27:N30" si="18">D27*F27</f>
        <v>16</v>
      </c>
      <c r="O27" s="19">
        <f t="shared" ref="O27:O30" si="19">E27*F27</f>
        <v>16</v>
      </c>
    </row>
    <row r="28" spans="2:15" ht="32.25" thickBot="1" x14ac:dyDescent="0.3">
      <c r="B28" s="95" t="s">
        <v>122</v>
      </c>
      <c r="C28" s="16">
        <f t="shared" si="15"/>
        <v>15</v>
      </c>
      <c r="D28" s="205">
        <v>15</v>
      </c>
      <c r="E28" s="206">
        <v>15</v>
      </c>
      <c r="F28" s="17">
        <v>2</v>
      </c>
      <c r="G28" s="18">
        <f t="shared" si="16"/>
        <v>30</v>
      </c>
      <c r="H28" s="202">
        <v>15.846153846153847</v>
      </c>
      <c r="I28" s="203">
        <v>15.846153846153847</v>
      </c>
      <c r="J28" s="35"/>
      <c r="K28" s="16" t="str">
        <f t="shared" si="17"/>
        <v>B+</v>
      </c>
      <c r="L28" s="15"/>
      <c r="M28" s="15"/>
      <c r="N28" s="19">
        <f t="shared" si="18"/>
        <v>30</v>
      </c>
      <c r="O28" s="19">
        <f t="shared" si="19"/>
        <v>30</v>
      </c>
    </row>
    <row r="29" spans="2:15" ht="32.25" thickBot="1" x14ac:dyDescent="0.3">
      <c r="B29" s="95" t="s">
        <v>72</v>
      </c>
      <c r="C29" s="16">
        <f t="shared" si="15"/>
        <v>10</v>
      </c>
      <c r="D29" s="205">
        <v>10</v>
      </c>
      <c r="E29" s="206">
        <v>10</v>
      </c>
      <c r="F29" s="17">
        <v>1</v>
      </c>
      <c r="G29" s="18">
        <f t="shared" si="16"/>
        <v>10</v>
      </c>
      <c r="H29" s="202">
        <v>12.76923076923077</v>
      </c>
      <c r="I29" s="203">
        <v>12.76923076923077</v>
      </c>
      <c r="J29" s="35"/>
      <c r="K29" s="16" t="str">
        <f t="shared" si="17"/>
        <v>C</v>
      </c>
      <c r="L29" s="15"/>
      <c r="M29" s="15"/>
      <c r="N29" s="19">
        <f t="shared" si="18"/>
        <v>10</v>
      </c>
      <c r="O29" s="19">
        <f t="shared" si="19"/>
        <v>10</v>
      </c>
    </row>
    <row r="30" spans="2:15" ht="32.25" thickBot="1" x14ac:dyDescent="0.3">
      <c r="B30" s="95" t="s">
        <v>121</v>
      </c>
      <c r="C30" s="16">
        <f t="shared" si="15"/>
        <v>8.5</v>
      </c>
      <c r="D30" s="205">
        <v>17</v>
      </c>
      <c r="E30" s="206"/>
      <c r="F30" s="17">
        <v>1</v>
      </c>
      <c r="G30" s="18">
        <f t="shared" si="16"/>
        <v>8.5</v>
      </c>
      <c r="H30" s="202">
        <v>17</v>
      </c>
      <c r="I30" s="203"/>
      <c r="J30" s="35"/>
      <c r="K30" s="16" t="str">
        <f t="shared" si="17"/>
        <v>D</v>
      </c>
      <c r="L30" s="15"/>
      <c r="M30" s="15"/>
      <c r="N30" s="19">
        <f t="shared" si="18"/>
        <v>17</v>
      </c>
      <c r="O30" s="19">
        <f t="shared" si="19"/>
        <v>0</v>
      </c>
    </row>
    <row r="31" spans="2:15" ht="16.5" thickBot="1" x14ac:dyDescent="0.3">
      <c r="B31" s="95" t="s">
        <v>36</v>
      </c>
      <c r="C31" s="96"/>
      <c r="D31" s="96"/>
      <c r="E31" s="96"/>
      <c r="F31" s="96"/>
      <c r="G31" s="96"/>
      <c r="H31" s="96"/>
      <c r="I31" s="96"/>
      <c r="J31" s="96"/>
      <c r="K31" s="97"/>
      <c r="L31" s="15"/>
      <c r="M31" s="15"/>
      <c r="N31" s="15">
        <f>SUM(N5:N30)</f>
        <v>292</v>
      </c>
      <c r="O31" s="15">
        <f>SUM(O5:O30)</f>
        <v>275</v>
      </c>
    </row>
    <row r="32" spans="2:15" ht="16.5" thickBot="1" x14ac:dyDescent="0.3">
      <c r="B32" s="21" t="s">
        <v>34</v>
      </c>
      <c r="C32" s="195">
        <f>(SUM(G27:G30)/SUM(F27:F30))</f>
        <v>12.9</v>
      </c>
      <c r="D32" s="195"/>
      <c r="E32" s="195"/>
      <c r="F32" s="204" t="s">
        <v>32</v>
      </c>
      <c r="G32" s="204"/>
      <c r="H32" s="99"/>
      <c r="I32" s="163"/>
      <c r="J32" s="163"/>
      <c r="K32" s="164"/>
      <c r="L32" s="15"/>
      <c r="M32" s="15"/>
      <c r="N32" s="15">
        <v>31</v>
      </c>
      <c r="O32" s="15">
        <v>31</v>
      </c>
    </row>
    <row r="33" spans="2:15" ht="16.5" thickBot="1" x14ac:dyDescent="0.3">
      <c r="B33" s="178"/>
      <c r="C33" s="179"/>
      <c r="D33" s="179"/>
      <c r="E33" s="179"/>
      <c r="F33" s="179"/>
      <c r="G33" s="179"/>
      <c r="H33" s="179"/>
      <c r="I33" s="179"/>
      <c r="J33" s="179"/>
      <c r="K33" s="180"/>
      <c r="L33" s="15"/>
      <c r="M33" s="15"/>
      <c r="N33" s="15">
        <f>N31/N32</f>
        <v>9.4193548387096779</v>
      </c>
      <c r="O33" s="15">
        <f>O31/O32</f>
        <v>8.870967741935484</v>
      </c>
    </row>
    <row r="34" spans="2:15" ht="48" thickBot="1" x14ac:dyDescent="0.3">
      <c r="B34" s="22" t="s">
        <v>37</v>
      </c>
      <c r="C34" s="23" t="s">
        <v>38</v>
      </c>
      <c r="D34" s="99">
        <v>10.220000000000001</v>
      </c>
      <c r="E34" s="24" t="s">
        <v>39</v>
      </c>
      <c r="F34" s="190">
        <v>11.9</v>
      </c>
      <c r="G34" s="190"/>
      <c r="H34" s="24" t="s">
        <v>40</v>
      </c>
      <c r="I34" s="190">
        <v>8.4499999999999993</v>
      </c>
      <c r="J34" s="190"/>
      <c r="K34" s="25"/>
      <c r="L34" s="26"/>
      <c r="M34" s="26"/>
      <c r="N34" s="26"/>
      <c r="O34" s="26"/>
    </row>
    <row r="35" spans="2:15" ht="15.75" x14ac:dyDescent="0.25">
      <c r="B35" s="74"/>
      <c r="C35" s="193" t="s">
        <v>130</v>
      </c>
      <c r="D35" s="193"/>
      <c r="E35" s="75"/>
      <c r="F35" s="75"/>
      <c r="G35" s="76"/>
      <c r="H35" s="145"/>
      <c r="I35" s="146"/>
      <c r="J35" s="146"/>
      <c r="K35" s="147"/>
      <c r="L35" s="15"/>
      <c r="M35" s="15"/>
      <c r="N35" s="15"/>
      <c r="O35" s="15"/>
    </row>
    <row r="36" spans="2:15" ht="15.75" x14ac:dyDescent="0.25">
      <c r="B36" s="77" t="s">
        <v>41</v>
      </c>
      <c r="C36" s="194">
        <f>N33</f>
        <v>9.4193548387096779</v>
      </c>
      <c r="D36" s="194"/>
      <c r="E36" s="79" t="s">
        <v>131</v>
      </c>
      <c r="F36" s="80">
        <f>C36</f>
        <v>9.4193548387096779</v>
      </c>
      <c r="G36" s="81" t="s">
        <v>42</v>
      </c>
      <c r="H36" s="191" t="s">
        <v>43</v>
      </c>
      <c r="I36" s="192"/>
      <c r="J36" s="27" t="s">
        <v>139</v>
      </c>
      <c r="K36" s="28" t="s">
        <v>113</v>
      </c>
      <c r="L36" s="15"/>
      <c r="M36" s="15"/>
      <c r="N36" s="15"/>
      <c r="O36" s="15"/>
    </row>
    <row r="37" spans="2:15" ht="12.75" customHeight="1" x14ac:dyDescent="0.25">
      <c r="B37" s="77"/>
      <c r="C37" s="78"/>
      <c r="D37" s="78"/>
      <c r="E37" s="79"/>
      <c r="F37" s="80"/>
      <c r="G37" s="81"/>
      <c r="H37" s="100"/>
      <c r="I37" s="101"/>
      <c r="J37" s="27"/>
      <c r="K37" s="28"/>
      <c r="L37" s="15"/>
      <c r="M37" s="15"/>
      <c r="N37" s="15"/>
      <c r="O37" s="15"/>
    </row>
    <row r="38" spans="2:15" ht="18" customHeight="1" x14ac:dyDescent="0.25">
      <c r="B38" s="102" t="s">
        <v>132</v>
      </c>
      <c r="C38" s="103" t="s">
        <v>133</v>
      </c>
      <c r="D38" s="103" t="s">
        <v>134</v>
      </c>
      <c r="E38" s="104" t="s">
        <v>135</v>
      </c>
      <c r="F38" s="105">
        <f>AVERAGE(B39:C39:D39)</f>
        <v>9.4346774193548377</v>
      </c>
      <c r="G38" s="106" t="s">
        <v>42</v>
      </c>
      <c r="H38" s="171" t="s">
        <v>136</v>
      </c>
      <c r="I38" s="172"/>
      <c r="J38" s="173" t="s">
        <v>162</v>
      </c>
      <c r="K38" s="174"/>
      <c r="L38" s="15"/>
      <c r="M38" s="15"/>
      <c r="N38" s="15"/>
      <c r="O38" s="15"/>
    </row>
    <row r="39" spans="2:15" ht="25.5" customHeight="1" thickBot="1" x14ac:dyDescent="0.3">
      <c r="B39" s="107">
        <v>9.4499999999999993</v>
      </c>
      <c r="C39" s="108" t="s">
        <v>112</v>
      </c>
      <c r="D39" s="108">
        <f>F36</f>
        <v>9.4193548387096779</v>
      </c>
      <c r="E39" s="109"/>
      <c r="F39" s="110"/>
      <c r="G39" s="111"/>
      <c r="H39" s="101"/>
      <c r="I39" s="101"/>
      <c r="J39" s="27"/>
      <c r="K39" s="28"/>
      <c r="L39" s="15"/>
      <c r="M39" s="15"/>
      <c r="N39" s="15"/>
      <c r="O39" s="15"/>
    </row>
    <row r="40" spans="2:15" ht="16.5" thickBot="1" x14ac:dyDescent="0.3">
      <c r="B40" s="175" t="s">
        <v>44</v>
      </c>
      <c r="C40" s="176"/>
      <c r="D40" s="176"/>
      <c r="E40" s="176"/>
      <c r="F40" s="176"/>
      <c r="G40" s="176"/>
      <c r="H40" s="176"/>
      <c r="I40" s="176"/>
      <c r="J40" s="176"/>
      <c r="K40" s="177"/>
      <c r="L40" s="15"/>
      <c r="M40" s="15"/>
      <c r="N40" s="15"/>
      <c r="O40" s="15"/>
    </row>
    <row r="41" spans="2:15" ht="16.5" thickBot="1" x14ac:dyDescent="0.3">
      <c r="B41" s="162" t="s">
        <v>45</v>
      </c>
      <c r="C41" s="163"/>
      <c r="D41" s="163"/>
      <c r="E41" s="163"/>
      <c r="F41" s="163"/>
      <c r="G41" s="163"/>
      <c r="H41" s="163"/>
      <c r="I41" s="163"/>
      <c r="J41" s="163"/>
      <c r="K41" s="164"/>
      <c r="L41" s="15"/>
      <c r="M41" s="15"/>
      <c r="N41" s="15"/>
      <c r="O41" s="15"/>
    </row>
    <row r="42" spans="2:15" ht="16.5" thickBot="1" x14ac:dyDescent="0.3">
      <c r="B42" s="22" t="s">
        <v>46</v>
      </c>
      <c r="C42" s="178" t="s">
        <v>47</v>
      </c>
      <c r="D42" s="179"/>
      <c r="E42" s="180"/>
      <c r="F42" s="165" t="s">
        <v>48</v>
      </c>
      <c r="G42" s="166"/>
      <c r="H42" s="166"/>
      <c r="I42" s="166"/>
      <c r="J42" s="166"/>
      <c r="K42" s="167"/>
      <c r="L42" s="15"/>
      <c r="M42" s="15"/>
      <c r="N42" s="15"/>
      <c r="O42" s="15"/>
    </row>
    <row r="43" spans="2:15" ht="16.5" thickBot="1" x14ac:dyDescent="0.3">
      <c r="B43" s="29" t="s">
        <v>49</v>
      </c>
      <c r="C43" s="181" t="str">
        <f>IF(F38&lt;10,"CNA",IF(F38&lt;12,"CMA",IF(F38&lt;14,"CA",IF(F38&lt;16,"CBA",IF(F38&lt;20,"CTBA")))))</f>
        <v>CNA</v>
      </c>
      <c r="D43" s="182" t="e">
        <f>IF(#REF!&lt;10,"D",IF(#REF!&lt;12,"C",IF(#REF!&lt;14,"C+",IF(#REF!&lt;15,"B",IF(#REF!&lt;16,"B+",IF(#REF!&lt;18,"A",IF(#REF!&lt;20,"A+")))))))</f>
        <v>#REF!</v>
      </c>
      <c r="E43" s="183" t="e">
        <f>IF(#REF!&lt;10,"D",IF(#REF!&lt;12,"C",IF(#REF!&lt;14,"C+",IF(#REF!&lt;15,"B",IF(#REF!&lt;16,"B+",IF(#REF!&lt;18,"A",IF(#REF!&lt;20,"A+")))))))</f>
        <v>#REF!</v>
      </c>
      <c r="F43" s="168"/>
      <c r="G43" s="169"/>
      <c r="H43" s="169"/>
      <c r="I43" s="169"/>
      <c r="J43" s="169"/>
      <c r="K43" s="170"/>
      <c r="L43" s="15"/>
      <c r="M43" s="15"/>
      <c r="N43" s="15"/>
      <c r="O43" s="15"/>
    </row>
    <row r="44" spans="2:15" ht="16.5" thickBot="1" x14ac:dyDescent="0.3">
      <c r="B44" s="30" t="s">
        <v>50</v>
      </c>
      <c r="C44" s="184" t="e">
        <f>IF(#REF!&lt;10,"D",IF(#REF!&lt;12,"C",IF(#REF!&lt;14,"C+",IF(#REF!&lt;15,"B",IF(#REF!&lt;16,"B+",IF(#REF!&lt;18,"A",IF(#REF!&lt;20,"A+")))))))</f>
        <v>#REF!</v>
      </c>
      <c r="D44" s="185" t="e">
        <f>IF(#REF!&lt;10,"D",IF(#REF!&lt;12,"C",IF(#REF!&lt;14,"C+",IF(#REF!&lt;15,"B",IF(#REF!&lt;16,"B+",IF(#REF!&lt;18,"A",IF(#REF!&lt;20,"A+")))))))</f>
        <v>#REF!</v>
      </c>
      <c r="E44" s="186" t="e">
        <f>IF(#REF!&lt;10,"D",IF(#REF!&lt;12,"C",IF(#REF!&lt;14,"C+",IF(#REF!&lt;15,"B",IF(#REF!&lt;16,"B+",IF(#REF!&lt;18,"A",IF(#REF!&lt;20,"A+")))))))</f>
        <v>#REF!</v>
      </c>
      <c r="F44" s="162" t="s">
        <v>51</v>
      </c>
      <c r="G44" s="163"/>
      <c r="H44" s="163"/>
      <c r="I44" s="164"/>
      <c r="J44" s="165" t="s">
        <v>52</v>
      </c>
      <c r="K44" s="167"/>
      <c r="L44" s="15"/>
      <c r="M44" s="15"/>
      <c r="N44" s="15"/>
      <c r="O44" s="15"/>
    </row>
    <row r="45" spans="2:15" ht="16.5" thickBot="1" x14ac:dyDescent="0.3">
      <c r="B45" s="31" t="s">
        <v>53</v>
      </c>
      <c r="C45" s="187" t="e">
        <f>IF(#REF!&lt;10,"D",IF(#REF!&lt;12,"C",IF(#REF!&lt;14,"C+",IF(#REF!&lt;15,"B",IF(#REF!&lt;16,"B+",IF(#REF!&lt;18,"A",IF(#REF!&lt;20,"A+")))))))</f>
        <v>#REF!</v>
      </c>
      <c r="D45" s="188" t="e">
        <f>IF(#REF!&lt;10,"D",IF(#REF!&lt;12,"C",IF(#REF!&lt;14,"C+",IF(#REF!&lt;15,"B",IF(#REF!&lt;16,"B+",IF(#REF!&lt;18,"A",IF(#REF!&lt;20,"A+")))))))</f>
        <v>#REF!</v>
      </c>
      <c r="E45" s="189" t="e">
        <f>IF(#REF!&lt;10,"D",IF(#REF!&lt;12,"C",IF(#REF!&lt;14,"C+",IF(#REF!&lt;15,"B",IF(#REF!&lt;16,"B+",IF(#REF!&lt;18,"A",IF(#REF!&lt;20,"A+")))))))</f>
        <v>#REF!</v>
      </c>
      <c r="F45" s="162" t="s">
        <v>54</v>
      </c>
      <c r="G45" s="163"/>
      <c r="H45" s="163"/>
      <c r="I45" s="164"/>
      <c r="J45" s="160" t="s">
        <v>55</v>
      </c>
      <c r="K45" s="161"/>
      <c r="L45" s="15"/>
      <c r="M45" s="15"/>
      <c r="N45" s="15"/>
      <c r="O45" s="15"/>
    </row>
    <row r="46" spans="2:15" ht="16.5" thickBot="1" x14ac:dyDescent="0.3">
      <c r="B46" s="23" t="s">
        <v>56</v>
      </c>
      <c r="C46" s="165" t="s">
        <v>57</v>
      </c>
      <c r="D46" s="166"/>
      <c r="E46" s="167"/>
      <c r="F46" s="162" t="s">
        <v>58</v>
      </c>
      <c r="G46" s="163"/>
      <c r="H46" s="163"/>
      <c r="I46" s="164"/>
      <c r="J46" s="160"/>
      <c r="K46" s="161"/>
      <c r="L46" s="15"/>
      <c r="M46" s="15"/>
      <c r="N46" s="15"/>
      <c r="O46" s="15"/>
    </row>
    <row r="47" spans="2:15" ht="16.5" thickBot="1" x14ac:dyDescent="0.3">
      <c r="B47" s="23" t="s">
        <v>59</v>
      </c>
      <c r="C47" s="168"/>
      <c r="D47" s="169"/>
      <c r="E47" s="170"/>
      <c r="F47" s="162" t="s">
        <v>60</v>
      </c>
      <c r="G47" s="163"/>
      <c r="H47" s="163"/>
      <c r="I47" s="164"/>
      <c r="J47" s="154" t="s">
        <v>61</v>
      </c>
      <c r="K47" s="155"/>
      <c r="L47" s="15"/>
      <c r="M47" s="15"/>
      <c r="N47" s="15"/>
      <c r="O47" s="15"/>
    </row>
    <row r="48" spans="2:15" ht="31.5" x14ac:dyDescent="0.25">
      <c r="B48" s="22" t="s">
        <v>62</v>
      </c>
      <c r="C48" s="145"/>
      <c r="D48" s="146"/>
      <c r="E48" s="147"/>
      <c r="F48" s="145"/>
      <c r="G48" s="146"/>
      <c r="H48" s="146"/>
      <c r="I48" s="147"/>
      <c r="J48" s="154" t="s">
        <v>63</v>
      </c>
      <c r="K48" s="155"/>
      <c r="L48" s="15"/>
      <c r="M48" s="15"/>
      <c r="N48" s="15"/>
      <c r="O48" s="15"/>
    </row>
    <row r="49" spans="2:15" ht="15.75" x14ac:dyDescent="0.25">
      <c r="B49" s="32"/>
      <c r="C49" s="148"/>
      <c r="D49" s="149"/>
      <c r="E49" s="150"/>
      <c r="F49" s="148"/>
      <c r="G49" s="149"/>
      <c r="H49" s="149"/>
      <c r="I49" s="150"/>
      <c r="J49" s="156"/>
      <c r="K49" s="157"/>
      <c r="L49" s="15"/>
      <c r="M49" s="15"/>
      <c r="N49" s="15"/>
      <c r="O49" s="15"/>
    </row>
    <row r="50" spans="2:15" ht="15.75" x14ac:dyDescent="0.25">
      <c r="B50" s="32"/>
      <c r="C50" s="148"/>
      <c r="D50" s="149"/>
      <c r="E50" s="150"/>
      <c r="F50" s="148"/>
      <c r="G50" s="149"/>
      <c r="H50" s="149"/>
      <c r="I50" s="150"/>
      <c r="J50" s="156"/>
      <c r="K50" s="157"/>
      <c r="L50" s="15"/>
      <c r="M50" s="15"/>
      <c r="N50" s="15"/>
      <c r="O50" s="15"/>
    </row>
    <row r="51" spans="2:15" ht="16.5" thickBot="1" x14ac:dyDescent="0.3">
      <c r="B51" s="31"/>
      <c r="C51" s="151"/>
      <c r="D51" s="152"/>
      <c r="E51" s="153"/>
      <c r="F51" s="151"/>
      <c r="G51" s="152"/>
      <c r="H51" s="152"/>
      <c r="I51" s="153"/>
      <c r="J51" s="158"/>
      <c r="K51" s="159"/>
      <c r="L51" s="15"/>
      <c r="M51" s="15"/>
      <c r="N51" s="15"/>
      <c r="O51" s="15"/>
    </row>
  </sheetData>
  <mergeCells count="83">
    <mergeCell ref="J50:K50"/>
    <mergeCell ref="J51:K51"/>
    <mergeCell ref="D22:E22"/>
    <mergeCell ref="D23:E23"/>
    <mergeCell ref="D27:E27"/>
    <mergeCell ref="D28:E28"/>
    <mergeCell ref="D29:E29"/>
    <mergeCell ref="B24:K24"/>
    <mergeCell ref="B33:K33"/>
    <mergeCell ref="C25:E25"/>
    <mergeCell ref="F25:G25"/>
    <mergeCell ref="I25:K25"/>
    <mergeCell ref="B26:K26"/>
    <mergeCell ref="H27:I27"/>
    <mergeCell ref="H28:I28"/>
    <mergeCell ref="H29:I29"/>
    <mergeCell ref="D8:E8"/>
    <mergeCell ref="D9:E9"/>
    <mergeCell ref="D13:E13"/>
    <mergeCell ref="D14:E14"/>
    <mergeCell ref="D15:E15"/>
    <mergeCell ref="H13:I13"/>
    <mergeCell ref="H4:I4"/>
    <mergeCell ref="H5:I5"/>
    <mergeCell ref="H6:I6"/>
    <mergeCell ref="H7:I7"/>
    <mergeCell ref="H8:I8"/>
    <mergeCell ref="H9:I9"/>
    <mergeCell ref="B10:K10"/>
    <mergeCell ref="C11:E11"/>
    <mergeCell ref="F11:G11"/>
    <mergeCell ref="I11:K11"/>
    <mergeCell ref="B12:K12"/>
    <mergeCell ref="D4:E4"/>
    <mergeCell ref="D5:E5"/>
    <mergeCell ref="D6:E6"/>
    <mergeCell ref="D7:E7"/>
    <mergeCell ref="H14:I14"/>
    <mergeCell ref="H15:I15"/>
    <mergeCell ref="H16:I16"/>
    <mergeCell ref="B17:K17"/>
    <mergeCell ref="C18:E18"/>
    <mergeCell ref="F18:G18"/>
    <mergeCell ref="I18:K18"/>
    <mergeCell ref="D16:E16"/>
    <mergeCell ref="B19:K19"/>
    <mergeCell ref="H20:I20"/>
    <mergeCell ref="H21:I21"/>
    <mergeCell ref="H22:I22"/>
    <mergeCell ref="H23:I23"/>
    <mergeCell ref="D20:E20"/>
    <mergeCell ref="D21:E21"/>
    <mergeCell ref="H30:I30"/>
    <mergeCell ref="C32:E32"/>
    <mergeCell ref="F32:G32"/>
    <mergeCell ref="I32:K32"/>
    <mergeCell ref="D30:E30"/>
    <mergeCell ref="F34:G34"/>
    <mergeCell ref="I34:J34"/>
    <mergeCell ref="H35:K35"/>
    <mergeCell ref="H36:I36"/>
    <mergeCell ref="C35:D35"/>
    <mergeCell ref="C36:D36"/>
    <mergeCell ref="H38:I38"/>
    <mergeCell ref="J38:K38"/>
    <mergeCell ref="B40:K40"/>
    <mergeCell ref="B41:K41"/>
    <mergeCell ref="C42:E42"/>
    <mergeCell ref="F42:K43"/>
    <mergeCell ref="C43:E45"/>
    <mergeCell ref="J49:K49"/>
    <mergeCell ref="F44:I44"/>
    <mergeCell ref="J44:K44"/>
    <mergeCell ref="F45:I45"/>
    <mergeCell ref="J45:K45"/>
    <mergeCell ref="J46:K46"/>
    <mergeCell ref="J47:K47"/>
    <mergeCell ref="J48:K48"/>
    <mergeCell ref="C46:E47"/>
    <mergeCell ref="F46:I46"/>
    <mergeCell ref="F47:I47"/>
    <mergeCell ref="C48:E51"/>
    <mergeCell ref="F48:I5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1"/>
  <sheetViews>
    <sheetView topLeftCell="A35" zoomScale="90" zoomScaleNormal="90" workbookViewId="0">
      <selection activeCell="B4" sqref="B4:K51"/>
    </sheetView>
  </sheetViews>
  <sheetFormatPr baseColWidth="10" defaultRowHeight="15" x14ac:dyDescent="0.25"/>
  <cols>
    <col min="2" max="2" width="44.140625" customWidth="1"/>
    <col min="3" max="3" width="12.140625" customWidth="1"/>
    <col min="5" max="5" width="16.28515625" customWidth="1"/>
    <col min="7" max="7" width="13.7109375" customWidth="1"/>
    <col min="11" max="11" width="16.42578125" customWidth="1"/>
  </cols>
  <sheetData>
    <row r="3" spans="2:15" ht="15.75" thickBot="1" x14ac:dyDescent="0.3"/>
    <row r="4" spans="2:15" ht="16.5" thickBot="1" x14ac:dyDescent="0.3">
      <c r="B4" s="93" t="s">
        <v>25</v>
      </c>
      <c r="C4" s="94" t="s">
        <v>129</v>
      </c>
      <c r="D4" s="213" t="s">
        <v>130</v>
      </c>
      <c r="E4" s="214"/>
      <c r="F4" s="94" t="s">
        <v>26</v>
      </c>
      <c r="G4" s="93" t="s">
        <v>27</v>
      </c>
      <c r="H4" s="213" t="s">
        <v>28</v>
      </c>
      <c r="I4" s="214"/>
      <c r="J4" s="94" t="s">
        <v>23</v>
      </c>
      <c r="K4" s="94" t="s">
        <v>29</v>
      </c>
      <c r="L4" s="15"/>
      <c r="M4" s="15"/>
      <c r="N4" s="15"/>
      <c r="O4" s="15"/>
    </row>
    <row r="5" spans="2:15" ht="32.25" thickBot="1" x14ac:dyDescent="0.3">
      <c r="B5" s="95" t="s">
        <v>68</v>
      </c>
      <c r="C5" s="16">
        <f>(D5+E5)/2</f>
        <v>14</v>
      </c>
      <c r="D5" s="205">
        <v>14</v>
      </c>
      <c r="E5" s="206">
        <v>14</v>
      </c>
      <c r="F5" s="17">
        <v>3</v>
      </c>
      <c r="G5" s="18">
        <f>C5*F5</f>
        <v>42</v>
      </c>
      <c r="H5" s="202">
        <v>11.461538461538462</v>
      </c>
      <c r="I5" s="203">
        <v>11.461538461538462</v>
      </c>
      <c r="J5" s="35"/>
      <c r="K5" s="16" t="str">
        <f>IF(C5&lt;10,"D",IF(C5&lt;12,"C",IF(C5&lt;14,"C+",IF(C5&lt;15,"B",IF(C5&lt;16,"B+",IF(C5&lt;18,"A",IF(C5&lt;20,"A+")))))))</f>
        <v>B</v>
      </c>
      <c r="L5" s="15"/>
      <c r="M5" s="15"/>
      <c r="N5" s="19">
        <f>D5*F5</f>
        <v>42</v>
      </c>
      <c r="O5" s="19">
        <f>E5*F5</f>
        <v>42</v>
      </c>
    </row>
    <row r="6" spans="2:15" ht="32.25" thickBot="1" x14ac:dyDescent="0.3">
      <c r="B6" s="95" t="s">
        <v>115</v>
      </c>
      <c r="C6" s="16">
        <f t="shared" ref="C6:C9" si="0">(D6+E6)/2</f>
        <v>6</v>
      </c>
      <c r="D6" s="205">
        <v>6</v>
      </c>
      <c r="E6" s="206">
        <v>6</v>
      </c>
      <c r="F6" s="17">
        <v>1</v>
      </c>
      <c r="G6" s="18">
        <f t="shared" ref="G6:G9" si="1">C6*F6</f>
        <v>6</v>
      </c>
      <c r="H6" s="202">
        <v>7.1538461538461542</v>
      </c>
      <c r="I6" s="203">
        <v>7.1538461538461542</v>
      </c>
      <c r="J6" s="35"/>
      <c r="K6" s="16" t="str">
        <f t="shared" ref="K6:K9" si="2">IF(C6&lt;10,"D",IF(C6&lt;12,"C",IF(C6&lt;14,"C+",IF(C6&lt;15,"B",IF(C6&lt;16,"B+",IF(C6&lt;18,"A",IF(C6&lt;20,"A+")))))))</f>
        <v>D</v>
      </c>
      <c r="L6" s="15"/>
      <c r="M6" s="15"/>
      <c r="N6" s="19">
        <f t="shared" ref="N6:N9" si="3">D6*F6</f>
        <v>6</v>
      </c>
      <c r="O6" s="19">
        <f t="shared" ref="O6:O9" si="4">E6*F6</f>
        <v>6</v>
      </c>
    </row>
    <row r="7" spans="2:15" ht="32.25" thickBot="1" x14ac:dyDescent="0.3">
      <c r="B7" s="95" t="s">
        <v>116</v>
      </c>
      <c r="C7" s="16">
        <f t="shared" si="0"/>
        <v>11</v>
      </c>
      <c r="D7" s="205">
        <v>11</v>
      </c>
      <c r="E7" s="206">
        <v>11</v>
      </c>
      <c r="F7" s="17">
        <v>2</v>
      </c>
      <c r="G7" s="18">
        <f t="shared" si="1"/>
        <v>22</v>
      </c>
      <c r="H7" s="202">
        <v>10.423076923076923</v>
      </c>
      <c r="I7" s="203">
        <v>10.423076923076923</v>
      </c>
      <c r="J7" s="35"/>
      <c r="K7" s="16" t="str">
        <f t="shared" si="2"/>
        <v>C</v>
      </c>
      <c r="L7" s="15"/>
      <c r="M7" s="15"/>
      <c r="N7" s="19">
        <f t="shared" si="3"/>
        <v>22</v>
      </c>
      <c r="O7" s="19">
        <f t="shared" si="4"/>
        <v>22</v>
      </c>
    </row>
    <row r="8" spans="2:15" ht="32.25" thickBot="1" x14ac:dyDescent="0.3">
      <c r="B8" s="95" t="s">
        <v>117</v>
      </c>
      <c r="C8" s="16">
        <f t="shared" si="0"/>
        <v>9</v>
      </c>
      <c r="D8" s="205">
        <v>9</v>
      </c>
      <c r="E8" s="206">
        <v>9</v>
      </c>
      <c r="F8" s="17">
        <v>1</v>
      </c>
      <c r="G8" s="18">
        <f t="shared" si="1"/>
        <v>9</v>
      </c>
      <c r="H8" s="202">
        <v>9.2307692307692299</v>
      </c>
      <c r="I8" s="203">
        <v>9.2307692307692299</v>
      </c>
      <c r="J8" s="35"/>
      <c r="K8" s="16" t="str">
        <f t="shared" si="2"/>
        <v>D</v>
      </c>
      <c r="L8" s="15"/>
      <c r="M8" s="15"/>
      <c r="N8" s="19">
        <f t="shared" si="3"/>
        <v>9</v>
      </c>
      <c r="O8" s="19">
        <f t="shared" si="4"/>
        <v>9</v>
      </c>
    </row>
    <row r="9" spans="2:15" ht="32.25" thickBot="1" x14ac:dyDescent="0.3">
      <c r="B9" s="95" t="s">
        <v>64</v>
      </c>
      <c r="C9" s="16">
        <f t="shared" si="0"/>
        <v>11</v>
      </c>
      <c r="D9" s="205">
        <v>11</v>
      </c>
      <c r="E9" s="206">
        <v>11</v>
      </c>
      <c r="F9" s="17">
        <v>2</v>
      </c>
      <c r="G9" s="18">
        <f t="shared" si="1"/>
        <v>22</v>
      </c>
      <c r="H9" s="202">
        <v>9.9230769230769234</v>
      </c>
      <c r="I9" s="203">
        <v>9.9230769230769234</v>
      </c>
      <c r="J9" s="35"/>
      <c r="K9" s="16" t="str">
        <f t="shared" si="2"/>
        <v>C</v>
      </c>
      <c r="L9" s="15"/>
      <c r="M9" s="15"/>
      <c r="N9" s="19">
        <f t="shared" si="3"/>
        <v>22</v>
      </c>
      <c r="O9" s="19">
        <f t="shared" si="4"/>
        <v>22</v>
      </c>
    </row>
    <row r="10" spans="2:15" ht="16.5" thickBot="1" x14ac:dyDescent="0.3">
      <c r="B10" s="207" t="s">
        <v>30</v>
      </c>
      <c r="C10" s="208"/>
      <c r="D10" s="208"/>
      <c r="E10" s="208"/>
      <c r="F10" s="208"/>
      <c r="G10" s="208"/>
      <c r="H10" s="208"/>
      <c r="I10" s="208"/>
      <c r="J10" s="208"/>
      <c r="K10" s="209"/>
      <c r="L10" s="15"/>
      <c r="M10" s="15"/>
      <c r="N10" s="15"/>
      <c r="O10" s="15"/>
    </row>
    <row r="11" spans="2:15" ht="16.5" thickBot="1" x14ac:dyDescent="0.3">
      <c r="B11" s="20" t="s">
        <v>31</v>
      </c>
      <c r="C11" s="195">
        <f>(SUM(G5:G9)/SUM(F5:F9))</f>
        <v>11.222222222222221</v>
      </c>
      <c r="D11" s="195"/>
      <c r="E11" s="195"/>
      <c r="F11" s="196" t="s">
        <v>32</v>
      </c>
      <c r="G11" s="196"/>
      <c r="H11" s="98"/>
      <c r="I11" s="190"/>
      <c r="J11" s="190"/>
      <c r="K11" s="197"/>
      <c r="L11" s="15"/>
      <c r="M11" s="15"/>
      <c r="N11" s="15"/>
      <c r="O11" s="15"/>
    </row>
    <row r="12" spans="2:15" ht="16.5" thickBot="1" x14ac:dyDescent="0.3">
      <c r="B12" s="198"/>
      <c r="C12" s="199"/>
      <c r="D12" s="199"/>
      <c r="E12" s="199"/>
      <c r="F12" s="199"/>
      <c r="G12" s="199"/>
      <c r="H12" s="199"/>
      <c r="I12" s="199"/>
      <c r="J12" s="199"/>
      <c r="K12" s="201"/>
      <c r="L12" s="15"/>
      <c r="M12" s="15"/>
      <c r="N12" s="15"/>
      <c r="O12" s="15"/>
    </row>
    <row r="13" spans="2:15" ht="32.25" thickBot="1" x14ac:dyDescent="0.3">
      <c r="B13" s="95" t="s">
        <v>65</v>
      </c>
      <c r="C13" s="16">
        <f t="shared" ref="C13:C16" si="5">(D13+E13)/2</f>
        <v>9</v>
      </c>
      <c r="D13" s="205">
        <v>9</v>
      </c>
      <c r="E13" s="206">
        <v>9</v>
      </c>
      <c r="F13" s="17">
        <v>2</v>
      </c>
      <c r="G13" s="18">
        <f t="shared" ref="G13:G16" si="6">C13*F13</f>
        <v>18</v>
      </c>
      <c r="H13" s="202">
        <v>11.384615384615385</v>
      </c>
      <c r="I13" s="203">
        <v>11.384615384615385</v>
      </c>
      <c r="J13" s="35"/>
      <c r="K13" s="16" t="str">
        <f t="shared" ref="K13:K16" si="7">IF(C13&lt;10,"D",IF(C13&lt;12,"C",IF(C13&lt;14,"C+",IF(C13&lt;15,"B",IF(C13&lt;16,"B+",IF(C13&lt;18,"A",IF(C13&lt;20,"A+")))))))</f>
        <v>D</v>
      </c>
      <c r="L13" s="15"/>
      <c r="M13" s="15"/>
      <c r="N13" s="19">
        <f t="shared" ref="N13:N16" si="8">D13*F13</f>
        <v>18</v>
      </c>
      <c r="O13" s="19">
        <f t="shared" ref="O13:O16" si="9">E13*F13</f>
        <v>18</v>
      </c>
    </row>
    <row r="14" spans="2:15" ht="32.25" thickBot="1" x14ac:dyDescent="0.3">
      <c r="B14" s="95" t="s">
        <v>118</v>
      </c>
      <c r="C14" s="16">
        <f t="shared" si="5"/>
        <v>11</v>
      </c>
      <c r="D14" s="205">
        <v>11</v>
      </c>
      <c r="E14" s="206">
        <v>11</v>
      </c>
      <c r="F14" s="17">
        <v>2</v>
      </c>
      <c r="G14" s="18">
        <f t="shared" si="6"/>
        <v>22</v>
      </c>
      <c r="H14" s="202">
        <v>10.692307692307692</v>
      </c>
      <c r="I14" s="203">
        <v>10.692307692307692</v>
      </c>
      <c r="J14" s="35"/>
      <c r="K14" s="16" t="str">
        <f t="shared" si="7"/>
        <v>C</v>
      </c>
      <c r="L14" s="15"/>
      <c r="M14" s="15"/>
      <c r="N14" s="19">
        <f t="shared" si="8"/>
        <v>22</v>
      </c>
      <c r="O14" s="19">
        <f t="shared" si="9"/>
        <v>22</v>
      </c>
    </row>
    <row r="15" spans="2:15" ht="32.25" thickBot="1" x14ac:dyDescent="0.3">
      <c r="B15" s="95" t="s">
        <v>119</v>
      </c>
      <c r="C15" s="16">
        <f t="shared" si="5"/>
        <v>11</v>
      </c>
      <c r="D15" s="205">
        <v>11</v>
      </c>
      <c r="E15" s="206">
        <v>11</v>
      </c>
      <c r="F15" s="17">
        <v>2</v>
      </c>
      <c r="G15" s="18">
        <f t="shared" si="6"/>
        <v>22</v>
      </c>
      <c r="H15" s="202">
        <v>11.692307692307692</v>
      </c>
      <c r="I15" s="203">
        <v>11.692307692307692</v>
      </c>
      <c r="J15" s="35"/>
      <c r="K15" s="16" t="str">
        <f t="shared" si="7"/>
        <v>C</v>
      </c>
      <c r="L15" s="15"/>
      <c r="M15" s="15"/>
      <c r="N15" s="19">
        <f t="shared" si="8"/>
        <v>22</v>
      </c>
      <c r="O15" s="19">
        <f t="shared" si="9"/>
        <v>22</v>
      </c>
    </row>
    <row r="16" spans="2:15" ht="32.25" thickBot="1" x14ac:dyDescent="0.3">
      <c r="B16" s="95" t="s">
        <v>66</v>
      </c>
      <c r="C16" s="16">
        <f t="shared" si="5"/>
        <v>16</v>
      </c>
      <c r="D16" s="205">
        <v>16</v>
      </c>
      <c r="E16" s="206">
        <v>16</v>
      </c>
      <c r="F16" s="17">
        <v>1</v>
      </c>
      <c r="G16" s="18">
        <f t="shared" si="6"/>
        <v>16</v>
      </c>
      <c r="H16" s="202">
        <v>16</v>
      </c>
      <c r="I16" s="203"/>
      <c r="J16" s="35"/>
      <c r="K16" s="16" t="str">
        <f t="shared" si="7"/>
        <v>A</v>
      </c>
      <c r="L16" s="15"/>
      <c r="M16" s="15"/>
      <c r="N16" s="19">
        <f t="shared" si="8"/>
        <v>16</v>
      </c>
      <c r="O16" s="19">
        <f t="shared" si="9"/>
        <v>16</v>
      </c>
    </row>
    <row r="17" spans="2:15" ht="16.5" thickBot="1" x14ac:dyDescent="0.3">
      <c r="B17" s="207" t="s">
        <v>33</v>
      </c>
      <c r="C17" s="208"/>
      <c r="D17" s="208"/>
      <c r="E17" s="208"/>
      <c r="F17" s="208"/>
      <c r="G17" s="208"/>
      <c r="H17" s="208"/>
      <c r="I17" s="208"/>
      <c r="J17" s="208"/>
      <c r="K17" s="209"/>
      <c r="L17" s="15"/>
      <c r="M17" s="15"/>
      <c r="N17" s="15"/>
      <c r="O17" s="15"/>
    </row>
    <row r="18" spans="2:15" ht="16.5" thickBot="1" x14ac:dyDescent="0.3">
      <c r="B18" s="20" t="s">
        <v>34</v>
      </c>
      <c r="C18" s="195">
        <f>(SUM(G13:G16)/SUM(F13:F16))</f>
        <v>11.142857142857142</v>
      </c>
      <c r="D18" s="195"/>
      <c r="E18" s="195"/>
      <c r="F18" s="196" t="s">
        <v>32</v>
      </c>
      <c r="G18" s="196"/>
      <c r="H18" s="98"/>
      <c r="I18" s="190"/>
      <c r="J18" s="190"/>
      <c r="K18" s="197"/>
      <c r="L18" s="15"/>
      <c r="M18" s="15"/>
      <c r="N18" s="15"/>
      <c r="O18" s="15"/>
    </row>
    <row r="19" spans="2:15" ht="16.5" thickBot="1" x14ac:dyDescent="0.3">
      <c r="B19" s="210"/>
      <c r="C19" s="211"/>
      <c r="D19" s="211"/>
      <c r="E19" s="211"/>
      <c r="F19" s="211"/>
      <c r="G19" s="211"/>
      <c r="H19" s="211"/>
      <c r="I19" s="211"/>
      <c r="J19" s="211"/>
      <c r="K19" s="212"/>
      <c r="L19" s="15"/>
      <c r="M19" s="15"/>
      <c r="N19" s="15"/>
      <c r="O19" s="15"/>
    </row>
    <row r="20" spans="2:15" ht="32.25" thickBot="1" x14ac:dyDescent="0.3">
      <c r="B20" s="95" t="s">
        <v>69</v>
      </c>
      <c r="C20" s="16">
        <f t="shared" ref="C20:C23" si="10">(D20+E20)/2</f>
        <v>8</v>
      </c>
      <c r="D20" s="205">
        <v>8</v>
      </c>
      <c r="E20" s="206">
        <v>8</v>
      </c>
      <c r="F20" s="17">
        <v>2</v>
      </c>
      <c r="G20" s="18">
        <f t="shared" ref="G20:G23" si="11">C20*F20</f>
        <v>16</v>
      </c>
      <c r="H20" s="202">
        <v>8.2307692307692299</v>
      </c>
      <c r="I20" s="203">
        <v>8.2307692307692299</v>
      </c>
      <c r="J20" s="35"/>
      <c r="K20" s="16" t="str">
        <f t="shared" ref="K20:K23" si="12">IF(C20&lt;10,"D",IF(C20&lt;12,"C",IF(C20&lt;14,"C+",IF(C20&lt;15,"B",IF(C20&lt;16,"B+",IF(C20&lt;18,"A",IF(C20&lt;20,"A+")))))))</f>
        <v>D</v>
      </c>
      <c r="L20" s="15"/>
      <c r="M20" s="15"/>
      <c r="N20" s="19">
        <f t="shared" ref="N20:N23" si="13">D20*F20</f>
        <v>16</v>
      </c>
      <c r="O20" s="19">
        <f t="shared" ref="O20:O23" si="14">E20*F20</f>
        <v>16</v>
      </c>
    </row>
    <row r="21" spans="2:15" ht="32.25" thickBot="1" x14ac:dyDescent="0.3">
      <c r="B21" s="95" t="s">
        <v>70</v>
      </c>
      <c r="C21" s="16">
        <f t="shared" si="10"/>
        <v>3</v>
      </c>
      <c r="D21" s="205">
        <v>3</v>
      </c>
      <c r="E21" s="206">
        <v>3</v>
      </c>
      <c r="F21" s="17">
        <v>4</v>
      </c>
      <c r="G21" s="18">
        <f t="shared" si="11"/>
        <v>12</v>
      </c>
      <c r="H21" s="202">
        <v>4.2692307692307692</v>
      </c>
      <c r="I21" s="203">
        <v>4.2692307692307692</v>
      </c>
      <c r="J21" s="35"/>
      <c r="K21" s="16" t="str">
        <f t="shared" si="12"/>
        <v>D</v>
      </c>
      <c r="L21" s="15"/>
      <c r="M21" s="15"/>
      <c r="N21" s="19">
        <f t="shared" si="13"/>
        <v>12</v>
      </c>
      <c r="O21" s="19">
        <f t="shared" si="14"/>
        <v>12</v>
      </c>
    </row>
    <row r="22" spans="2:15" ht="32.25" thickBot="1" x14ac:dyDescent="0.3">
      <c r="B22" s="95" t="s">
        <v>120</v>
      </c>
      <c r="C22" s="16">
        <f t="shared" si="10"/>
        <v>5</v>
      </c>
      <c r="D22" s="205">
        <v>5</v>
      </c>
      <c r="E22" s="206">
        <v>5</v>
      </c>
      <c r="F22" s="17">
        <v>2</v>
      </c>
      <c r="G22" s="18">
        <f t="shared" si="11"/>
        <v>10</v>
      </c>
      <c r="H22" s="202">
        <v>5.6538461538461542</v>
      </c>
      <c r="I22" s="203">
        <v>5.6538461538461542</v>
      </c>
      <c r="J22" s="35"/>
      <c r="K22" s="16" t="str">
        <f t="shared" si="12"/>
        <v>D</v>
      </c>
      <c r="L22" s="15"/>
      <c r="M22" s="15"/>
      <c r="N22" s="19">
        <f t="shared" si="13"/>
        <v>10</v>
      </c>
      <c r="O22" s="19">
        <f t="shared" si="14"/>
        <v>10</v>
      </c>
    </row>
    <row r="23" spans="2:15" ht="32.25" thickBot="1" x14ac:dyDescent="0.3">
      <c r="B23" s="95" t="s">
        <v>71</v>
      </c>
      <c r="C23" s="16">
        <f t="shared" si="10"/>
        <v>9</v>
      </c>
      <c r="D23" s="205">
        <v>9</v>
      </c>
      <c r="E23" s="206">
        <v>9</v>
      </c>
      <c r="F23" s="17">
        <v>2</v>
      </c>
      <c r="G23" s="18">
        <f t="shared" si="11"/>
        <v>18</v>
      </c>
      <c r="H23" s="202">
        <v>9.7692307692307701</v>
      </c>
      <c r="I23" s="203">
        <v>9.7692307692307701</v>
      </c>
      <c r="J23" s="35"/>
      <c r="K23" s="16" t="str">
        <f t="shared" si="12"/>
        <v>D</v>
      </c>
      <c r="L23" s="15"/>
      <c r="M23" s="15"/>
      <c r="N23" s="19">
        <f t="shared" si="13"/>
        <v>18</v>
      </c>
      <c r="O23" s="19">
        <f t="shared" si="14"/>
        <v>18</v>
      </c>
    </row>
    <row r="24" spans="2:15" ht="16.5" thickBot="1" x14ac:dyDescent="0.3">
      <c r="B24" s="207" t="s">
        <v>35</v>
      </c>
      <c r="C24" s="208"/>
      <c r="D24" s="208"/>
      <c r="E24" s="208"/>
      <c r="F24" s="208"/>
      <c r="G24" s="208"/>
      <c r="H24" s="208"/>
      <c r="I24" s="208"/>
      <c r="J24" s="208"/>
      <c r="K24" s="209"/>
      <c r="L24" s="15"/>
      <c r="M24" s="15"/>
      <c r="N24" s="15"/>
      <c r="O24" s="15"/>
    </row>
    <row r="25" spans="2:15" ht="16.5" thickBot="1" x14ac:dyDescent="0.3">
      <c r="B25" s="20" t="s">
        <v>31</v>
      </c>
      <c r="C25" s="195">
        <f>(SUM(G20:G23)/SUM(F20:F23))</f>
        <v>5.6</v>
      </c>
      <c r="D25" s="195"/>
      <c r="E25" s="195"/>
      <c r="F25" s="196" t="s">
        <v>32</v>
      </c>
      <c r="G25" s="196"/>
      <c r="H25" s="98"/>
      <c r="I25" s="190"/>
      <c r="J25" s="190"/>
      <c r="K25" s="197"/>
      <c r="L25" s="15"/>
      <c r="M25" s="15"/>
      <c r="N25" s="15"/>
      <c r="O25" s="15"/>
    </row>
    <row r="26" spans="2:15" ht="16.5" thickBot="1" x14ac:dyDescent="0.3">
      <c r="B26" s="198"/>
      <c r="C26" s="199"/>
      <c r="D26" s="199"/>
      <c r="E26" s="199"/>
      <c r="F26" s="199"/>
      <c r="G26" s="199"/>
      <c r="H26" s="200"/>
      <c r="I26" s="200"/>
      <c r="J26" s="200"/>
      <c r="K26" s="201"/>
      <c r="L26" s="15"/>
      <c r="M26" s="15"/>
      <c r="N26" s="15"/>
      <c r="O26" s="15"/>
    </row>
    <row r="27" spans="2:15" ht="32.25" thickBot="1" x14ac:dyDescent="0.3">
      <c r="B27" s="95" t="s">
        <v>67</v>
      </c>
      <c r="C27" s="16">
        <f t="shared" ref="C27:C30" si="15">(D27+E27)/2</f>
        <v>16</v>
      </c>
      <c r="D27" s="205">
        <v>16</v>
      </c>
      <c r="E27" s="206">
        <v>16</v>
      </c>
      <c r="F27" s="17">
        <v>1</v>
      </c>
      <c r="G27" s="18">
        <f t="shared" ref="G27:G30" si="16">C27*F27</f>
        <v>16</v>
      </c>
      <c r="H27" s="202">
        <v>16</v>
      </c>
      <c r="I27" s="203">
        <v>16</v>
      </c>
      <c r="J27" s="35"/>
      <c r="K27" s="16" t="str">
        <f t="shared" ref="K27:K30" si="17">IF(C27&lt;10,"D",IF(C27&lt;12,"C",IF(C27&lt;14,"C+",IF(C27&lt;15,"B",IF(C27&lt;16,"B+",IF(C27&lt;18,"A",IF(C27&lt;20,"A+")))))))</f>
        <v>A</v>
      </c>
      <c r="L27" s="15"/>
      <c r="M27" s="15"/>
      <c r="N27" s="19">
        <f t="shared" ref="N27:N30" si="18">D27*F27</f>
        <v>16</v>
      </c>
      <c r="O27" s="19">
        <f t="shared" ref="O27:O30" si="19">E27*F27</f>
        <v>16</v>
      </c>
    </row>
    <row r="28" spans="2:15" ht="32.25" thickBot="1" x14ac:dyDescent="0.3">
      <c r="B28" s="95" t="s">
        <v>122</v>
      </c>
      <c r="C28" s="16">
        <f t="shared" si="15"/>
        <v>17</v>
      </c>
      <c r="D28" s="205">
        <v>17</v>
      </c>
      <c r="E28" s="206">
        <v>17</v>
      </c>
      <c r="F28" s="17">
        <v>2</v>
      </c>
      <c r="G28" s="18">
        <f t="shared" si="16"/>
        <v>34</v>
      </c>
      <c r="H28" s="202">
        <v>15.846153846153847</v>
      </c>
      <c r="I28" s="203">
        <v>15.846153846153847</v>
      </c>
      <c r="J28" s="35"/>
      <c r="K28" s="16" t="str">
        <f t="shared" si="17"/>
        <v>A</v>
      </c>
      <c r="L28" s="15"/>
      <c r="M28" s="15"/>
      <c r="N28" s="19">
        <f t="shared" si="18"/>
        <v>34</v>
      </c>
      <c r="O28" s="19">
        <f t="shared" si="19"/>
        <v>34</v>
      </c>
    </row>
    <row r="29" spans="2:15" ht="32.25" thickBot="1" x14ac:dyDescent="0.3">
      <c r="B29" s="95" t="s">
        <v>72</v>
      </c>
      <c r="C29" s="16">
        <f t="shared" si="15"/>
        <v>15</v>
      </c>
      <c r="D29" s="205">
        <v>15</v>
      </c>
      <c r="E29" s="206">
        <v>15</v>
      </c>
      <c r="F29" s="17">
        <v>1</v>
      </c>
      <c r="G29" s="18">
        <f t="shared" si="16"/>
        <v>15</v>
      </c>
      <c r="H29" s="202">
        <v>12.76923076923077</v>
      </c>
      <c r="I29" s="203">
        <v>12.76923076923077</v>
      </c>
      <c r="J29" s="35"/>
      <c r="K29" s="16" t="str">
        <f t="shared" si="17"/>
        <v>B+</v>
      </c>
      <c r="L29" s="15"/>
      <c r="M29" s="15"/>
      <c r="N29" s="19">
        <f t="shared" si="18"/>
        <v>15</v>
      </c>
      <c r="O29" s="19">
        <f t="shared" si="19"/>
        <v>15</v>
      </c>
    </row>
    <row r="30" spans="2:15" ht="32.25" thickBot="1" x14ac:dyDescent="0.3">
      <c r="B30" s="95" t="s">
        <v>121</v>
      </c>
      <c r="C30" s="16">
        <f t="shared" si="15"/>
        <v>8.5</v>
      </c>
      <c r="D30" s="205">
        <v>17</v>
      </c>
      <c r="E30" s="206"/>
      <c r="F30" s="17">
        <v>1</v>
      </c>
      <c r="G30" s="18">
        <f t="shared" si="16"/>
        <v>8.5</v>
      </c>
      <c r="H30" s="202">
        <v>17</v>
      </c>
      <c r="I30" s="203"/>
      <c r="J30" s="35"/>
      <c r="K30" s="16" t="str">
        <f t="shared" si="17"/>
        <v>D</v>
      </c>
      <c r="L30" s="15"/>
      <c r="M30" s="15"/>
      <c r="N30" s="19">
        <f t="shared" si="18"/>
        <v>17</v>
      </c>
      <c r="O30" s="19">
        <f t="shared" si="19"/>
        <v>0</v>
      </c>
    </row>
    <row r="31" spans="2:15" ht="16.5" thickBot="1" x14ac:dyDescent="0.3">
      <c r="B31" s="95" t="s">
        <v>36</v>
      </c>
      <c r="C31" s="96"/>
      <c r="D31" s="96"/>
      <c r="E31" s="96"/>
      <c r="F31" s="96"/>
      <c r="G31" s="96"/>
      <c r="H31" s="96"/>
      <c r="I31" s="96"/>
      <c r="J31" s="96"/>
      <c r="K31" s="97"/>
      <c r="L31" s="15"/>
      <c r="M31" s="15"/>
      <c r="N31" s="15">
        <f>SUM(N5:N30)</f>
        <v>317</v>
      </c>
      <c r="O31" s="15">
        <f>SUM(O5:O30)</f>
        <v>300</v>
      </c>
    </row>
    <row r="32" spans="2:15" ht="16.5" thickBot="1" x14ac:dyDescent="0.3">
      <c r="B32" s="21" t="s">
        <v>34</v>
      </c>
      <c r="C32" s="195">
        <f>(SUM(G27:G30)/SUM(F27:F30))</f>
        <v>14.7</v>
      </c>
      <c r="D32" s="195"/>
      <c r="E32" s="195"/>
      <c r="F32" s="204" t="s">
        <v>32</v>
      </c>
      <c r="G32" s="204"/>
      <c r="H32" s="99"/>
      <c r="I32" s="163"/>
      <c r="J32" s="163"/>
      <c r="K32" s="164"/>
      <c r="L32" s="15"/>
      <c r="M32" s="15"/>
      <c r="N32" s="15">
        <v>31</v>
      </c>
      <c r="O32" s="15">
        <v>31</v>
      </c>
    </row>
    <row r="33" spans="2:15" ht="16.5" thickBot="1" x14ac:dyDescent="0.3">
      <c r="B33" s="178"/>
      <c r="C33" s="179"/>
      <c r="D33" s="179"/>
      <c r="E33" s="179"/>
      <c r="F33" s="179"/>
      <c r="G33" s="179"/>
      <c r="H33" s="179"/>
      <c r="I33" s="179"/>
      <c r="J33" s="179"/>
      <c r="K33" s="180"/>
      <c r="L33" s="15"/>
      <c r="M33" s="15"/>
      <c r="N33" s="15">
        <f>N31/N32</f>
        <v>10.225806451612904</v>
      </c>
      <c r="O33" s="15">
        <f>O31/O32</f>
        <v>9.67741935483871</v>
      </c>
    </row>
    <row r="34" spans="2:15" ht="48" thickBot="1" x14ac:dyDescent="0.3">
      <c r="B34" s="22" t="s">
        <v>37</v>
      </c>
      <c r="C34" s="23" t="s">
        <v>38</v>
      </c>
      <c r="D34" s="99">
        <v>10.220000000000001</v>
      </c>
      <c r="E34" s="24" t="s">
        <v>39</v>
      </c>
      <c r="F34" s="190">
        <v>11.9</v>
      </c>
      <c r="G34" s="190"/>
      <c r="H34" s="24" t="s">
        <v>40</v>
      </c>
      <c r="I34" s="190">
        <v>8.4499999999999993</v>
      </c>
      <c r="J34" s="190"/>
      <c r="K34" s="25"/>
      <c r="L34" s="26"/>
      <c r="M34" s="26"/>
      <c r="N34" s="26"/>
      <c r="O34" s="26"/>
    </row>
    <row r="35" spans="2:15" ht="15.75" x14ac:dyDescent="0.25">
      <c r="B35" s="74"/>
      <c r="C35" s="193" t="s">
        <v>130</v>
      </c>
      <c r="D35" s="193"/>
      <c r="E35" s="75"/>
      <c r="F35" s="75"/>
      <c r="G35" s="76"/>
      <c r="H35" s="145"/>
      <c r="I35" s="146"/>
      <c r="J35" s="146"/>
      <c r="K35" s="147"/>
      <c r="L35" s="15"/>
      <c r="M35" s="15"/>
      <c r="N35" s="15"/>
      <c r="O35" s="15"/>
    </row>
    <row r="36" spans="2:15" ht="15.75" x14ac:dyDescent="0.25">
      <c r="B36" s="77" t="s">
        <v>41</v>
      </c>
      <c r="C36" s="194">
        <f>N33</f>
        <v>10.225806451612904</v>
      </c>
      <c r="D36" s="194"/>
      <c r="E36" s="79" t="s">
        <v>131</v>
      </c>
      <c r="F36" s="80">
        <f>C36</f>
        <v>10.225806451612904</v>
      </c>
      <c r="G36" s="81" t="s">
        <v>42</v>
      </c>
      <c r="H36" s="191" t="s">
        <v>43</v>
      </c>
      <c r="I36" s="192"/>
      <c r="J36" s="27" t="s">
        <v>140</v>
      </c>
      <c r="K36" s="28" t="s">
        <v>113</v>
      </c>
      <c r="L36" s="15"/>
      <c r="M36" s="15"/>
      <c r="N36" s="15"/>
      <c r="O36" s="15"/>
    </row>
    <row r="37" spans="2:15" ht="12.75" customHeight="1" x14ac:dyDescent="0.25">
      <c r="B37" s="77"/>
      <c r="C37" s="78"/>
      <c r="D37" s="78"/>
      <c r="E37" s="79"/>
      <c r="F37" s="80"/>
      <c r="G37" s="81"/>
      <c r="H37" s="100"/>
      <c r="I37" s="101"/>
      <c r="J37" s="27"/>
      <c r="K37" s="28"/>
      <c r="L37" s="15"/>
      <c r="M37" s="15"/>
      <c r="N37" s="15"/>
      <c r="O37" s="15"/>
    </row>
    <row r="38" spans="2:15" ht="18" customHeight="1" x14ac:dyDescent="0.25">
      <c r="B38" s="102" t="s">
        <v>132</v>
      </c>
      <c r="C38" s="103" t="s">
        <v>133</v>
      </c>
      <c r="D38" s="103" t="s">
        <v>134</v>
      </c>
      <c r="E38" s="104" t="s">
        <v>135</v>
      </c>
      <c r="F38" s="105">
        <f>AVERAGE(B39:C39:D39)</f>
        <v>9.441935483870969</v>
      </c>
      <c r="G38" s="106" t="s">
        <v>42</v>
      </c>
      <c r="H38" s="171" t="s">
        <v>136</v>
      </c>
      <c r="I38" s="172"/>
      <c r="J38" s="173" t="s">
        <v>161</v>
      </c>
      <c r="K38" s="174"/>
      <c r="L38" s="15"/>
      <c r="M38" s="15"/>
      <c r="N38" s="15"/>
      <c r="O38" s="15"/>
    </row>
    <row r="39" spans="2:15" ht="27" customHeight="1" thickBot="1" x14ac:dyDescent="0.3">
      <c r="B39" s="107">
        <v>9.16</v>
      </c>
      <c r="C39" s="108">
        <v>8.94</v>
      </c>
      <c r="D39" s="108">
        <f>F36</f>
        <v>10.225806451612904</v>
      </c>
      <c r="E39" s="109"/>
      <c r="F39" s="110"/>
      <c r="G39" s="111"/>
      <c r="H39" s="101"/>
      <c r="I39" s="101"/>
      <c r="J39" s="27"/>
      <c r="K39" s="28"/>
      <c r="L39" s="15"/>
      <c r="M39" s="15"/>
      <c r="N39" s="15"/>
      <c r="O39" s="15"/>
    </row>
    <row r="40" spans="2:15" ht="16.5" thickBot="1" x14ac:dyDescent="0.3">
      <c r="B40" s="175" t="s">
        <v>44</v>
      </c>
      <c r="C40" s="176"/>
      <c r="D40" s="176"/>
      <c r="E40" s="176"/>
      <c r="F40" s="176"/>
      <c r="G40" s="176"/>
      <c r="H40" s="176"/>
      <c r="I40" s="176"/>
      <c r="J40" s="176"/>
      <c r="K40" s="177"/>
      <c r="L40" s="15"/>
      <c r="M40" s="15"/>
      <c r="N40" s="15"/>
      <c r="O40" s="15"/>
    </row>
    <row r="41" spans="2:15" ht="16.5" thickBot="1" x14ac:dyDescent="0.3">
      <c r="B41" s="162" t="s">
        <v>45</v>
      </c>
      <c r="C41" s="163"/>
      <c r="D41" s="163"/>
      <c r="E41" s="163"/>
      <c r="F41" s="163"/>
      <c r="G41" s="163"/>
      <c r="H41" s="163"/>
      <c r="I41" s="163"/>
      <c r="J41" s="163"/>
      <c r="K41" s="164"/>
      <c r="L41" s="15"/>
      <c r="M41" s="15"/>
      <c r="N41" s="15"/>
      <c r="O41" s="15"/>
    </row>
    <row r="42" spans="2:15" ht="16.5" thickBot="1" x14ac:dyDescent="0.3">
      <c r="B42" s="22" t="s">
        <v>46</v>
      </c>
      <c r="C42" s="178" t="s">
        <v>47</v>
      </c>
      <c r="D42" s="179"/>
      <c r="E42" s="180"/>
      <c r="F42" s="165" t="s">
        <v>48</v>
      </c>
      <c r="G42" s="166"/>
      <c r="H42" s="166"/>
      <c r="I42" s="166"/>
      <c r="J42" s="166"/>
      <c r="K42" s="167"/>
      <c r="L42" s="15"/>
      <c r="M42" s="15"/>
      <c r="N42" s="15"/>
      <c r="O42" s="15"/>
    </row>
    <row r="43" spans="2:15" ht="16.5" thickBot="1" x14ac:dyDescent="0.3">
      <c r="B43" s="29" t="s">
        <v>49</v>
      </c>
      <c r="C43" s="181" t="str">
        <f>IF(F38&lt;10,"CNA",IF(F38&lt;12,"CMA",IF(F38&lt;14,"CA",IF(F38&lt;16,"CBA",IF(F38&lt;20,"CTBA")))))</f>
        <v>CNA</v>
      </c>
      <c r="D43" s="182" t="e">
        <f>IF(#REF!&lt;10,"D",IF(#REF!&lt;12,"C",IF(#REF!&lt;14,"C+",IF(#REF!&lt;15,"B",IF(#REF!&lt;16,"B+",IF(#REF!&lt;18,"A",IF(#REF!&lt;20,"A+")))))))</f>
        <v>#REF!</v>
      </c>
      <c r="E43" s="183" t="e">
        <f>IF(#REF!&lt;10,"D",IF(#REF!&lt;12,"C",IF(#REF!&lt;14,"C+",IF(#REF!&lt;15,"B",IF(#REF!&lt;16,"B+",IF(#REF!&lt;18,"A",IF(#REF!&lt;20,"A+")))))))</f>
        <v>#REF!</v>
      </c>
      <c r="F43" s="168"/>
      <c r="G43" s="169"/>
      <c r="H43" s="169"/>
      <c r="I43" s="169"/>
      <c r="J43" s="169"/>
      <c r="K43" s="170"/>
      <c r="L43" s="15"/>
      <c r="M43" s="15"/>
      <c r="N43" s="15"/>
      <c r="O43" s="15"/>
    </row>
    <row r="44" spans="2:15" ht="16.5" thickBot="1" x14ac:dyDescent="0.3">
      <c r="B44" s="30" t="s">
        <v>50</v>
      </c>
      <c r="C44" s="184" t="e">
        <f>IF(#REF!&lt;10,"D",IF(#REF!&lt;12,"C",IF(#REF!&lt;14,"C+",IF(#REF!&lt;15,"B",IF(#REF!&lt;16,"B+",IF(#REF!&lt;18,"A",IF(#REF!&lt;20,"A+")))))))</f>
        <v>#REF!</v>
      </c>
      <c r="D44" s="185" t="e">
        <f>IF(#REF!&lt;10,"D",IF(#REF!&lt;12,"C",IF(#REF!&lt;14,"C+",IF(#REF!&lt;15,"B",IF(#REF!&lt;16,"B+",IF(#REF!&lt;18,"A",IF(#REF!&lt;20,"A+")))))))</f>
        <v>#REF!</v>
      </c>
      <c r="E44" s="186" t="e">
        <f>IF(#REF!&lt;10,"D",IF(#REF!&lt;12,"C",IF(#REF!&lt;14,"C+",IF(#REF!&lt;15,"B",IF(#REF!&lt;16,"B+",IF(#REF!&lt;18,"A",IF(#REF!&lt;20,"A+")))))))</f>
        <v>#REF!</v>
      </c>
      <c r="F44" s="162" t="s">
        <v>51</v>
      </c>
      <c r="G44" s="163"/>
      <c r="H44" s="163"/>
      <c r="I44" s="164"/>
      <c r="J44" s="165" t="s">
        <v>52</v>
      </c>
      <c r="K44" s="167"/>
      <c r="L44" s="15"/>
      <c r="M44" s="15"/>
      <c r="N44" s="15"/>
      <c r="O44" s="15"/>
    </row>
    <row r="45" spans="2:15" ht="16.5" thickBot="1" x14ac:dyDescent="0.3">
      <c r="B45" s="31" t="s">
        <v>53</v>
      </c>
      <c r="C45" s="187" t="e">
        <f>IF(#REF!&lt;10,"D",IF(#REF!&lt;12,"C",IF(#REF!&lt;14,"C+",IF(#REF!&lt;15,"B",IF(#REF!&lt;16,"B+",IF(#REF!&lt;18,"A",IF(#REF!&lt;20,"A+")))))))</f>
        <v>#REF!</v>
      </c>
      <c r="D45" s="188" t="e">
        <f>IF(#REF!&lt;10,"D",IF(#REF!&lt;12,"C",IF(#REF!&lt;14,"C+",IF(#REF!&lt;15,"B",IF(#REF!&lt;16,"B+",IF(#REF!&lt;18,"A",IF(#REF!&lt;20,"A+")))))))</f>
        <v>#REF!</v>
      </c>
      <c r="E45" s="189" t="e">
        <f>IF(#REF!&lt;10,"D",IF(#REF!&lt;12,"C",IF(#REF!&lt;14,"C+",IF(#REF!&lt;15,"B",IF(#REF!&lt;16,"B+",IF(#REF!&lt;18,"A",IF(#REF!&lt;20,"A+")))))))</f>
        <v>#REF!</v>
      </c>
      <c r="F45" s="162" t="s">
        <v>54</v>
      </c>
      <c r="G45" s="163"/>
      <c r="H45" s="163"/>
      <c r="I45" s="164"/>
      <c r="J45" s="160" t="s">
        <v>55</v>
      </c>
      <c r="K45" s="161"/>
      <c r="L45" s="15"/>
      <c r="M45" s="15"/>
      <c r="N45" s="15"/>
      <c r="O45" s="15"/>
    </row>
    <row r="46" spans="2:15" ht="16.5" thickBot="1" x14ac:dyDescent="0.3">
      <c r="B46" s="23" t="s">
        <v>56</v>
      </c>
      <c r="C46" s="165" t="s">
        <v>57</v>
      </c>
      <c r="D46" s="166"/>
      <c r="E46" s="167"/>
      <c r="F46" s="162" t="s">
        <v>58</v>
      </c>
      <c r="G46" s="163"/>
      <c r="H46" s="163"/>
      <c r="I46" s="164"/>
      <c r="J46" s="160"/>
      <c r="K46" s="161"/>
      <c r="L46" s="15"/>
      <c r="M46" s="15"/>
      <c r="N46" s="15"/>
      <c r="O46" s="15"/>
    </row>
    <row r="47" spans="2:15" ht="16.5" thickBot="1" x14ac:dyDescent="0.3">
      <c r="B47" s="23" t="s">
        <v>59</v>
      </c>
      <c r="C47" s="168"/>
      <c r="D47" s="169"/>
      <c r="E47" s="170"/>
      <c r="F47" s="162" t="s">
        <v>60</v>
      </c>
      <c r="G47" s="163"/>
      <c r="H47" s="163"/>
      <c r="I47" s="164"/>
      <c r="J47" s="154" t="s">
        <v>61</v>
      </c>
      <c r="K47" s="155"/>
      <c r="L47" s="15"/>
      <c r="M47" s="15"/>
      <c r="N47" s="15"/>
      <c r="O47" s="15"/>
    </row>
    <row r="48" spans="2:15" ht="31.5" x14ac:dyDescent="0.25">
      <c r="B48" s="22" t="s">
        <v>62</v>
      </c>
      <c r="C48" s="145"/>
      <c r="D48" s="146"/>
      <c r="E48" s="147"/>
      <c r="F48" s="145"/>
      <c r="G48" s="146"/>
      <c r="H48" s="146"/>
      <c r="I48" s="147"/>
      <c r="J48" s="154" t="s">
        <v>63</v>
      </c>
      <c r="K48" s="155"/>
      <c r="L48" s="15"/>
      <c r="M48" s="15"/>
      <c r="N48" s="15"/>
      <c r="O48" s="15"/>
    </row>
    <row r="49" spans="2:15" ht="15.75" x14ac:dyDescent="0.25">
      <c r="B49" s="32"/>
      <c r="C49" s="148"/>
      <c r="D49" s="149"/>
      <c r="E49" s="150"/>
      <c r="F49" s="148"/>
      <c r="G49" s="149"/>
      <c r="H49" s="149"/>
      <c r="I49" s="150"/>
      <c r="J49" s="156"/>
      <c r="K49" s="157"/>
      <c r="L49" s="15"/>
      <c r="M49" s="15"/>
      <c r="N49" s="15"/>
      <c r="O49" s="15"/>
    </row>
    <row r="50" spans="2:15" ht="15.75" x14ac:dyDescent="0.25">
      <c r="B50" s="32"/>
      <c r="C50" s="148"/>
      <c r="D50" s="149"/>
      <c r="E50" s="150"/>
      <c r="F50" s="148"/>
      <c r="G50" s="149"/>
      <c r="H50" s="149"/>
      <c r="I50" s="150"/>
      <c r="J50" s="156"/>
      <c r="K50" s="157"/>
      <c r="L50" s="15"/>
      <c r="M50" s="15"/>
      <c r="N50" s="15"/>
      <c r="O50" s="15"/>
    </row>
    <row r="51" spans="2:15" ht="16.5" thickBot="1" x14ac:dyDescent="0.3">
      <c r="B51" s="31"/>
      <c r="C51" s="151"/>
      <c r="D51" s="152"/>
      <c r="E51" s="153"/>
      <c r="F51" s="151"/>
      <c r="G51" s="152"/>
      <c r="H51" s="152"/>
      <c r="I51" s="153"/>
      <c r="J51" s="158"/>
      <c r="K51" s="159"/>
      <c r="L51" s="15"/>
      <c r="M51" s="15"/>
      <c r="N51" s="15"/>
      <c r="O51" s="15"/>
    </row>
  </sheetData>
  <mergeCells count="83">
    <mergeCell ref="J50:K50"/>
    <mergeCell ref="J51:K51"/>
    <mergeCell ref="D22:E22"/>
    <mergeCell ref="D23:E23"/>
    <mergeCell ref="D27:E27"/>
    <mergeCell ref="D28:E28"/>
    <mergeCell ref="D29:E29"/>
    <mergeCell ref="B24:K24"/>
    <mergeCell ref="B33:K33"/>
    <mergeCell ref="C25:E25"/>
    <mergeCell ref="F25:G25"/>
    <mergeCell ref="I25:K25"/>
    <mergeCell ref="B26:K26"/>
    <mergeCell ref="H27:I27"/>
    <mergeCell ref="H28:I28"/>
    <mergeCell ref="H29:I29"/>
    <mergeCell ref="D8:E8"/>
    <mergeCell ref="D9:E9"/>
    <mergeCell ref="D13:E13"/>
    <mergeCell ref="D14:E14"/>
    <mergeCell ref="D15:E15"/>
    <mergeCell ref="H13:I13"/>
    <mergeCell ref="H4:I4"/>
    <mergeCell ref="H5:I5"/>
    <mergeCell ref="H6:I6"/>
    <mergeCell ref="H7:I7"/>
    <mergeCell ref="H8:I8"/>
    <mergeCell ref="H9:I9"/>
    <mergeCell ref="B10:K10"/>
    <mergeCell ref="C11:E11"/>
    <mergeCell ref="F11:G11"/>
    <mergeCell ref="I11:K11"/>
    <mergeCell ref="B12:K12"/>
    <mergeCell ref="D4:E4"/>
    <mergeCell ref="D5:E5"/>
    <mergeCell ref="D6:E6"/>
    <mergeCell ref="D7:E7"/>
    <mergeCell ref="H14:I14"/>
    <mergeCell ref="H15:I15"/>
    <mergeCell ref="H16:I16"/>
    <mergeCell ref="B17:K17"/>
    <mergeCell ref="C18:E18"/>
    <mergeCell ref="F18:G18"/>
    <mergeCell ref="I18:K18"/>
    <mergeCell ref="D16:E16"/>
    <mergeCell ref="B19:K19"/>
    <mergeCell ref="H20:I20"/>
    <mergeCell ref="H21:I21"/>
    <mergeCell ref="H22:I22"/>
    <mergeCell ref="H23:I23"/>
    <mergeCell ref="D20:E20"/>
    <mergeCell ref="D21:E21"/>
    <mergeCell ref="H30:I30"/>
    <mergeCell ref="C32:E32"/>
    <mergeCell ref="F32:G32"/>
    <mergeCell ref="I32:K32"/>
    <mergeCell ref="D30:E30"/>
    <mergeCell ref="F34:G34"/>
    <mergeCell ref="I34:J34"/>
    <mergeCell ref="H35:K35"/>
    <mergeCell ref="H36:I36"/>
    <mergeCell ref="C35:D35"/>
    <mergeCell ref="C36:D36"/>
    <mergeCell ref="H38:I38"/>
    <mergeCell ref="J38:K38"/>
    <mergeCell ref="B40:K40"/>
    <mergeCell ref="B41:K41"/>
    <mergeCell ref="C42:E42"/>
    <mergeCell ref="F42:K43"/>
    <mergeCell ref="C43:E45"/>
    <mergeCell ref="J49:K49"/>
    <mergeCell ref="F44:I44"/>
    <mergeCell ref="J44:K44"/>
    <mergeCell ref="F45:I45"/>
    <mergeCell ref="J45:K45"/>
    <mergeCell ref="J46:K46"/>
    <mergeCell ref="J47:K47"/>
    <mergeCell ref="J48:K48"/>
    <mergeCell ref="C46:E47"/>
    <mergeCell ref="F46:I46"/>
    <mergeCell ref="F47:I47"/>
    <mergeCell ref="C48:E51"/>
    <mergeCell ref="F48:I5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1"/>
  <sheetViews>
    <sheetView topLeftCell="A36" zoomScale="90" zoomScaleNormal="90" workbookViewId="0">
      <selection activeCell="B4" sqref="B4:K51"/>
    </sheetView>
  </sheetViews>
  <sheetFormatPr baseColWidth="10" defaultRowHeight="15" x14ac:dyDescent="0.25"/>
  <cols>
    <col min="2" max="2" width="44.140625" customWidth="1"/>
    <col min="3" max="3" width="12.140625" customWidth="1"/>
    <col min="5" max="5" width="16.28515625" customWidth="1"/>
    <col min="7" max="7" width="13.7109375" customWidth="1"/>
    <col min="11" max="11" width="16.42578125" customWidth="1"/>
  </cols>
  <sheetData>
    <row r="3" spans="2:15" ht="15.75" thickBot="1" x14ac:dyDescent="0.3"/>
    <row r="4" spans="2:15" ht="16.5" customHeight="1" thickBot="1" x14ac:dyDescent="0.3">
      <c r="B4" s="116" t="s">
        <v>25</v>
      </c>
      <c r="C4" s="117" t="s">
        <v>129</v>
      </c>
      <c r="D4" s="213" t="s">
        <v>130</v>
      </c>
      <c r="E4" s="214"/>
      <c r="F4" s="117" t="s">
        <v>26</v>
      </c>
      <c r="G4" s="116" t="s">
        <v>27</v>
      </c>
      <c r="H4" s="213" t="s">
        <v>28</v>
      </c>
      <c r="I4" s="214"/>
      <c r="J4" s="117" t="s">
        <v>23</v>
      </c>
      <c r="K4" s="117" t="s">
        <v>29</v>
      </c>
      <c r="L4" s="15"/>
      <c r="M4" s="15"/>
      <c r="N4" s="15"/>
      <c r="O4" s="15"/>
    </row>
    <row r="5" spans="2:15" ht="32.25" thickBot="1" x14ac:dyDescent="0.3">
      <c r="B5" s="118" t="s">
        <v>68</v>
      </c>
      <c r="C5" s="16">
        <f>(D5+E5)/2</f>
        <v>14</v>
      </c>
      <c r="D5" s="112">
        <v>14</v>
      </c>
      <c r="E5" s="113">
        <v>14</v>
      </c>
      <c r="F5" s="17">
        <v>3</v>
      </c>
      <c r="G5" s="18">
        <f>C5*F5</f>
        <v>42</v>
      </c>
      <c r="H5" s="114">
        <v>11.461538461538462</v>
      </c>
      <c r="I5" s="115">
        <v>11.461538461538462</v>
      </c>
      <c r="J5" s="35"/>
      <c r="K5" s="16" t="str">
        <f>IF(C5&lt;10,"D",IF(C5&lt;12,"C",IF(C5&lt;14,"C+",IF(C5&lt;15,"B",IF(C5&lt;16,"B+",IF(C5&lt;18,"A",IF(C5&lt;20,"A+")))))))</f>
        <v>B</v>
      </c>
      <c r="L5" s="15"/>
      <c r="M5" s="15"/>
      <c r="N5" s="19">
        <f>D5*F5</f>
        <v>42</v>
      </c>
      <c r="O5" s="19">
        <f>E5*F5</f>
        <v>42</v>
      </c>
    </row>
    <row r="6" spans="2:15" ht="32.25" thickBot="1" x14ac:dyDescent="0.3">
      <c r="B6" s="118" t="s">
        <v>115</v>
      </c>
      <c r="C6" s="16">
        <f t="shared" ref="C6:C9" si="0">(D6+E6)/2</f>
        <v>8</v>
      </c>
      <c r="D6" s="112">
        <v>8</v>
      </c>
      <c r="E6" s="113">
        <v>8</v>
      </c>
      <c r="F6" s="17">
        <v>1</v>
      </c>
      <c r="G6" s="18">
        <f t="shared" ref="G6:G9" si="1">C6*F6</f>
        <v>8</v>
      </c>
      <c r="H6" s="114">
        <v>7.1538461538461542</v>
      </c>
      <c r="I6" s="115">
        <v>7.1538461538461542</v>
      </c>
      <c r="J6" s="35"/>
      <c r="K6" s="16" t="str">
        <f t="shared" ref="K6:K9" si="2">IF(C6&lt;10,"D",IF(C6&lt;12,"C",IF(C6&lt;14,"C+",IF(C6&lt;15,"B",IF(C6&lt;16,"B+",IF(C6&lt;18,"A",IF(C6&lt;20,"A+")))))))</f>
        <v>D</v>
      </c>
      <c r="L6" s="15"/>
      <c r="M6" s="15"/>
      <c r="N6" s="19">
        <f t="shared" ref="N6:N9" si="3">D6*F6</f>
        <v>8</v>
      </c>
      <c r="O6" s="19">
        <f t="shared" ref="O6:O9" si="4">E6*F6</f>
        <v>8</v>
      </c>
    </row>
    <row r="7" spans="2:15" ht="32.25" thickBot="1" x14ac:dyDescent="0.3">
      <c r="B7" s="118" t="s">
        <v>116</v>
      </c>
      <c r="C7" s="16">
        <f t="shared" si="0"/>
        <v>12</v>
      </c>
      <c r="D7" s="112">
        <v>12</v>
      </c>
      <c r="E7" s="113">
        <v>12</v>
      </c>
      <c r="F7" s="17">
        <v>2</v>
      </c>
      <c r="G7" s="18">
        <f t="shared" si="1"/>
        <v>24</v>
      </c>
      <c r="H7" s="114">
        <v>10.423076923076923</v>
      </c>
      <c r="I7" s="115">
        <v>10.423076923076923</v>
      </c>
      <c r="J7" s="35"/>
      <c r="K7" s="16" t="str">
        <f t="shared" si="2"/>
        <v>C+</v>
      </c>
      <c r="L7" s="15"/>
      <c r="M7" s="15"/>
      <c r="N7" s="19">
        <f t="shared" si="3"/>
        <v>24</v>
      </c>
      <c r="O7" s="19">
        <f t="shared" si="4"/>
        <v>24</v>
      </c>
    </row>
    <row r="8" spans="2:15" ht="32.25" thickBot="1" x14ac:dyDescent="0.3">
      <c r="B8" s="118" t="s">
        <v>117</v>
      </c>
      <c r="C8" s="16">
        <f t="shared" si="0"/>
        <v>9</v>
      </c>
      <c r="D8" s="112">
        <v>9</v>
      </c>
      <c r="E8" s="113">
        <v>9</v>
      </c>
      <c r="F8" s="17">
        <v>1</v>
      </c>
      <c r="G8" s="18">
        <f t="shared" si="1"/>
        <v>9</v>
      </c>
      <c r="H8" s="114">
        <v>9.2307692307692299</v>
      </c>
      <c r="I8" s="115">
        <v>9.2307692307692299</v>
      </c>
      <c r="J8" s="35"/>
      <c r="K8" s="16" t="str">
        <f t="shared" si="2"/>
        <v>D</v>
      </c>
      <c r="L8" s="15"/>
      <c r="M8" s="15"/>
      <c r="N8" s="19">
        <f t="shared" si="3"/>
        <v>9</v>
      </c>
      <c r="O8" s="19">
        <f t="shared" si="4"/>
        <v>9</v>
      </c>
    </row>
    <row r="9" spans="2:15" ht="32.25" thickBot="1" x14ac:dyDescent="0.3">
      <c r="B9" s="118" t="s">
        <v>64</v>
      </c>
      <c r="C9" s="16">
        <f t="shared" si="0"/>
        <v>10</v>
      </c>
      <c r="D9" s="112">
        <v>10</v>
      </c>
      <c r="E9" s="113">
        <v>10</v>
      </c>
      <c r="F9" s="17">
        <v>2</v>
      </c>
      <c r="G9" s="18">
        <f t="shared" si="1"/>
        <v>20</v>
      </c>
      <c r="H9" s="114">
        <v>9.9230769230769234</v>
      </c>
      <c r="I9" s="115">
        <v>9.9230769230769234</v>
      </c>
      <c r="J9" s="35"/>
      <c r="K9" s="16" t="str">
        <f t="shared" si="2"/>
        <v>C</v>
      </c>
      <c r="L9" s="15"/>
      <c r="M9" s="15"/>
      <c r="N9" s="19">
        <f t="shared" si="3"/>
        <v>20</v>
      </c>
      <c r="O9" s="19">
        <f t="shared" si="4"/>
        <v>20</v>
      </c>
    </row>
    <row r="10" spans="2:15" ht="16.5" thickBot="1" x14ac:dyDescent="0.3">
      <c r="B10" s="210" t="s">
        <v>30</v>
      </c>
      <c r="C10" s="211"/>
      <c r="D10" s="211"/>
      <c r="E10" s="211"/>
      <c r="F10" s="211"/>
      <c r="G10" s="211"/>
      <c r="H10" s="211"/>
      <c r="I10" s="211"/>
      <c r="J10" s="211"/>
      <c r="K10" s="212"/>
      <c r="L10" s="15"/>
      <c r="M10" s="15"/>
      <c r="N10" s="15"/>
      <c r="O10" s="15"/>
    </row>
    <row r="11" spans="2:15" ht="16.5" customHeight="1" thickBot="1" x14ac:dyDescent="0.3">
      <c r="B11" s="20" t="s">
        <v>31</v>
      </c>
      <c r="C11" s="195">
        <f>(SUM(G5:G9)/SUM(F5:F9))</f>
        <v>11.444444444444445</v>
      </c>
      <c r="D11" s="195"/>
      <c r="E11" s="195"/>
      <c r="F11" s="196" t="s">
        <v>32</v>
      </c>
      <c r="G11" s="196"/>
      <c r="H11" s="121"/>
      <c r="I11" s="190"/>
      <c r="J11" s="190"/>
      <c r="K11" s="197"/>
      <c r="L11" s="15"/>
      <c r="M11" s="15"/>
      <c r="N11" s="15"/>
      <c r="O11" s="15"/>
    </row>
    <row r="12" spans="2:15" ht="16.5" thickBot="1" x14ac:dyDescent="0.3">
      <c r="B12" s="198"/>
      <c r="C12" s="199"/>
      <c r="D12" s="199"/>
      <c r="E12" s="199"/>
      <c r="F12" s="199"/>
      <c r="G12" s="199"/>
      <c r="H12" s="199"/>
      <c r="I12" s="199"/>
      <c r="J12" s="199"/>
      <c r="K12" s="201"/>
      <c r="L12" s="15"/>
      <c r="M12" s="15"/>
      <c r="N12" s="15"/>
      <c r="O12" s="15"/>
    </row>
    <row r="13" spans="2:15" ht="32.25" thickBot="1" x14ac:dyDescent="0.3">
      <c r="B13" s="118" t="s">
        <v>65</v>
      </c>
      <c r="C13" s="16">
        <f t="shared" ref="C13:C16" si="5">(D13+E13)/2</f>
        <v>11</v>
      </c>
      <c r="D13" s="112">
        <v>11</v>
      </c>
      <c r="E13" s="113">
        <v>11</v>
      </c>
      <c r="F13" s="17">
        <v>2</v>
      </c>
      <c r="G13" s="18">
        <f t="shared" ref="G13:G16" si="6">C13*F13</f>
        <v>22</v>
      </c>
      <c r="H13" s="114">
        <v>11.384615384615385</v>
      </c>
      <c r="I13" s="115">
        <v>11.384615384615385</v>
      </c>
      <c r="J13" s="35"/>
      <c r="K13" s="16" t="str">
        <f t="shared" ref="K13:K16" si="7">IF(C13&lt;10,"D",IF(C13&lt;12,"C",IF(C13&lt;14,"C+",IF(C13&lt;15,"B",IF(C13&lt;16,"B+",IF(C13&lt;18,"A",IF(C13&lt;20,"A+")))))))</f>
        <v>C</v>
      </c>
      <c r="L13" s="15"/>
      <c r="M13" s="15"/>
      <c r="N13" s="19">
        <f t="shared" ref="N13:N16" si="8">D13*F13</f>
        <v>22</v>
      </c>
      <c r="O13" s="19">
        <f t="shared" ref="O13:O16" si="9">E13*F13</f>
        <v>22</v>
      </c>
    </row>
    <row r="14" spans="2:15" ht="32.25" thickBot="1" x14ac:dyDescent="0.3">
      <c r="B14" s="118" t="s">
        <v>118</v>
      </c>
      <c r="C14" s="16">
        <f t="shared" si="5"/>
        <v>9</v>
      </c>
      <c r="D14" s="112">
        <v>9</v>
      </c>
      <c r="E14" s="113">
        <v>9</v>
      </c>
      <c r="F14" s="17">
        <v>2</v>
      </c>
      <c r="G14" s="18">
        <f t="shared" si="6"/>
        <v>18</v>
      </c>
      <c r="H14" s="202">
        <v>10.692307692307692</v>
      </c>
      <c r="I14" s="203">
        <v>10.692307692307692</v>
      </c>
      <c r="J14" s="35"/>
      <c r="K14" s="16" t="str">
        <f t="shared" si="7"/>
        <v>D</v>
      </c>
      <c r="L14" s="15"/>
      <c r="M14" s="15"/>
      <c r="N14" s="19">
        <f t="shared" si="8"/>
        <v>18</v>
      </c>
      <c r="O14" s="19">
        <f t="shared" si="9"/>
        <v>18</v>
      </c>
    </row>
    <row r="15" spans="2:15" ht="32.25" thickBot="1" x14ac:dyDescent="0.3">
      <c r="B15" s="118" t="s">
        <v>119</v>
      </c>
      <c r="C15" s="16">
        <f t="shared" si="5"/>
        <v>13</v>
      </c>
      <c r="D15" s="112">
        <v>13</v>
      </c>
      <c r="E15" s="113">
        <v>13</v>
      </c>
      <c r="F15" s="17">
        <v>2</v>
      </c>
      <c r="G15" s="18">
        <f t="shared" si="6"/>
        <v>26</v>
      </c>
      <c r="H15" s="114">
        <v>11.692307692307692</v>
      </c>
      <c r="I15" s="115">
        <v>11.692307692307692</v>
      </c>
      <c r="J15" s="35"/>
      <c r="K15" s="16" t="str">
        <f t="shared" si="7"/>
        <v>C+</v>
      </c>
      <c r="L15" s="15"/>
      <c r="M15" s="15"/>
      <c r="N15" s="19">
        <f t="shared" si="8"/>
        <v>26</v>
      </c>
      <c r="O15" s="19">
        <f t="shared" si="9"/>
        <v>26</v>
      </c>
    </row>
    <row r="16" spans="2:15" ht="32.25" thickBot="1" x14ac:dyDescent="0.3">
      <c r="B16" s="118" t="s">
        <v>66</v>
      </c>
      <c r="C16" s="16">
        <f t="shared" si="5"/>
        <v>16</v>
      </c>
      <c r="D16" s="112">
        <v>16</v>
      </c>
      <c r="E16" s="113">
        <v>16</v>
      </c>
      <c r="F16" s="17">
        <v>1</v>
      </c>
      <c r="G16" s="18">
        <f t="shared" si="6"/>
        <v>16</v>
      </c>
      <c r="H16" s="202">
        <v>16</v>
      </c>
      <c r="I16" s="203"/>
      <c r="J16" s="35"/>
      <c r="K16" s="16" t="str">
        <f t="shared" si="7"/>
        <v>A</v>
      </c>
      <c r="L16" s="15"/>
      <c r="M16" s="15"/>
      <c r="N16" s="19">
        <f t="shared" si="8"/>
        <v>16</v>
      </c>
      <c r="O16" s="19">
        <f t="shared" si="9"/>
        <v>16</v>
      </c>
    </row>
    <row r="17" spans="2:15" ht="16.5" thickBot="1" x14ac:dyDescent="0.3">
      <c r="B17" s="210" t="s">
        <v>33</v>
      </c>
      <c r="C17" s="211"/>
      <c r="D17" s="211"/>
      <c r="E17" s="211"/>
      <c r="F17" s="211"/>
      <c r="G17" s="211"/>
      <c r="H17" s="211"/>
      <c r="I17" s="211"/>
      <c r="J17" s="211"/>
      <c r="K17" s="212"/>
      <c r="L17" s="15"/>
      <c r="M17" s="15"/>
      <c r="N17" s="15"/>
      <c r="O17" s="15"/>
    </row>
    <row r="18" spans="2:15" ht="16.5" customHeight="1" thickBot="1" x14ac:dyDescent="0.3">
      <c r="B18" s="20" t="s">
        <v>34</v>
      </c>
      <c r="C18" s="195">
        <f>(SUM(G13:G16)/SUM(F13:F16))</f>
        <v>11.714285714285714</v>
      </c>
      <c r="D18" s="195"/>
      <c r="E18" s="195"/>
      <c r="F18" s="196" t="s">
        <v>32</v>
      </c>
      <c r="G18" s="196"/>
      <c r="H18" s="121"/>
      <c r="I18" s="190"/>
      <c r="J18" s="190"/>
      <c r="K18" s="197"/>
      <c r="L18" s="15"/>
      <c r="M18" s="15"/>
      <c r="N18" s="15"/>
      <c r="O18" s="15"/>
    </row>
    <row r="19" spans="2:15" ht="16.5" thickBot="1" x14ac:dyDescent="0.3">
      <c r="B19" s="210"/>
      <c r="C19" s="211"/>
      <c r="D19" s="211"/>
      <c r="E19" s="211"/>
      <c r="F19" s="211"/>
      <c r="G19" s="211"/>
      <c r="H19" s="211"/>
      <c r="I19" s="211"/>
      <c r="J19" s="211"/>
      <c r="K19" s="212"/>
      <c r="L19" s="15"/>
      <c r="M19" s="15"/>
      <c r="N19" s="15"/>
      <c r="O19" s="15"/>
    </row>
    <row r="20" spans="2:15" ht="32.25" thickBot="1" x14ac:dyDescent="0.3">
      <c r="B20" s="118" t="s">
        <v>69</v>
      </c>
      <c r="C20" s="16">
        <f t="shared" ref="C20:C23" si="10">(D20+E20)/2</f>
        <v>8</v>
      </c>
      <c r="D20" s="112">
        <v>8</v>
      </c>
      <c r="E20" s="113">
        <v>8</v>
      </c>
      <c r="F20" s="17">
        <v>2</v>
      </c>
      <c r="G20" s="18">
        <f t="shared" ref="G20:G23" si="11">C20*F20</f>
        <v>16</v>
      </c>
      <c r="H20" s="114">
        <v>8.2307692307692299</v>
      </c>
      <c r="I20" s="115">
        <v>8.2307692307692299</v>
      </c>
      <c r="J20" s="35"/>
      <c r="K20" s="16" t="str">
        <f t="shared" ref="K20:K23" si="12">IF(C20&lt;10,"D",IF(C20&lt;12,"C",IF(C20&lt;14,"C+",IF(C20&lt;15,"B",IF(C20&lt;16,"B+",IF(C20&lt;18,"A",IF(C20&lt;20,"A+")))))))</f>
        <v>D</v>
      </c>
      <c r="L20" s="15"/>
      <c r="M20" s="15"/>
      <c r="N20" s="19">
        <f t="shared" ref="N20:N23" si="13">D20*F20</f>
        <v>16</v>
      </c>
      <c r="O20" s="19">
        <f t="shared" ref="O20:O23" si="14">E20*F20</f>
        <v>16</v>
      </c>
    </row>
    <row r="21" spans="2:15" ht="32.25" thickBot="1" x14ac:dyDescent="0.3">
      <c r="B21" s="118" t="s">
        <v>70</v>
      </c>
      <c r="C21" s="16">
        <f t="shared" si="10"/>
        <v>4</v>
      </c>
      <c r="D21" s="217">
        <v>4</v>
      </c>
      <c r="E21" s="218">
        <v>4</v>
      </c>
      <c r="F21" s="17">
        <v>4</v>
      </c>
      <c r="G21" s="18">
        <f t="shared" si="11"/>
        <v>16</v>
      </c>
      <c r="H21" s="114">
        <v>4.2692307692307692</v>
      </c>
      <c r="I21" s="115">
        <v>4.2692307692307692</v>
      </c>
      <c r="J21" s="35"/>
      <c r="K21" s="16" t="str">
        <f t="shared" si="12"/>
        <v>D</v>
      </c>
      <c r="L21" s="15"/>
      <c r="M21" s="15"/>
      <c r="N21" s="19">
        <f t="shared" si="13"/>
        <v>16</v>
      </c>
      <c r="O21" s="19">
        <f t="shared" si="14"/>
        <v>16</v>
      </c>
    </row>
    <row r="22" spans="2:15" ht="32.25" thickBot="1" x14ac:dyDescent="0.3">
      <c r="B22" s="118" t="s">
        <v>120</v>
      </c>
      <c r="C22" s="16">
        <f t="shared" si="10"/>
        <v>3</v>
      </c>
      <c r="D22" s="112">
        <v>3</v>
      </c>
      <c r="E22" s="113">
        <v>3</v>
      </c>
      <c r="F22" s="17">
        <v>2</v>
      </c>
      <c r="G22" s="18">
        <f t="shared" si="11"/>
        <v>6</v>
      </c>
      <c r="H22" s="114">
        <v>5.6538461538461542</v>
      </c>
      <c r="I22" s="115">
        <v>5.6538461538461542</v>
      </c>
      <c r="J22" s="35"/>
      <c r="K22" s="16" t="str">
        <f t="shared" si="12"/>
        <v>D</v>
      </c>
      <c r="L22" s="15"/>
      <c r="M22" s="15"/>
      <c r="N22" s="19">
        <f t="shared" si="13"/>
        <v>6</v>
      </c>
      <c r="O22" s="19">
        <f t="shared" si="14"/>
        <v>6</v>
      </c>
    </row>
    <row r="23" spans="2:15" ht="32.25" thickBot="1" x14ac:dyDescent="0.3">
      <c r="B23" s="118" t="s">
        <v>71</v>
      </c>
      <c r="C23" s="16">
        <f t="shared" si="10"/>
        <v>8</v>
      </c>
      <c r="D23" s="112">
        <v>8</v>
      </c>
      <c r="E23" s="113">
        <v>8</v>
      </c>
      <c r="F23" s="17">
        <v>2</v>
      </c>
      <c r="G23" s="18">
        <f t="shared" si="11"/>
        <v>16</v>
      </c>
      <c r="H23" s="114">
        <v>9.7692307692307701</v>
      </c>
      <c r="I23" s="115">
        <v>9.7692307692307701</v>
      </c>
      <c r="J23" s="35"/>
      <c r="K23" s="16" t="str">
        <f t="shared" si="12"/>
        <v>D</v>
      </c>
      <c r="L23" s="15"/>
      <c r="M23" s="15"/>
      <c r="N23" s="19">
        <f t="shared" si="13"/>
        <v>16</v>
      </c>
      <c r="O23" s="19">
        <f t="shared" si="14"/>
        <v>16</v>
      </c>
    </row>
    <row r="24" spans="2:15" ht="16.5" thickBot="1" x14ac:dyDescent="0.3">
      <c r="B24" s="210" t="s">
        <v>35</v>
      </c>
      <c r="C24" s="211"/>
      <c r="D24" s="211"/>
      <c r="E24" s="211"/>
      <c r="F24" s="211"/>
      <c r="G24" s="211"/>
      <c r="H24" s="211"/>
      <c r="I24" s="211"/>
      <c r="J24" s="211"/>
      <c r="K24" s="212"/>
      <c r="L24" s="15"/>
      <c r="M24" s="15"/>
      <c r="N24" s="15"/>
      <c r="O24" s="15"/>
    </row>
    <row r="25" spans="2:15" ht="16.5" customHeight="1" thickBot="1" x14ac:dyDescent="0.3">
      <c r="B25" s="20" t="s">
        <v>31</v>
      </c>
      <c r="C25" s="195">
        <f>(SUM(G20:G23)/SUM(F20:F23))</f>
        <v>5.4</v>
      </c>
      <c r="D25" s="195"/>
      <c r="E25" s="195"/>
      <c r="F25" s="196" t="s">
        <v>32</v>
      </c>
      <c r="G25" s="196"/>
      <c r="H25" s="121"/>
      <c r="I25" s="190"/>
      <c r="J25" s="190"/>
      <c r="K25" s="197"/>
      <c r="L25" s="15"/>
      <c r="M25" s="15"/>
      <c r="N25" s="15"/>
      <c r="O25" s="15"/>
    </row>
    <row r="26" spans="2:15" ht="16.5" thickBot="1" x14ac:dyDescent="0.3">
      <c r="B26" s="198"/>
      <c r="C26" s="199"/>
      <c r="D26" s="199"/>
      <c r="E26" s="199"/>
      <c r="F26" s="199"/>
      <c r="G26" s="199"/>
      <c r="H26" s="199"/>
      <c r="I26" s="199"/>
      <c r="J26" s="199"/>
      <c r="K26" s="201"/>
      <c r="L26" s="15"/>
      <c r="M26" s="15"/>
      <c r="N26" s="15"/>
      <c r="O26" s="15"/>
    </row>
    <row r="27" spans="2:15" ht="32.25" thickBot="1" x14ac:dyDescent="0.3">
      <c r="B27" s="118" t="s">
        <v>67</v>
      </c>
      <c r="C27" s="16">
        <f t="shared" ref="C27:C30" si="15">(D27+E27)/2</f>
        <v>16</v>
      </c>
      <c r="D27" s="112">
        <v>16</v>
      </c>
      <c r="E27" s="113">
        <v>16</v>
      </c>
      <c r="F27" s="17">
        <v>1</v>
      </c>
      <c r="G27" s="18">
        <f t="shared" ref="G27:G30" si="16">C27*F27</f>
        <v>16</v>
      </c>
      <c r="H27" s="114">
        <v>16</v>
      </c>
      <c r="I27" s="115">
        <v>16</v>
      </c>
      <c r="J27" s="35"/>
      <c r="K27" s="16" t="str">
        <f t="shared" ref="K27:K30" si="17">IF(C27&lt;10,"D",IF(C27&lt;12,"C",IF(C27&lt;14,"C+",IF(C27&lt;15,"B",IF(C27&lt;16,"B+",IF(C27&lt;18,"A",IF(C27&lt;20,"A+")))))))</f>
        <v>A</v>
      </c>
      <c r="L27" s="15"/>
      <c r="M27" s="15"/>
      <c r="N27" s="19">
        <f t="shared" ref="N27:N30" si="18">D27*F27</f>
        <v>16</v>
      </c>
      <c r="O27" s="19">
        <f t="shared" ref="O27:O30" si="19">E27*F27</f>
        <v>16</v>
      </c>
    </row>
    <row r="28" spans="2:15" ht="32.25" thickBot="1" x14ac:dyDescent="0.3">
      <c r="B28" s="118" t="s">
        <v>122</v>
      </c>
      <c r="C28" s="16">
        <f t="shared" si="15"/>
        <v>15</v>
      </c>
      <c r="D28" s="112">
        <v>15</v>
      </c>
      <c r="E28" s="113">
        <v>15</v>
      </c>
      <c r="F28" s="17">
        <v>2</v>
      </c>
      <c r="G28" s="18">
        <f t="shared" si="16"/>
        <v>30</v>
      </c>
      <c r="H28" s="114">
        <v>15.846153846153847</v>
      </c>
      <c r="I28" s="115">
        <v>15.846153846153847</v>
      </c>
      <c r="J28" s="35"/>
      <c r="K28" s="16" t="str">
        <f t="shared" si="17"/>
        <v>B+</v>
      </c>
      <c r="L28" s="15"/>
      <c r="M28" s="15"/>
      <c r="N28" s="19">
        <f t="shared" si="18"/>
        <v>30</v>
      </c>
      <c r="O28" s="19">
        <f t="shared" si="19"/>
        <v>30</v>
      </c>
    </row>
    <row r="29" spans="2:15" ht="32.25" thickBot="1" x14ac:dyDescent="0.3">
      <c r="B29" s="118" t="s">
        <v>72</v>
      </c>
      <c r="C29" s="16">
        <f t="shared" si="15"/>
        <v>10</v>
      </c>
      <c r="D29" s="112">
        <v>10</v>
      </c>
      <c r="E29" s="113">
        <v>10</v>
      </c>
      <c r="F29" s="17">
        <v>1</v>
      </c>
      <c r="G29" s="18">
        <f t="shared" si="16"/>
        <v>10</v>
      </c>
      <c r="H29" s="114">
        <v>12.76923076923077</v>
      </c>
      <c r="I29" s="115">
        <v>12.76923076923077</v>
      </c>
      <c r="J29" s="35"/>
      <c r="K29" s="16" t="str">
        <f t="shared" si="17"/>
        <v>C</v>
      </c>
      <c r="L29" s="15"/>
      <c r="M29" s="15"/>
      <c r="N29" s="19">
        <f t="shared" si="18"/>
        <v>10</v>
      </c>
      <c r="O29" s="19">
        <f t="shared" si="19"/>
        <v>10</v>
      </c>
    </row>
    <row r="30" spans="2:15" ht="32.25" thickBot="1" x14ac:dyDescent="0.3">
      <c r="B30" s="118" t="s">
        <v>121</v>
      </c>
      <c r="C30" s="16">
        <f>D30</f>
        <v>17</v>
      </c>
      <c r="D30" s="217">
        <v>17</v>
      </c>
      <c r="E30" s="218"/>
      <c r="F30" s="17">
        <v>1</v>
      </c>
      <c r="G30" s="18">
        <f t="shared" si="16"/>
        <v>17</v>
      </c>
      <c r="H30" s="202">
        <v>17</v>
      </c>
      <c r="I30" s="203"/>
      <c r="J30" s="35"/>
      <c r="K30" s="16" t="str">
        <f t="shared" si="17"/>
        <v>A</v>
      </c>
      <c r="L30" s="15"/>
      <c r="M30" s="15"/>
      <c r="N30" s="19">
        <f t="shared" si="18"/>
        <v>17</v>
      </c>
      <c r="O30" s="19">
        <f>D30*F30</f>
        <v>17</v>
      </c>
    </row>
    <row r="31" spans="2:15" ht="16.5" thickBot="1" x14ac:dyDescent="0.3">
      <c r="B31" s="118" t="s">
        <v>36</v>
      </c>
      <c r="C31" s="119"/>
      <c r="D31" s="119"/>
      <c r="E31" s="119"/>
      <c r="F31" s="119"/>
      <c r="G31" s="119"/>
      <c r="H31" s="119"/>
      <c r="I31" s="119"/>
      <c r="J31" s="119"/>
      <c r="K31" s="120"/>
      <c r="L31" s="15"/>
      <c r="M31" s="15"/>
      <c r="N31" s="15">
        <f>SUM(N5:N30)</f>
        <v>312</v>
      </c>
      <c r="O31" s="15">
        <f>SUM(O5:O30)</f>
        <v>312</v>
      </c>
    </row>
    <row r="32" spans="2:15" ht="16.5" customHeight="1" thickBot="1" x14ac:dyDescent="0.3">
      <c r="B32" s="21" t="s">
        <v>34</v>
      </c>
      <c r="C32" s="195">
        <f>(SUM(G27:G30)/SUM(F27:F30))</f>
        <v>14.6</v>
      </c>
      <c r="D32" s="195"/>
      <c r="E32" s="195"/>
      <c r="F32" s="204" t="s">
        <v>32</v>
      </c>
      <c r="G32" s="204"/>
      <c r="H32" s="122"/>
      <c r="I32" s="163"/>
      <c r="J32" s="163"/>
      <c r="K32" s="164"/>
      <c r="L32" s="15"/>
      <c r="M32" s="15"/>
      <c r="N32" s="15">
        <v>31</v>
      </c>
      <c r="O32" s="15">
        <v>31</v>
      </c>
    </row>
    <row r="33" spans="2:15" ht="16.5" thickBot="1" x14ac:dyDescent="0.3">
      <c r="B33" s="178"/>
      <c r="C33" s="179"/>
      <c r="D33" s="179"/>
      <c r="E33" s="179"/>
      <c r="F33" s="179"/>
      <c r="G33" s="179"/>
      <c r="H33" s="179"/>
      <c r="I33" s="179"/>
      <c r="J33" s="179"/>
      <c r="K33" s="180"/>
      <c r="L33" s="15"/>
      <c r="M33" s="15"/>
      <c r="N33" s="15">
        <f>N31/N32</f>
        <v>10.064516129032258</v>
      </c>
      <c r="O33" s="15">
        <f>O31/O32</f>
        <v>10.064516129032258</v>
      </c>
    </row>
    <row r="34" spans="2:15" ht="48" thickBot="1" x14ac:dyDescent="0.3">
      <c r="B34" s="22" t="s">
        <v>37</v>
      </c>
      <c r="C34" s="23" t="s">
        <v>38</v>
      </c>
      <c r="D34" s="122">
        <v>10.220000000000001</v>
      </c>
      <c r="E34" s="24" t="s">
        <v>39</v>
      </c>
      <c r="F34" s="190">
        <v>11.9</v>
      </c>
      <c r="G34" s="190"/>
      <c r="H34" s="24" t="s">
        <v>40</v>
      </c>
      <c r="I34" s="190">
        <v>8.4499999999999993</v>
      </c>
      <c r="J34" s="190"/>
      <c r="K34" s="25"/>
      <c r="L34" s="26"/>
      <c r="M34" s="26"/>
      <c r="N34" s="26"/>
      <c r="O34" s="26"/>
    </row>
    <row r="35" spans="2:15" ht="15.75" x14ac:dyDescent="0.25">
      <c r="B35" s="74"/>
      <c r="C35" s="193" t="s">
        <v>130</v>
      </c>
      <c r="D35" s="193"/>
      <c r="E35" s="75"/>
      <c r="F35" s="75"/>
      <c r="G35" s="76"/>
      <c r="H35" s="145"/>
      <c r="I35" s="146"/>
      <c r="J35" s="146"/>
      <c r="K35" s="147"/>
      <c r="L35" s="15"/>
      <c r="M35" s="15"/>
      <c r="N35" s="15"/>
      <c r="O35" s="15"/>
    </row>
    <row r="36" spans="2:15" ht="15.75" x14ac:dyDescent="0.25">
      <c r="B36" s="77" t="s">
        <v>41</v>
      </c>
      <c r="C36" s="194">
        <f>N33</f>
        <v>10.064516129032258</v>
      </c>
      <c r="D36" s="194"/>
      <c r="E36" s="79" t="s">
        <v>131</v>
      </c>
      <c r="F36" s="80">
        <f>(G5+G6+G7+G8+G9+G13+G14+G15+G20+G16+G21+G22+G23+G27+G28+G29+G30)/31</f>
        <v>10.064516129032258</v>
      </c>
      <c r="G36" s="81" t="s">
        <v>42</v>
      </c>
      <c r="H36" s="191" t="s">
        <v>43</v>
      </c>
      <c r="I36" s="192"/>
      <c r="J36" s="27" t="s">
        <v>141</v>
      </c>
      <c r="K36" s="28" t="s">
        <v>113</v>
      </c>
      <c r="L36" s="15"/>
      <c r="M36" s="15"/>
      <c r="N36" s="15"/>
      <c r="O36" s="15"/>
    </row>
    <row r="37" spans="2:15" ht="12.75" customHeight="1" x14ac:dyDescent="0.25">
      <c r="B37" s="77"/>
      <c r="C37" s="125"/>
      <c r="D37" s="125"/>
      <c r="E37" s="79"/>
      <c r="F37" s="80"/>
      <c r="G37" s="81"/>
      <c r="H37" s="123"/>
      <c r="I37" s="124"/>
      <c r="J37" s="27"/>
      <c r="K37" s="28"/>
      <c r="L37" s="15"/>
      <c r="M37" s="15"/>
      <c r="N37" s="15"/>
      <c r="O37" s="15"/>
    </row>
    <row r="38" spans="2:15" ht="18" customHeight="1" x14ac:dyDescent="0.25">
      <c r="B38" s="102" t="s">
        <v>132</v>
      </c>
      <c r="C38" s="103" t="s">
        <v>133</v>
      </c>
      <c r="D38" s="103" t="s">
        <v>134</v>
      </c>
      <c r="E38" s="104" t="s">
        <v>135</v>
      </c>
      <c r="F38" s="105">
        <f>AVERAGE(B39:C39:D39)</f>
        <v>9.0115053763440844</v>
      </c>
      <c r="G38" s="106" t="s">
        <v>42</v>
      </c>
      <c r="H38" s="171" t="s">
        <v>136</v>
      </c>
      <c r="I38" s="172"/>
      <c r="J38" s="173" t="s">
        <v>160</v>
      </c>
      <c r="K38" s="174"/>
      <c r="L38" s="15"/>
      <c r="M38" s="15"/>
      <c r="N38" s="15"/>
      <c r="O38" s="15"/>
    </row>
    <row r="39" spans="2:15" ht="24" customHeight="1" thickBot="1" x14ac:dyDescent="0.3">
      <c r="B39" s="107">
        <v>8.4499999999999993</v>
      </c>
      <c r="C39" s="108">
        <v>8.52</v>
      </c>
      <c r="D39" s="108">
        <f>F36</f>
        <v>10.064516129032258</v>
      </c>
      <c r="E39" s="109"/>
      <c r="F39" s="110"/>
      <c r="G39" s="111"/>
      <c r="H39" s="124"/>
      <c r="I39" s="124"/>
      <c r="J39" s="27"/>
      <c r="K39" s="28"/>
      <c r="L39" s="15"/>
      <c r="M39" s="15"/>
      <c r="N39" s="15"/>
      <c r="O39" s="15"/>
    </row>
    <row r="40" spans="2:15" ht="16.5" customHeight="1" thickBot="1" x14ac:dyDescent="0.3">
      <c r="B40" s="175" t="s">
        <v>44</v>
      </c>
      <c r="C40" s="176"/>
      <c r="D40" s="176"/>
      <c r="E40" s="176"/>
      <c r="F40" s="176"/>
      <c r="G40" s="176"/>
      <c r="H40" s="176"/>
      <c r="I40" s="176"/>
      <c r="J40" s="176"/>
      <c r="K40" s="177"/>
      <c r="L40" s="15"/>
      <c r="M40" s="15"/>
      <c r="N40" s="15"/>
      <c r="O40" s="15"/>
    </row>
    <row r="41" spans="2:15" ht="16.5" customHeight="1" thickBot="1" x14ac:dyDescent="0.3">
      <c r="B41" s="162" t="s">
        <v>45</v>
      </c>
      <c r="C41" s="163"/>
      <c r="D41" s="163"/>
      <c r="E41" s="163"/>
      <c r="F41" s="163"/>
      <c r="G41" s="163"/>
      <c r="H41" s="163"/>
      <c r="I41" s="163"/>
      <c r="J41" s="163"/>
      <c r="K41" s="164"/>
      <c r="L41" s="15"/>
      <c r="M41" s="15"/>
      <c r="N41" s="15"/>
      <c r="O41" s="15"/>
    </row>
    <row r="42" spans="2:15" ht="16.5" customHeight="1" thickBot="1" x14ac:dyDescent="0.3">
      <c r="B42" s="22" t="s">
        <v>46</v>
      </c>
      <c r="C42" s="178" t="s">
        <v>47</v>
      </c>
      <c r="D42" s="179"/>
      <c r="E42" s="180"/>
      <c r="F42" s="165" t="s">
        <v>48</v>
      </c>
      <c r="G42" s="166"/>
      <c r="H42" s="166"/>
      <c r="I42" s="166"/>
      <c r="J42" s="166"/>
      <c r="K42" s="167"/>
      <c r="L42" s="15"/>
      <c r="M42" s="15"/>
      <c r="N42" s="15"/>
      <c r="O42" s="15"/>
    </row>
    <row r="43" spans="2:15" ht="16.5" thickBot="1" x14ac:dyDescent="0.3">
      <c r="B43" s="29" t="s">
        <v>49</v>
      </c>
      <c r="C43" s="181" t="str">
        <f>IF(F38&lt;10,"CNA",IF(F38&lt;12,"CMA",IF(F38&lt;14,"CA",IF(F38&lt;16,"CBA",IF(F38&lt;20,"CTBA")))))</f>
        <v>CNA</v>
      </c>
      <c r="D43" s="182" t="e">
        <f>IF(#REF!&lt;10,"D",IF(#REF!&lt;12,"C",IF(#REF!&lt;14,"C+",IF(#REF!&lt;15,"B",IF(#REF!&lt;16,"B+",IF(#REF!&lt;18,"A",IF(#REF!&lt;20,"A+")))))))</f>
        <v>#REF!</v>
      </c>
      <c r="E43" s="183" t="e">
        <f>IF(#REF!&lt;10,"D",IF(#REF!&lt;12,"C",IF(#REF!&lt;14,"C+",IF(#REF!&lt;15,"B",IF(#REF!&lt;16,"B+",IF(#REF!&lt;18,"A",IF(#REF!&lt;20,"A+")))))))</f>
        <v>#REF!</v>
      </c>
      <c r="F43" s="168"/>
      <c r="G43" s="169"/>
      <c r="H43" s="169"/>
      <c r="I43" s="169"/>
      <c r="J43" s="169"/>
      <c r="K43" s="170"/>
      <c r="L43" s="15"/>
      <c r="M43" s="15"/>
      <c r="N43" s="15"/>
      <c r="O43" s="15"/>
    </row>
    <row r="44" spans="2:15" ht="16.5" customHeight="1" thickBot="1" x14ac:dyDescent="0.3">
      <c r="B44" s="30" t="s">
        <v>50</v>
      </c>
      <c r="C44" s="184" t="e">
        <f>IF(#REF!&lt;10,"D",IF(#REF!&lt;12,"C",IF(#REF!&lt;14,"C+",IF(#REF!&lt;15,"B",IF(#REF!&lt;16,"B+",IF(#REF!&lt;18,"A",IF(#REF!&lt;20,"A+")))))))</f>
        <v>#REF!</v>
      </c>
      <c r="D44" s="216" t="e">
        <f>IF(#REF!&lt;10,"D",IF(#REF!&lt;12,"C",IF(#REF!&lt;14,"C+",IF(#REF!&lt;15,"B",IF(#REF!&lt;16,"B+",IF(#REF!&lt;18,"A",IF(#REF!&lt;20,"A+")))))))</f>
        <v>#REF!</v>
      </c>
      <c r="E44" s="186" t="e">
        <f>IF(#REF!&lt;10,"D",IF(#REF!&lt;12,"C",IF(#REF!&lt;14,"C+",IF(#REF!&lt;15,"B",IF(#REF!&lt;16,"B+",IF(#REF!&lt;18,"A",IF(#REF!&lt;20,"A+")))))))</f>
        <v>#REF!</v>
      </c>
      <c r="F44" s="162" t="s">
        <v>51</v>
      </c>
      <c r="G44" s="163"/>
      <c r="H44" s="163"/>
      <c r="I44" s="164"/>
      <c r="J44" s="165" t="s">
        <v>52</v>
      </c>
      <c r="K44" s="167"/>
      <c r="L44" s="15"/>
      <c r="M44" s="15"/>
      <c r="N44" s="15"/>
      <c r="O44" s="15"/>
    </row>
    <row r="45" spans="2:15" ht="16.5" customHeight="1" thickBot="1" x14ac:dyDescent="0.3">
      <c r="B45" s="31" t="s">
        <v>53</v>
      </c>
      <c r="C45" s="187" t="e">
        <f>IF(#REF!&lt;10,"D",IF(#REF!&lt;12,"C",IF(#REF!&lt;14,"C+",IF(#REF!&lt;15,"B",IF(#REF!&lt;16,"B+",IF(#REF!&lt;18,"A",IF(#REF!&lt;20,"A+")))))))</f>
        <v>#REF!</v>
      </c>
      <c r="D45" s="188" t="e">
        <f>IF(#REF!&lt;10,"D",IF(#REF!&lt;12,"C",IF(#REF!&lt;14,"C+",IF(#REF!&lt;15,"B",IF(#REF!&lt;16,"B+",IF(#REF!&lt;18,"A",IF(#REF!&lt;20,"A+")))))))</f>
        <v>#REF!</v>
      </c>
      <c r="E45" s="189" t="e">
        <f>IF(#REF!&lt;10,"D",IF(#REF!&lt;12,"C",IF(#REF!&lt;14,"C+",IF(#REF!&lt;15,"B",IF(#REF!&lt;16,"B+",IF(#REF!&lt;18,"A",IF(#REF!&lt;20,"A+")))))))</f>
        <v>#REF!</v>
      </c>
      <c r="F45" s="162" t="s">
        <v>54</v>
      </c>
      <c r="G45" s="163"/>
      <c r="H45" s="163"/>
      <c r="I45" s="164"/>
      <c r="J45" s="160" t="s">
        <v>55</v>
      </c>
      <c r="K45" s="161"/>
      <c r="L45" s="15"/>
      <c r="M45" s="15"/>
      <c r="N45" s="15"/>
      <c r="O45" s="15"/>
    </row>
    <row r="46" spans="2:15" ht="16.5" customHeight="1" thickBot="1" x14ac:dyDescent="0.3">
      <c r="B46" s="23" t="s">
        <v>56</v>
      </c>
      <c r="C46" s="165" t="s">
        <v>57</v>
      </c>
      <c r="D46" s="166"/>
      <c r="E46" s="167"/>
      <c r="F46" s="162" t="s">
        <v>58</v>
      </c>
      <c r="G46" s="163"/>
      <c r="H46" s="163"/>
      <c r="I46" s="164"/>
      <c r="J46" s="160"/>
      <c r="K46" s="161"/>
      <c r="L46" s="15"/>
      <c r="M46" s="15"/>
      <c r="N46" s="15"/>
      <c r="O46" s="15"/>
    </row>
    <row r="47" spans="2:15" ht="16.5" customHeight="1" thickBot="1" x14ac:dyDescent="0.3">
      <c r="B47" s="23" t="s">
        <v>59</v>
      </c>
      <c r="C47" s="168"/>
      <c r="D47" s="169"/>
      <c r="E47" s="170"/>
      <c r="F47" s="162" t="s">
        <v>60</v>
      </c>
      <c r="G47" s="163"/>
      <c r="H47" s="163"/>
      <c r="I47" s="164"/>
      <c r="J47" s="154" t="s">
        <v>61</v>
      </c>
      <c r="K47" s="155"/>
      <c r="L47" s="15"/>
      <c r="M47" s="15"/>
      <c r="N47" s="15"/>
      <c r="O47" s="15"/>
    </row>
    <row r="48" spans="2:15" ht="31.5" x14ac:dyDescent="0.25">
      <c r="B48" s="22" t="s">
        <v>62</v>
      </c>
      <c r="C48" s="145"/>
      <c r="D48" s="146"/>
      <c r="E48" s="147"/>
      <c r="F48" s="145"/>
      <c r="G48" s="146"/>
      <c r="H48" s="146"/>
      <c r="I48" s="147"/>
      <c r="J48" s="154" t="s">
        <v>63</v>
      </c>
      <c r="K48" s="155"/>
      <c r="L48" s="15"/>
      <c r="M48" s="15"/>
      <c r="N48" s="15"/>
      <c r="O48" s="15"/>
    </row>
    <row r="49" spans="2:15" ht="15.75" x14ac:dyDescent="0.25">
      <c r="B49" s="32"/>
      <c r="C49" s="148"/>
      <c r="D49" s="215"/>
      <c r="E49" s="150"/>
      <c r="F49" s="148"/>
      <c r="G49" s="215"/>
      <c r="H49" s="215"/>
      <c r="I49" s="150"/>
      <c r="J49" s="156"/>
      <c r="K49" s="157"/>
      <c r="L49" s="15"/>
      <c r="M49" s="15"/>
      <c r="N49" s="15"/>
      <c r="O49" s="15"/>
    </row>
    <row r="50" spans="2:15" ht="15.75" x14ac:dyDescent="0.25">
      <c r="B50" s="32"/>
      <c r="C50" s="148"/>
      <c r="D50" s="215"/>
      <c r="E50" s="150"/>
      <c r="F50" s="148"/>
      <c r="G50" s="215"/>
      <c r="H50" s="215"/>
      <c r="I50" s="150"/>
      <c r="J50" s="156"/>
      <c r="K50" s="157"/>
      <c r="L50" s="15"/>
      <c r="M50" s="15"/>
      <c r="N50" s="15"/>
      <c r="O50" s="15"/>
    </row>
    <row r="51" spans="2:15" ht="16.5" thickBot="1" x14ac:dyDescent="0.3">
      <c r="B51" s="31"/>
      <c r="C51" s="151"/>
      <c r="D51" s="152"/>
      <c r="E51" s="153"/>
      <c r="F51" s="151"/>
      <c r="G51" s="152"/>
      <c r="H51" s="152"/>
      <c r="I51" s="153"/>
      <c r="J51" s="158"/>
      <c r="K51" s="159"/>
      <c r="L51" s="15"/>
      <c r="M51" s="15"/>
      <c r="N51" s="15"/>
      <c r="O51" s="15"/>
    </row>
  </sheetData>
  <mergeCells count="54">
    <mergeCell ref="J50:K50"/>
    <mergeCell ref="J51:K51"/>
    <mergeCell ref="B24:K24"/>
    <mergeCell ref="B33:K33"/>
    <mergeCell ref="C25:E25"/>
    <mergeCell ref="F25:G25"/>
    <mergeCell ref="I25:K25"/>
    <mergeCell ref="B26:K26"/>
    <mergeCell ref="H4:I4"/>
    <mergeCell ref="B10:K10"/>
    <mergeCell ref="C11:E11"/>
    <mergeCell ref="F11:G11"/>
    <mergeCell ref="I11:K11"/>
    <mergeCell ref="B12:K12"/>
    <mergeCell ref="D4:E4"/>
    <mergeCell ref="H14:I14"/>
    <mergeCell ref="H16:I16"/>
    <mergeCell ref="B17:K17"/>
    <mergeCell ref="C18:E18"/>
    <mergeCell ref="F18:G18"/>
    <mergeCell ref="I18:K18"/>
    <mergeCell ref="B19:K19"/>
    <mergeCell ref="D21:E21"/>
    <mergeCell ref="H30:I30"/>
    <mergeCell ref="C32:E32"/>
    <mergeCell ref="F32:G32"/>
    <mergeCell ref="I32:K32"/>
    <mergeCell ref="D30:E30"/>
    <mergeCell ref="F34:G34"/>
    <mergeCell ref="I34:J34"/>
    <mergeCell ref="H35:K35"/>
    <mergeCell ref="H36:I36"/>
    <mergeCell ref="C35:D35"/>
    <mergeCell ref="C36:D36"/>
    <mergeCell ref="H38:I38"/>
    <mergeCell ref="J38:K38"/>
    <mergeCell ref="B40:K40"/>
    <mergeCell ref="B41:K41"/>
    <mergeCell ref="C42:E42"/>
    <mergeCell ref="F42:K43"/>
    <mergeCell ref="C43:E45"/>
    <mergeCell ref="J49:K49"/>
    <mergeCell ref="F44:I44"/>
    <mergeCell ref="J44:K44"/>
    <mergeCell ref="F45:I45"/>
    <mergeCell ref="J45:K45"/>
    <mergeCell ref="J46:K46"/>
    <mergeCell ref="J47:K47"/>
    <mergeCell ref="J48:K48"/>
    <mergeCell ref="C46:E47"/>
    <mergeCell ref="F46:I46"/>
    <mergeCell ref="F47:I47"/>
    <mergeCell ref="C48:E51"/>
    <mergeCell ref="F48:I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1"/>
  <sheetViews>
    <sheetView topLeftCell="A43" zoomScale="90" zoomScaleNormal="90" workbookViewId="0">
      <selection activeCell="B4" sqref="B4:K51"/>
    </sheetView>
  </sheetViews>
  <sheetFormatPr baseColWidth="10" defaultRowHeight="15" x14ac:dyDescent="0.25"/>
  <cols>
    <col min="2" max="2" width="44.140625" customWidth="1"/>
    <col min="3" max="3" width="12.140625" customWidth="1"/>
    <col min="5" max="5" width="16.28515625" customWidth="1"/>
    <col min="7" max="7" width="13.7109375" customWidth="1"/>
    <col min="11" max="11" width="16.42578125" customWidth="1"/>
  </cols>
  <sheetData>
    <row r="3" spans="2:15" ht="15.75" thickBot="1" x14ac:dyDescent="0.3"/>
    <row r="4" spans="2:15" ht="16.5" thickBot="1" x14ac:dyDescent="0.3">
      <c r="B4" s="93" t="s">
        <v>25</v>
      </c>
      <c r="C4" s="94" t="s">
        <v>129</v>
      </c>
      <c r="D4" s="213" t="s">
        <v>130</v>
      </c>
      <c r="E4" s="214"/>
      <c r="F4" s="94" t="s">
        <v>26</v>
      </c>
      <c r="G4" s="93" t="s">
        <v>27</v>
      </c>
      <c r="H4" s="213" t="s">
        <v>28</v>
      </c>
      <c r="I4" s="214"/>
      <c r="J4" s="94" t="s">
        <v>23</v>
      </c>
      <c r="K4" s="94" t="s">
        <v>29</v>
      </c>
      <c r="L4" s="15"/>
      <c r="M4" s="15"/>
      <c r="N4" s="15"/>
      <c r="O4" s="15"/>
    </row>
    <row r="5" spans="2:15" ht="32.25" thickBot="1" x14ac:dyDescent="0.3">
      <c r="B5" s="95" t="s">
        <v>68</v>
      </c>
      <c r="C5" s="16">
        <f>(D5+E5)/2</f>
        <v>14</v>
      </c>
      <c r="D5" s="205">
        <v>14</v>
      </c>
      <c r="E5" s="206">
        <v>14</v>
      </c>
      <c r="F5" s="17">
        <v>3</v>
      </c>
      <c r="G5" s="18">
        <f>C5*F5</f>
        <v>42</v>
      </c>
      <c r="H5" s="202">
        <v>11.461538461538462</v>
      </c>
      <c r="I5" s="203">
        <v>11.461538461538462</v>
      </c>
      <c r="J5" s="35"/>
      <c r="K5" s="16" t="str">
        <f>IF(C5&lt;10,"D",IF(C5&lt;12,"C",IF(C5&lt;14,"C+",IF(C5&lt;15,"B",IF(C5&lt;16,"B+",IF(C5&lt;18,"A",IF(C5&lt;20,"A+")))))))</f>
        <v>B</v>
      </c>
      <c r="L5" s="15"/>
      <c r="M5" s="15"/>
      <c r="N5" s="19">
        <f>D5*F5</f>
        <v>42</v>
      </c>
      <c r="O5" s="19">
        <f>E5*F5</f>
        <v>42</v>
      </c>
    </row>
    <row r="6" spans="2:15" ht="32.25" thickBot="1" x14ac:dyDescent="0.3">
      <c r="B6" s="95" t="s">
        <v>115</v>
      </c>
      <c r="C6" s="16">
        <f t="shared" ref="C6:C9" si="0">(D6+E6)/2</f>
        <v>9</v>
      </c>
      <c r="D6" s="205">
        <v>9</v>
      </c>
      <c r="E6" s="206">
        <v>9</v>
      </c>
      <c r="F6" s="17">
        <v>1</v>
      </c>
      <c r="G6" s="18">
        <f t="shared" ref="G6:G9" si="1">C6*F6</f>
        <v>9</v>
      </c>
      <c r="H6" s="202">
        <v>7.1538461538461542</v>
      </c>
      <c r="I6" s="203">
        <v>7.1538461538461542</v>
      </c>
      <c r="J6" s="35"/>
      <c r="K6" s="16" t="str">
        <f t="shared" ref="K6:K9" si="2">IF(C6&lt;10,"D",IF(C6&lt;12,"C",IF(C6&lt;14,"C+",IF(C6&lt;15,"B",IF(C6&lt;16,"B+",IF(C6&lt;18,"A",IF(C6&lt;20,"A+")))))))</f>
        <v>D</v>
      </c>
      <c r="L6" s="15"/>
      <c r="M6" s="15"/>
      <c r="N6" s="19">
        <f t="shared" ref="N6:N9" si="3">D6*F6</f>
        <v>9</v>
      </c>
      <c r="O6" s="19">
        <f t="shared" ref="O6:O9" si="4">E6*F6</f>
        <v>9</v>
      </c>
    </row>
    <row r="7" spans="2:15" ht="32.25" thickBot="1" x14ac:dyDescent="0.3">
      <c r="B7" s="95" t="s">
        <v>116</v>
      </c>
      <c r="C7" s="16">
        <f t="shared" si="0"/>
        <v>7</v>
      </c>
      <c r="D7" s="205">
        <v>7</v>
      </c>
      <c r="E7" s="206">
        <v>7</v>
      </c>
      <c r="F7" s="17">
        <v>2</v>
      </c>
      <c r="G7" s="18">
        <f t="shared" si="1"/>
        <v>14</v>
      </c>
      <c r="H7" s="202">
        <v>10.423076923076923</v>
      </c>
      <c r="I7" s="203">
        <v>10.423076923076923</v>
      </c>
      <c r="J7" s="35"/>
      <c r="K7" s="16" t="str">
        <f t="shared" si="2"/>
        <v>D</v>
      </c>
      <c r="L7" s="15"/>
      <c r="M7" s="15"/>
      <c r="N7" s="19">
        <f t="shared" si="3"/>
        <v>14</v>
      </c>
      <c r="O7" s="19">
        <f t="shared" si="4"/>
        <v>14</v>
      </c>
    </row>
    <row r="8" spans="2:15" ht="32.25" thickBot="1" x14ac:dyDescent="0.3">
      <c r="B8" s="95" t="s">
        <v>117</v>
      </c>
      <c r="C8" s="16">
        <f t="shared" si="0"/>
        <v>10</v>
      </c>
      <c r="D8" s="205">
        <v>10</v>
      </c>
      <c r="E8" s="206">
        <v>10</v>
      </c>
      <c r="F8" s="17">
        <v>1</v>
      </c>
      <c r="G8" s="18">
        <f t="shared" si="1"/>
        <v>10</v>
      </c>
      <c r="H8" s="202">
        <v>9.2307692307692299</v>
      </c>
      <c r="I8" s="203">
        <v>9.2307692307692299</v>
      </c>
      <c r="J8" s="35"/>
      <c r="K8" s="16" t="str">
        <f t="shared" si="2"/>
        <v>C</v>
      </c>
      <c r="L8" s="15"/>
      <c r="M8" s="15"/>
      <c r="N8" s="19">
        <f t="shared" si="3"/>
        <v>10</v>
      </c>
      <c r="O8" s="19">
        <f t="shared" si="4"/>
        <v>10</v>
      </c>
    </row>
    <row r="9" spans="2:15" ht="32.25" thickBot="1" x14ac:dyDescent="0.3">
      <c r="B9" s="95" t="s">
        <v>64</v>
      </c>
      <c r="C9" s="16">
        <f t="shared" si="0"/>
        <v>11</v>
      </c>
      <c r="D9" s="205">
        <v>11</v>
      </c>
      <c r="E9" s="206">
        <v>11</v>
      </c>
      <c r="F9" s="17">
        <v>2</v>
      </c>
      <c r="G9" s="18">
        <f t="shared" si="1"/>
        <v>22</v>
      </c>
      <c r="H9" s="202">
        <v>9.9230769230769234</v>
      </c>
      <c r="I9" s="203">
        <v>9.9230769230769234</v>
      </c>
      <c r="J9" s="35"/>
      <c r="K9" s="16" t="str">
        <f t="shared" si="2"/>
        <v>C</v>
      </c>
      <c r="L9" s="15"/>
      <c r="M9" s="15"/>
      <c r="N9" s="19">
        <f t="shared" si="3"/>
        <v>22</v>
      </c>
      <c r="O9" s="19">
        <f t="shared" si="4"/>
        <v>22</v>
      </c>
    </row>
    <row r="10" spans="2:15" ht="16.5" thickBot="1" x14ac:dyDescent="0.3">
      <c r="B10" s="207" t="s">
        <v>30</v>
      </c>
      <c r="C10" s="208"/>
      <c r="D10" s="208"/>
      <c r="E10" s="208"/>
      <c r="F10" s="208"/>
      <c r="G10" s="208"/>
      <c r="H10" s="208"/>
      <c r="I10" s="208"/>
      <c r="J10" s="208"/>
      <c r="K10" s="209"/>
      <c r="L10" s="15"/>
      <c r="M10" s="15"/>
      <c r="N10" s="15"/>
      <c r="O10" s="15"/>
    </row>
    <row r="11" spans="2:15" ht="16.5" thickBot="1" x14ac:dyDescent="0.3">
      <c r="B11" s="20" t="s">
        <v>31</v>
      </c>
      <c r="C11" s="195">
        <f>(SUM(G5:G9)/SUM(F5:F9))</f>
        <v>10.777777777777779</v>
      </c>
      <c r="D11" s="195"/>
      <c r="E11" s="195"/>
      <c r="F11" s="196" t="s">
        <v>32</v>
      </c>
      <c r="G11" s="196"/>
      <c r="H11" s="98"/>
      <c r="I11" s="190"/>
      <c r="J11" s="190"/>
      <c r="K11" s="197"/>
      <c r="L11" s="15"/>
      <c r="M11" s="15"/>
      <c r="N11" s="15"/>
      <c r="O11" s="15"/>
    </row>
    <row r="12" spans="2:15" ht="16.5" thickBot="1" x14ac:dyDescent="0.3">
      <c r="B12" s="198"/>
      <c r="C12" s="199"/>
      <c r="D12" s="199"/>
      <c r="E12" s="199"/>
      <c r="F12" s="199"/>
      <c r="G12" s="199"/>
      <c r="H12" s="199"/>
      <c r="I12" s="199"/>
      <c r="J12" s="199"/>
      <c r="K12" s="201"/>
      <c r="L12" s="15"/>
      <c r="M12" s="15"/>
      <c r="N12" s="15"/>
      <c r="O12" s="15"/>
    </row>
    <row r="13" spans="2:15" ht="32.25" thickBot="1" x14ac:dyDescent="0.3">
      <c r="B13" s="95" t="s">
        <v>65</v>
      </c>
      <c r="C13" s="16">
        <f t="shared" ref="C13:C16" si="5">(D13+E13)/2</f>
        <v>10</v>
      </c>
      <c r="D13" s="205">
        <v>10</v>
      </c>
      <c r="E13" s="206">
        <v>10</v>
      </c>
      <c r="F13" s="17">
        <v>2</v>
      </c>
      <c r="G13" s="18">
        <f t="shared" ref="G13:G16" si="6">C13*F13</f>
        <v>20</v>
      </c>
      <c r="H13" s="202">
        <v>11.384615384615385</v>
      </c>
      <c r="I13" s="203">
        <v>11.384615384615385</v>
      </c>
      <c r="J13" s="35"/>
      <c r="K13" s="16" t="str">
        <f t="shared" ref="K13:K16" si="7">IF(C13&lt;10,"D",IF(C13&lt;12,"C",IF(C13&lt;14,"C+",IF(C13&lt;15,"B",IF(C13&lt;16,"B+",IF(C13&lt;18,"A",IF(C13&lt;20,"A+")))))))</f>
        <v>C</v>
      </c>
      <c r="L13" s="15"/>
      <c r="M13" s="15"/>
      <c r="N13" s="19">
        <f t="shared" ref="N13:N16" si="8">D13*F13</f>
        <v>20</v>
      </c>
      <c r="O13" s="19">
        <f t="shared" ref="O13:O16" si="9">E13*F13</f>
        <v>20</v>
      </c>
    </row>
    <row r="14" spans="2:15" ht="32.25" thickBot="1" x14ac:dyDescent="0.3">
      <c r="B14" s="95" t="s">
        <v>118</v>
      </c>
      <c r="C14" s="16">
        <f t="shared" si="5"/>
        <v>9</v>
      </c>
      <c r="D14" s="205">
        <v>9</v>
      </c>
      <c r="E14" s="206">
        <v>9</v>
      </c>
      <c r="F14" s="17">
        <v>2</v>
      </c>
      <c r="G14" s="18">
        <f t="shared" si="6"/>
        <v>18</v>
      </c>
      <c r="H14" s="202">
        <v>10.692307692307692</v>
      </c>
      <c r="I14" s="203">
        <v>10.692307692307692</v>
      </c>
      <c r="J14" s="35"/>
      <c r="K14" s="16" t="str">
        <f t="shared" si="7"/>
        <v>D</v>
      </c>
      <c r="L14" s="15"/>
      <c r="M14" s="15"/>
      <c r="N14" s="19">
        <f t="shared" si="8"/>
        <v>18</v>
      </c>
      <c r="O14" s="19">
        <f t="shared" si="9"/>
        <v>18</v>
      </c>
    </row>
    <row r="15" spans="2:15" ht="32.25" thickBot="1" x14ac:dyDescent="0.3">
      <c r="B15" s="95" t="s">
        <v>119</v>
      </c>
      <c r="C15" s="16">
        <f t="shared" si="5"/>
        <v>13</v>
      </c>
      <c r="D15" s="205">
        <v>13</v>
      </c>
      <c r="E15" s="206">
        <v>13</v>
      </c>
      <c r="F15" s="17">
        <v>2</v>
      </c>
      <c r="G15" s="18">
        <f t="shared" si="6"/>
        <v>26</v>
      </c>
      <c r="H15" s="202">
        <v>11.692307692307692</v>
      </c>
      <c r="I15" s="203">
        <v>11.692307692307692</v>
      </c>
      <c r="J15" s="35"/>
      <c r="K15" s="16" t="str">
        <f t="shared" si="7"/>
        <v>C+</v>
      </c>
      <c r="L15" s="15"/>
      <c r="M15" s="15"/>
      <c r="N15" s="19">
        <f t="shared" si="8"/>
        <v>26</v>
      </c>
      <c r="O15" s="19">
        <f t="shared" si="9"/>
        <v>26</v>
      </c>
    </row>
    <row r="16" spans="2:15" ht="32.25" thickBot="1" x14ac:dyDescent="0.3">
      <c r="B16" s="95" t="s">
        <v>66</v>
      </c>
      <c r="C16" s="16">
        <f t="shared" si="5"/>
        <v>16</v>
      </c>
      <c r="D16" s="205">
        <v>16</v>
      </c>
      <c r="E16" s="206">
        <v>16</v>
      </c>
      <c r="F16" s="17">
        <v>1</v>
      </c>
      <c r="G16" s="18">
        <f t="shared" si="6"/>
        <v>16</v>
      </c>
      <c r="H16" s="202">
        <v>16</v>
      </c>
      <c r="I16" s="203"/>
      <c r="J16" s="35"/>
      <c r="K16" s="16" t="str">
        <f t="shared" si="7"/>
        <v>A</v>
      </c>
      <c r="L16" s="15"/>
      <c r="M16" s="15"/>
      <c r="N16" s="19">
        <f t="shared" si="8"/>
        <v>16</v>
      </c>
      <c r="O16" s="19">
        <f t="shared" si="9"/>
        <v>16</v>
      </c>
    </row>
    <row r="17" spans="2:15" ht="16.5" thickBot="1" x14ac:dyDescent="0.3">
      <c r="B17" s="207" t="s">
        <v>33</v>
      </c>
      <c r="C17" s="208"/>
      <c r="D17" s="208"/>
      <c r="E17" s="208"/>
      <c r="F17" s="208"/>
      <c r="G17" s="208"/>
      <c r="H17" s="208"/>
      <c r="I17" s="208"/>
      <c r="J17" s="208"/>
      <c r="K17" s="209"/>
      <c r="L17" s="15"/>
      <c r="M17" s="15"/>
      <c r="N17" s="15"/>
      <c r="O17" s="15"/>
    </row>
    <row r="18" spans="2:15" ht="16.5" thickBot="1" x14ac:dyDescent="0.3">
      <c r="B18" s="20" t="s">
        <v>34</v>
      </c>
      <c r="C18" s="195">
        <f>(SUM(G13:G16)/SUM(F13:F16))</f>
        <v>11.428571428571429</v>
      </c>
      <c r="D18" s="195"/>
      <c r="E18" s="195"/>
      <c r="F18" s="196" t="s">
        <v>32</v>
      </c>
      <c r="G18" s="196"/>
      <c r="H18" s="98"/>
      <c r="I18" s="190"/>
      <c r="J18" s="190"/>
      <c r="K18" s="197"/>
      <c r="L18" s="15"/>
      <c r="M18" s="15"/>
      <c r="N18" s="15"/>
      <c r="O18" s="15"/>
    </row>
    <row r="19" spans="2:15" ht="16.5" thickBot="1" x14ac:dyDescent="0.3">
      <c r="B19" s="210"/>
      <c r="C19" s="211"/>
      <c r="D19" s="211"/>
      <c r="E19" s="211"/>
      <c r="F19" s="211"/>
      <c r="G19" s="211"/>
      <c r="H19" s="211"/>
      <c r="I19" s="211"/>
      <c r="J19" s="211"/>
      <c r="K19" s="212"/>
      <c r="L19" s="15"/>
      <c r="M19" s="15"/>
      <c r="N19" s="15"/>
      <c r="O19" s="15"/>
    </row>
    <row r="20" spans="2:15" ht="32.25" thickBot="1" x14ac:dyDescent="0.3">
      <c r="B20" s="95" t="s">
        <v>69</v>
      </c>
      <c r="C20" s="16">
        <f t="shared" ref="C20:C23" si="10">(D20+E20)/2</f>
        <v>9</v>
      </c>
      <c r="D20" s="205">
        <v>9</v>
      </c>
      <c r="E20" s="206">
        <v>9</v>
      </c>
      <c r="F20" s="17">
        <v>2</v>
      </c>
      <c r="G20" s="18">
        <f t="shared" ref="G20:G23" si="11">C20*F20</f>
        <v>18</v>
      </c>
      <c r="H20" s="202">
        <v>8.2307692307692299</v>
      </c>
      <c r="I20" s="203">
        <v>8.2307692307692299</v>
      </c>
      <c r="J20" s="35"/>
      <c r="K20" s="16" t="str">
        <f t="shared" ref="K20:K23" si="12">IF(C20&lt;10,"D",IF(C20&lt;12,"C",IF(C20&lt;14,"C+",IF(C20&lt;15,"B",IF(C20&lt;16,"B+",IF(C20&lt;18,"A",IF(C20&lt;20,"A+")))))))</f>
        <v>D</v>
      </c>
      <c r="L20" s="15"/>
      <c r="M20" s="15"/>
      <c r="N20" s="19">
        <f t="shared" ref="N20:N23" si="13">D20*F20</f>
        <v>18</v>
      </c>
      <c r="O20" s="19">
        <f t="shared" ref="O20:O23" si="14">E20*F20</f>
        <v>18</v>
      </c>
    </row>
    <row r="21" spans="2:15" ht="32.25" thickBot="1" x14ac:dyDescent="0.3">
      <c r="B21" s="95" t="s">
        <v>70</v>
      </c>
      <c r="C21" s="16">
        <f t="shared" si="10"/>
        <v>3</v>
      </c>
      <c r="D21" s="205">
        <v>3</v>
      </c>
      <c r="E21" s="206">
        <v>3</v>
      </c>
      <c r="F21" s="17">
        <v>4</v>
      </c>
      <c r="G21" s="18">
        <f t="shared" si="11"/>
        <v>12</v>
      </c>
      <c r="H21" s="202">
        <v>4.2692307692307692</v>
      </c>
      <c r="I21" s="203">
        <v>4.2692307692307692</v>
      </c>
      <c r="J21" s="35"/>
      <c r="K21" s="16" t="str">
        <f t="shared" si="12"/>
        <v>D</v>
      </c>
      <c r="L21" s="15"/>
      <c r="M21" s="15"/>
      <c r="N21" s="19">
        <f t="shared" si="13"/>
        <v>12</v>
      </c>
      <c r="O21" s="19">
        <f t="shared" si="14"/>
        <v>12</v>
      </c>
    </row>
    <row r="22" spans="2:15" ht="32.25" thickBot="1" x14ac:dyDescent="0.3">
      <c r="B22" s="95" t="s">
        <v>120</v>
      </c>
      <c r="C22" s="16">
        <f t="shared" si="10"/>
        <v>5</v>
      </c>
      <c r="D22" s="205">
        <v>5</v>
      </c>
      <c r="E22" s="206">
        <v>5</v>
      </c>
      <c r="F22" s="17">
        <v>2</v>
      </c>
      <c r="G22" s="18">
        <f t="shared" si="11"/>
        <v>10</v>
      </c>
      <c r="H22" s="202">
        <v>5.6538461538461542</v>
      </c>
      <c r="I22" s="203">
        <v>5.6538461538461542</v>
      </c>
      <c r="J22" s="35"/>
      <c r="K22" s="16" t="str">
        <f t="shared" si="12"/>
        <v>D</v>
      </c>
      <c r="L22" s="15"/>
      <c r="M22" s="15"/>
      <c r="N22" s="19">
        <f t="shared" si="13"/>
        <v>10</v>
      </c>
      <c r="O22" s="19">
        <f t="shared" si="14"/>
        <v>10</v>
      </c>
    </row>
    <row r="23" spans="2:15" ht="32.25" thickBot="1" x14ac:dyDescent="0.3">
      <c r="B23" s="95" t="s">
        <v>71</v>
      </c>
      <c r="C23" s="16">
        <f t="shared" si="10"/>
        <v>9</v>
      </c>
      <c r="D23" s="205">
        <v>9</v>
      </c>
      <c r="E23" s="206">
        <v>9</v>
      </c>
      <c r="F23" s="17">
        <v>2</v>
      </c>
      <c r="G23" s="18">
        <f t="shared" si="11"/>
        <v>18</v>
      </c>
      <c r="H23" s="202">
        <v>9.7692307692307701</v>
      </c>
      <c r="I23" s="203">
        <v>9.7692307692307701</v>
      </c>
      <c r="J23" s="35"/>
      <c r="K23" s="16" t="str">
        <f t="shared" si="12"/>
        <v>D</v>
      </c>
      <c r="L23" s="15"/>
      <c r="M23" s="15"/>
      <c r="N23" s="19">
        <f t="shared" si="13"/>
        <v>18</v>
      </c>
      <c r="O23" s="19">
        <f t="shared" si="14"/>
        <v>18</v>
      </c>
    </row>
    <row r="24" spans="2:15" ht="16.5" thickBot="1" x14ac:dyDescent="0.3">
      <c r="B24" s="207" t="s">
        <v>35</v>
      </c>
      <c r="C24" s="208"/>
      <c r="D24" s="208"/>
      <c r="E24" s="208"/>
      <c r="F24" s="208"/>
      <c r="G24" s="208"/>
      <c r="H24" s="208"/>
      <c r="I24" s="208"/>
      <c r="J24" s="208"/>
      <c r="K24" s="209"/>
      <c r="L24" s="15"/>
      <c r="M24" s="15"/>
      <c r="N24" s="15"/>
      <c r="O24" s="15"/>
    </row>
    <row r="25" spans="2:15" ht="16.5" thickBot="1" x14ac:dyDescent="0.3">
      <c r="B25" s="20" t="s">
        <v>31</v>
      </c>
      <c r="C25" s="195">
        <f>(SUM(G20:G23)/SUM(F20:F23))</f>
        <v>5.8</v>
      </c>
      <c r="D25" s="195"/>
      <c r="E25" s="195"/>
      <c r="F25" s="196" t="s">
        <v>32</v>
      </c>
      <c r="G25" s="196"/>
      <c r="H25" s="98"/>
      <c r="I25" s="190"/>
      <c r="J25" s="190"/>
      <c r="K25" s="197"/>
      <c r="L25" s="15"/>
      <c r="M25" s="15"/>
      <c r="N25" s="15"/>
      <c r="O25" s="15"/>
    </row>
    <row r="26" spans="2:15" ht="16.5" thickBot="1" x14ac:dyDescent="0.3">
      <c r="B26" s="198"/>
      <c r="C26" s="199"/>
      <c r="D26" s="199"/>
      <c r="E26" s="199"/>
      <c r="F26" s="199"/>
      <c r="G26" s="199"/>
      <c r="H26" s="200"/>
      <c r="I26" s="200"/>
      <c r="J26" s="200"/>
      <c r="K26" s="201"/>
      <c r="L26" s="15"/>
      <c r="M26" s="15"/>
      <c r="N26" s="15"/>
      <c r="O26" s="15"/>
    </row>
    <row r="27" spans="2:15" ht="32.25" thickBot="1" x14ac:dyDescent="0.3">
      <c r="B27" s="95" t="s">
        <v>67</v>
      </c>
      <c r="C27" s="16">
        <f t="shared" ref="C27:C30" si="15">(D27+E27)/2</f>
        <v>16</v>
      </c>
      <c r="D27" s="205">
        <v>16</v>
      </c>
      <c r="E27" s="206">
        <v>16</v>
      </c>
      <c r="F27" s="17">
        <v>1</v>
      </c>
      <c r="G27" s="18">
        <f t="shared" ref="G27:G30" si="16">C27*F27</f>
        <v>16</v>
      </c>
      <c r="H27" s="202">
        <v>16</v>
      </c>
      <c r="I27" s="203">
        <v>16</v>
      </c>
      <c r="J27" s="35"/>
      <c r="K27" s="16" t="str">
        <f t="shared" ref="K27:K30" si="17">IF(C27&lt;10,"D",IF(C27&lt;12,"C",IF(C27&lt;14,"C+",IF(C27&lt;15,"B",IF(C27&lt;16,"B+",IF(C27&lt;18,"A",IF(C27&lt;20,"A+")))))))</f>
        <v>A</v>
      </c>
      <c r="L27" s="15"/>
      <c r="M27" s="15"/>
      <c r="N27" s="19">
        <f t="shared" ref="N27:N30" si="18">D27*F27</f>
        <v>16</v>
      </c>
      <c r="O27" s="19">
        <f t="shared" ref="O27:O30" si="19">E27*F27</f>
        <v>16</v>
      </c>
    </row>
    <row r="28" spans="2:15" ht="32.25" thickBot="1" x14ac:dyDescent="0.3">
      <c r="B28" s="95" t="s">
        <v>122</v>
      </c>
      <c r="C28" s="16">
        <f t="shared" si="15"/>
        <v>16</v>
      </c>
      <c r="D28" s="205">
        <v>16</v>
      </c>
      <c r="E28" s="206">
        <v>16</v>
      </c>
      <c r="F28" s="17">
        <v>2</v>
      </c>
      <c r="G28" s="18">
        <f t="shared" si="16"/>
        <v>32</v>
      </c>
      <c r="H28" s="202">
        <v>15.846153846153847</v>
      </c>
      <c r="I28" s="203">
        <v>15.846153846153847</v>
      </c>
      <c r="J28" s="35"/>
      <c r="K28" s="16" t="str">
        <f t="shared" si="17"/>
        <v>A</v>
      </c>
      <c r="L28" s="15"/>
      <c r="M28" s="15"/>
      <c r="N28" s="19">
        <f t="shared" si="18"/>
        <v>32</v>
      </c>
      <c r="O28" s="19">
        <f t="shared" si="19"/>
        <v>32</v>
      </c>
    </row>
    <row r="29" spans="2:15" ht="32.25" thickBot="1" x14ac:dyDescent="0.3">
      <c r="B29" s="95" t="s">
        <v>72</v>
      </c>
      <c r="C29" s="16">
        <f t="shared" si="15"/>
        <v>11</v>
      </c>
      <c r="D29" s="205">
        <v>11</v>
      </c>
      <c r="E29" s="206">
        <v>11</v>
      </c>
      <c r="F29" s="17">
        <v>1</v>
      </c>
      <c r="G29" s="18">
        <f t="shared" si="16"/>
        <v>11</v>
      </c>
      <c r="H29" s="202">
        <v>12.76923076923077</v>
      </c>
      <c r="I29" s="203">
        <v>12.76923076923077</v>
      </c>
      <c r="J29" s="35"/>
      <c r="K29" s="16" t="str">
        <f t="shared" si="17"/>
        <v>C</v>
      </c>
      <c r="L29" s="15"/>
      <c r="M29" s="15"/>
      <c r="N29" s="19">
        <f t="shared" si="18"/>
        <v>11</v>
      </c>
      <c r="O29" s="19">
        <f t="shared" si="19"/>
        <v>11</v>
      </c>
    </row>
    <row r="30" spans="2:15" ht="32.25" thickBot="1" x14ac:dyDescent="0.3">
      <c r="B30" s="95" t="s">
        <v>121</v>
      </c>
      <c r="C30" s="16">
        <f>D30</f>
        <v>17</v>
      </c>
      <c r="D30" s="205">
        <v>17</v>
      </c>
      <c r="E30" s="206"/>
      <c r="F30" s="17">
        <v>1</v>
      </c>
      <c r="G30" s="18">
        <f t="shared" si="16"/>
        <v>17</v>
      </c>
      <c r="H30" s="202">
        <v>17</v>
      </c>
      <c r="I30" s="203"/>
      <c r="J30" s="35"/>
      <c r="K30" s="16" t="str">
        <f t="shared" si="17"/>
        <v>A</v>
      </c>
      <c r="L30" s="15"/>
      <c r="M30" s="15"/>
      <c r="N30" s="19">
        <f t="shared" si="18"/>
        <v>17</v>
      </c>
      <c r="O30" s="16">
        <f>E30</f>
        <v>0</v>
      </c>
    </row>
    <row r="31" spans="2:15" ht="16.5" thickBot="1" x14ac:dyDescent="0.3">
      <c r="B31" s="95" t="s">
        <v>36</v>
      </c>
      <c r="C31" s="96"/>
      <c r="D31" s="96"/>
      <c r="E31" s="96"/>
      <c r="F31" s="96"/>
      <c r="G31" s="96"/>
      <c r="H31" s="96"/>
      <c r="I31" s="96"/>
      <c r="J31" s="96"/>
      <c r="K31" s="97"/>
      <c r="L31" s="15"/>
      <c r="M31" s="15"/>
      <c r="N31" s="15">
        <f>SUM(N5:N30)</f>
        <v>311</v>
      </c>
      <c r="O31" s="15">
        <f>SUM(O5:O30)</f>
        <v>294</v>
      </c>
    </row>
    <row r="32" spans="2:15" ht="16.5" thickBot="1" x14ac:dyDescent="0.3">
      <c r="B32" s="21" t="s">
        <v>34</v>
      </c>
      <c r="C32" s="195">
        <f>(SUM(G27:G30)/SUM(F27:F30))</f>
        <v>15.2</v>
      </c>
      <c r="D32" s="195"/>
      <c r="E32" s="195"/>
      <c r="F32" s="204" t="s">
        <v>32</v>
      </c>
      <c r="G32" s="204"/>
      <c r="H32" s="99"/>
      <c r="I32" s="163"/>
      <c r="J32" s="163"/>
      <c r="K32" s="164"/>
      <c r="L32" s="15"/>
      <c r="M32" s="15"/>
      <c r="N32" s="15">
        <v>31</v>
      </c>
      <c r="O32" s="15">
        <v>31</v>
      </c>
    </row>
    <row r="33" spans="2:15" ht="16.5" thickBot="1" x14ac:dyDescent="0.3">
      <c r="B33" s="178"/>
      <c r="C33" s="179"/>
      <c r="D33" s="179"/>
      <c r="E33" s="179"/>
      <c r="F33" s="179"/>
      <c r="G33" s="179"/>
      <c r="H33" s="179"/>
      <c r="I33" s="179"/>
      <c r="J33" s="179"/>
      <c r="K33" s="180"/>
      <c r="L33" s="15"/>
      <c r="M33" s="15"/>
      <c r="N33" s="15">
        <f>N31/N32</f>
        <v>10.03225806451613</v>
      </c>
      <c r="O33" s="15">
        <f>O31/O32</f>
        <v>9.4838709677419359</v>
      </c>
    </row>
    <row r="34" spans="2:15" ht="48" thickBot="1" x14ac:dyDescent="0.3">
      <c r="B34" s="22" t="s">
        <v>37</v>
      </c>
      <c r="C34" s="23" t="s">
        <v>38</v>
      </c>
      <c r="D34" s="99">
        <v>10.220000000000001</v>
      </c>
      <c r="E34" s="24" t="s">
        <v>39</v>
      </c>
      <c r="F34" s="190">
        <v>11.9</v>
      </c>
      <c r="G34" s="190"/>
      <c r="H34" s="24" t="s">
        <v>40</v>
      </c>
      <c r="I34" s="190">
        <v>8.4499999999999993</v>
      </c>
      <c r="J34" s="190"/>
      <c r="K34" s="25"/>
      <c r="L34" s="26"/>
      <c r="M34" s="26"/>
      <c r="N34" s="26"/>
      <c r="O34" s="26"/>
    </row>
    <row r="35" spans="2:15" ht="15.75" x14ac:dyDescent="0.25">
      <c r="B35" s="74"/>
      <c r="C35" s="193" t="s">
        <v>130</v>
      </c>
      <c r="D35" s="193"/>
      <c r="E35" s="75"/>
      <c r="F35" s="75"/>
      <c r="G35" s="76"/>
      <c r="H35" s="145"/>
      <c r="I35" s="146"/>
      <c r="J35" s="146"/>
      <c r="K35" s="147"/>
      <c r="L35" s="15"/>
      <c r="M35" s="15"/>
      <c r="N35" s="15"/>
      <c r="O35" s="15"/>
    </row>
    <row r="36" spans="2:15" ht="15.75" x14ac:dyDescent="0.25">
      <c r="B36" s="77" t="s">
        <v>41</v>
      </c>
      <c r="C36" s="194">
        <f>N33</f>
        <v>10.03225806451613</v>
      </c>
      <c r="D36" s="194"/>
      <c r="E36" s="79" t="s">
        <v>131</v>
      </c>
      <c r="F36" s="80">
        <f>(G5+G6+G7+G8+G9+G13+G14+G15+G20+G16+G21+G22+G23+G27+G28+G29+G30)/31</f>
        <v>10.03225806451613</v>
      </c>
      <c r="G36" s="81" t="s">
        <v>42</v>
      </c>
      <c r="H36" s="191" t="s">
        <v>43</v>
      </c>
      <c r="I36" s="192"/>
      <c r="J36" s="27" t="s">
        <v>142</v>
      </c>
      <c r="K36" s="28" t="s">
        <v>113</v>
      </c>
      <c r="L36" s="15"/>
      <c r="M36" s="15"/>
      <c r="N36" s="15"/>
      <c r="O36" s="15"/>
    </row>
    <row r="37" spans="2:15" ht="12.75" customHeight="1" x14ac:dyDescent="0.25">
      <c r="B37" s="77"/>
      <c r="C37" s="78"/>
      <c r="D37" s="78"/>
      <c r="E37" s="79"/>
      <c r="F37" s="80"/>
      <c r="G37" s="81"/>
      <c r="H37" s="100"/>
      <c r="I37" s="101"/>
      <c r="J37" s="27"/>
      <c r="K37" s="28"/>
      <c r="L37" s="15"/>
      <c r="M37" s="15"/>
      <c r="N37" s="15"/>
      <c r="O37" s="15"/>
    </row>
    <row r="38" spans="2:15" ht="18" customHeight="1" x14ac:dyDescent="0.25">
      <c r="B38" s="102" t="s">
        <v>132</v>
      </c>
      <c r="C38" s="103" t="s">
        <v>133</v>
      </c>
      <c r="D38" s="103" t="s">
        <v>134</v>
      </c>
      <c r="E38" s="104" t="s">
        <v>135</v>
      </c>
      <c r="F38" s="105">
        <f>AVERAGE(B39:C39:D39)</f>
        <v>8.8907526881720429</v>
      </c>
      <c r="G38" s="106" t="s">
        <v>42</v>
      </c>
      <c r="H38" s="171" t="s">
        <v>136</v>
      </c>
      <c r="I38" s="172"/>
      <c r="J38" s="173" t="s">
        <v>159</v>
      </c>
      <c r="K38" s="174"/>
      <c r="L38" s="15"/>
      <c r="M38" s="15"/>
      <c r="N38" s="15"/>
      <c r="O38" s="15"/>
    </row>
    <row r="39" spans="2:15" ht="27" customHeight="1" thickBot="1" x14ac:dyDescent="0.3">
      <c r="B39" s="107">
        <v>8.41</v>
      </c>
      <c r="C39" s="108">
        <v>8.23</v>
      </c>
      <c r="D39" s="108">
        <f>F36</f>
        <v>10.03225806451613</v>
      </c>
      <c r="E39" s="109"/>
      <c r="F39" s="110"/>
      <c r="G39" s="111"/>
      <c r="H39" s="101"/>
      <c r="I39" s="101"/>
      <c r="J39" s="27"/>
      <c r="K39" s="28"/>
      <c r="L39" s="15"/>
      <c r="M39" s="15"/>
      <c r="N39" s="15"/>
      <c r="O39" s="15"/>
    </row>
    <row r="40" spans="2:15" ht="16.5" thickBot="1" x14ac:dyDescent="0.3">
      <c r="B40" s="175" t="s">
        <v>44</v>
      </c>
      <c r="C40" s="176"/>
      <c r="D40" s="176"/>
      <c r="E40" s="176"/>
      <c r="F40" s="176"/>
      <c r="G40" s="176"/>
      <c r="H40" s="176"/>
      <c r="I40" s="176"/>
      <c r="J40" s="176"/>
      <c r="K40" s="177"/>
      <c r="L40" s="15"/>
      <c r="M40" s="15"/>
      <c r="N40" s="15"/>
      <c r="O40" s="15"/>
    </row>
    <row r="41" spans="2:15" ht="16.5" thickBot="1" x14ac:dyDescent="0.3">
      <c r="B41" s="162" t="s">
        <v>45</v>
      </c>
      <c r="C41" s="163"/>
      <c r="D41" s="163"/>
      <c r="E41" s="163"/>
      <c r="F41" s="163"/>
      <c r="G41" s="163"/>
      <c r="H41" s="163"/>
      <c r="I41" s="163"/>
      <c r="J41" s="163"/>
      <c r="K41" s="164"/>
      <c r="L41" s="15"/>
      <c r="M41" s="15"/>
      <c r="N41" s="15"/>
      <c r="O41" s="15"/>
    </row>
    <row r="42" spans="2:15" ht="16.5" thickBot="1" x14ac:dyDescent="0.3">
      <c r="B42" s="22" t="s">
        <v>46</v>
      </c>
      <c r="C42" s="178" t="s">
        <v>47</v>
      </c>
      <c r="D42" s="179"/>
      <c r="E42" s="180"/>
      <c r="F42" s="165" t="s">
        <v>48</v>
      </c>
      <c r="G42" s="166"/>
      <c r="H42" s="166"/>
      <c r="I42" s="166"/>
      <c r="J42" s="166"/>
      <c r="K42" s="167"/>
      <c r="L42" s="15"/>
      <c r="M42" s="15"/>
      <c r="N42" s="15"/>
      <c r="O42" s="15"/>
    </row>
    <row r="43" spans="2:15" ht="16.5" thickBot="1" x14ac:dyDescent="0.3">
      <c r="B43" s="29" t="s">
        <v>49</v>
      </c>
      <c r="C43" s="181" t="str">
        <f>IF(F38&lt;10,"CNA",IF(F38&lt;12,"CMA",IF(F38&lt;14,"CA",IF(F38&lt;16,"CBA",IF(F38&lt;20,"CTBA")))))</f>
        <v>CNA</v>
      </c>
      <c r="D43" s="182" t="e">
        <f>IF(#REF!&lt;10,"D",IF(#REF!&lt;12,"C",IF(#REF!&lt;14,"C+",IF(#REF!&lt;15,"B",IF(#REF!&lt;16,"B+",IF(#REF!&lt;18,"A",IF(#REF!&lt;20,"A+")))))))</f>
        <v>#REF!</v>
      </c>
      <c r="E43" s="183" t="e">
        <f>IF(#REF!&lt;10,"D",IF(#REF!&lt;12,"C",IF(#REF!&lt;14,"C+",IF(#REF!&lt;15,"B",IF(#REF!&lt;16,"B+",IF(#REF!&lt;18,"A",IF(#REF!&lt;20,"A+")))))))</f>
        <v>#REF!</v>
      </c>
      <c r="F43" s="168"/>
      <c r="G43" s="169"/>
      <c r="H43" s="169"/>
      <c r="I43" s="169"/>
      <c r="J43" s="169"/>
      <c r="K43" s="170"/>
      <c r="L43" s="15"/>
      <c r="M43" s="15"/>
      <c r="N43" s="15"/>
      <c r="O43" s="15"/>
    </row>
    <row r="44" spans="2:15" ht="16.5" thickBot="1" x14ac:dyDescent="0.3">
      <c r="B44" s="30" t="s">
        <v>50</v>
      </c>
      <c r="C44" s="184" t="e">
        <f>IF(#REF!&lt;10,"D",IF(#REF!&lt;12,"C",IF(#REF!&lt;14,"C+",IF(#REF!&lt;15,"B",IF(#REF!&lt;16,"B+",IF(#REF!&lt;18,"A",IF(#REF!&lt;20,"A+")))))))</f>
        <v>#REF!</v>
      </c>
      <c r="D44" s="185" t="e">
        <f>IF(#REF!&lt;10,"D",IF(#REF!&lt;12,"C",IF(#REF!&lt;14,"C+",IF(#REF!&lt;15,"B",IF(#REF!&lt;16,"B+",IF(#REF!&lt;18,"A",IF(#REF!&lt;20,"A+")))))))</f>
        <v>#REF!</v>
      </c>
      <c r="E44" s="186" t="e">
        <f>IF(#REF!&lt;10,"D",IF(#REF!&lt;12,"C",IF(#REF!&lt;14,"C+",IF(#REF!&lt;15,"B",IF(#REF!&lt;16,"B+",IF(#REF!&lt;18,"A",IF(#REF!&lt;20,"A+")))))))</f>
        <v>#REF!</v>
      </c>
      <c r="F44" s="162" t="s">
        <v>51</v>
      </c>
      <c r="G44" s="163"/>
      <c r="H44" s="163"/>
      <c r="I44" s="164"/>
      <c r="J44" s="165" t="s">
        <v>52</v>
      </c>
      <c r="K44" s="167"/>
      <c r="L44" s="15"/>
      <c r="M44" s="15"/>
      <c r="N44" s="15"/>
      <c r="O44" s="15"/>
    </row>
    <row r="45" spans="2:15" ht="16.5" thickBot="1" x14ac:dyDescent="0.3">
      <c r="B45" s="31" t="s">
        <v>53</v>
      </c>
      <c r="C45" s="187" t="e">
        <f>IF(#REF!&lt;10,"D",IF(#REF!&lt;12,"C",IF(#REF!&lt;14,"C+",IF(#REF!&lt;15,"B",IF(#REF!&lt;16,"B+",IF(#REF!&lt;18,"A",IF(#REF!&lt;20,"A+")))))))</f>
        <v>#REF!</v>
      </c>
      <c r="D45" s="188" t="e">
        <f>IF(#REF!&lt;10,"D",IF(#REF!&lt;12,"C",IF(#REF!&lt;14,"C+",IF(#REF!&lt;15,"B",IF(#REF!&lt;16,"B+",IF(#REF!&lt;18,"A",IF(#REF!&lt;20,"A+")))))))</f>
        <v>#REF!</v>
      </c>
      <c r="E45" s="189" t="e">
        <f>IF(#REF!&lt;10,"D",IF(#REF!&lt;12,"C",IF(#REF!&lt;14,"C+",IF(#REF!&lt;15,"B",IF(#REF!&lt;16,"B+",IF(#REF!&lt;18,"A",IF(#REF!&lt;20,"A+")))))))</f>
        <v>#REF!</v>
      </c>
      <c r="F45" s="162" t="s">
        <v>54</v>
      </c>
      <c r="G45" s="163"/>
      <c r="H45" s="163"/>
      <c r="I45" s="164"/>
      <c r="J45" s="160" t="s">
        <v>55</v>
      </c>
      <c r="K45" s="161"/>
      <c r="L45" s="15"/>
      <c r="M45" s="15"/>
      <c r="N45" s="15"/>
      <c r="O45" s="15"/>
    </row>
    <row r="46" spans="2:15" ht="16.5" thickBot="1" x14ac:dyDescent="0.3">
      <c r="B46" s="23" t="s">
        <v>56</v>
      </c>
      <c r="C46" s="165" t="s">
        <v>57</v>
      </c>
      <c r="D46" s="166"/>
      <c r="E46" s="167"/>
      <c r="F46" s="162" t="s">
        <v>58</v>
      </c>
      <c r="G46" s="163"/>
      <c r="H46" s="163"/>
      <c r="I46" s="164"/>
      <c r="J46" s="160"/>
      <c r="K46" s="161"/>
      <c r="L46" s="15"/>
      <c r="M46" s="15"/>
      <c r="N46" s="15"/>
      <c r="O46" s="15"/>
    </row>
    <row r="47" spans="2:15" ht="16.5" thickBot="1" x14ac:dyDescent="0.3">
      <c r="B47" s="23" t="s">
        <v>59</v>
      </c>
      <c r="C47" s="168"/>
      <c r="D47" s="169"/>
      <c r="E47" s="170"/>
      <c r="F47" s="162" t="s">
        <v>60</v>
      </c>
      <c r="G47" s="163"/>
      <c r="H47" s="163"/>
      <c r="I47" s="164"/>
      <c r="J47" s="154" t="s">
        <v>61</v>
      </c>
      <c r="K47" s="155"/>
      <c r="L47" s="15"/>
      <c r="M47" s="15"/>
      <c r="N47" s="15"/>
      <c r="O47" s="15"/>
    </row>
    <row r="48" spans="2:15" ht="31.5" x14ac:dyDescent="0.25">
      <c r="B48" s="22" t="s">
        <v>62</v>
      </c>
      <c r="C48" s="145"/>
      <c r="D48" s="146"/>
      <c r="E48" s="147"/>
      <c r="F48" s="145"/>
      <c r="G48" s="146"/>
      <c r="H48" s="146"/>
      <c r="I48" s="147"/>
      <c r="J48" s="154" t="s">
        <v>63</v>
      </c>
      <c r="K48" s="155"/>
      <c r="L48" s="15"/>
      <c r="M48" s="15"/>
      <c r="N48" s="15"/>
      <c r="O48" s="15"/>
    </row>
    <row r="49" spans="2:15" ht="15.75" x14ac:dyDescent="0.25">
      <c r="B49" s="32"/>
      <c r="C49" s="148"/>
      <c r="D49" s="149"/>
      <c r="E49" s="150"/>
      <c r="F49" s="148"/>
      <c r="G49" s="149"/>
      <c r="H49" s="149"/>
      <c r="I49" s="150"/>
      <c r="J49" s="156"/>
      <c r="K49" s="157"/>
      <c r="L49" s="15"/>
      <c r="M49" s="15"/>
      <c r="N49" s="15"/>
      <c r="O49" s="15"/>
    </row>
    <row r="50" spans="2:15" ht="15.75" x14ac:dyDescent="0.25">
      <c r="B50" s="32"/>
      <c r="C50" s="148"/>
      <c r="D50" s="149"/>
      <c r="E50" s="150"/>
      <c r="F50" s="148"/>
      <c r="G50" s="149"/>
      <c r="H50" s="149"/>
      <c r="I50" s="150"/>
      <c r="J50" s="156"/>
      <c r="K50" s="157"/>
      <c r="L50" s="15"/>
      <c r="M50" s="15"/>
      <c r="N50" s="15"/>
      <c r="O50" s="15"/>
    </row>
    <row r="51" spans="2:15" ht="16.5" thickBot="1" x14ac:dyDescent="0.3">
      <c r="B51" s="31"/>
      <c r="C51" s="151"/>
      <c r="D51" s="152"/>
      <c r="E51" s="153"/>
      <c r="F51" s="151"/>
      <c r="G51" s="152"/>
      <c r="H51" s="152"/>
      <c r="I51" s="153"/>
      <c r="J51" s="158"/>
      <c r="K51" s="159"/>
      <c r="L51" s="15"/>
      <c r="M51" s="15"/>
      <c r="N51" s="15"/>
      <c r="O51" s="15"/>
    </row>
  </sheetData>
  <mergeCells count="83">
    <mergeCell ref="J50:K50"/>
    <mergeCell ref="J51:K51"/>
    <mergeCell ref="D22:E22"/>
    <mergeCell ref="D23:E23"/>
    <mergeCell ref="D27:E27"/>
    <mergeCell ref="D28:E28"/>
    <mergeCell ref="D29:E29"/>
    <mergeCell ref="B24:K24"/>
    <mergeCell ref="B33:K33"/>
    <mergeCell ref="C25:E25"/>
    <mergeCell ref="F25:G25"/>
    <mergeCell ref="I25:K25"/>
    <mergeCell ref="B26:K26"/>
    <mergeCell ref="H27:I27"/>
    <mergeCell ref="H28:I28"/>
    <mergeCell ref="H29:I29"/>
    <mergeCell ref="D8:E8"/>
    <mergeCell ref="D9:E9"/>
    <mergeCell ref="D13:E13"/>
    <mergeCell ref="D14:E14"/>
    <mergeCell ref="D15:E15"/>
    <mergeCell ref="H13:I13"/>
    <mergeCell ref="H4:I4"/>
    <mergeCell ref="H5:I5"/>
    <mergeCell ref="H6:I6"/>
    <mergeCell ref="H7:I7"/>
    <mergeCell ref="H8:I8"/>
    <mergeCell ref="H9:I9"/>
    <mergeCell ref="B10:K10"/>
    <mergeCell ref="C11:E11"/>
    <mergeCell ref="F11:G11"/>
    <mergeCell ref="I11:K11"/>
    <mergeCell ref="B12:K12"/>
    <mergeCell ref="D4:E4"/>
    <mergeCell ref="D5:E5"/>
    <mergeCell ref="D6:E6"/>
    <mergeCell ref="D7:E7"/>
    <mergeCell ref="H14:I14"/>
    <mergeCell ref="H15:I15"/>
    <mergeCell ref="H16:I16"/>
    <mergeCell ref="B17:K17"/>
    <mergeCell ref="C18:E18"/>
    <mergeCell ref="F18:G18"/>
    <mergeCell ref="I18:K18"/>
    <mergeCell ref="D16:E16"/>
    <mergeCell ref="B19:K19"/>
    <mergeCell ref="H20:I20"/>
    <mergeCell ref="H21:I21"/>
    <mergeCell ref="H22:I22"/>
    <mergeCell ref="H23:I23"/>
    <mergeCell ref="D20:E20"/>
    <mergeCell ref="D21:E21"/>
    <mergeCell ref="H30:I30"/>
    <mergeCell ref="C32:E32"/>
    <mergeCell ref="F32:G32"/>
    <mergeCell ref="I32:K32"/>
    <mergeCell ref="D30:E30"/>
    <mergeCell ref="F34:G34"/>
    <mergeCell ref="I34:J34"/>
    <mergeCell ref="H35:K35"/>
    <mergeCell ref="H36:I36"/>
    <mergeCell ref="C35:D35"/>
    <mergeCell ref="C36:D36"/>
    <mergeCell ref="H38:I38"/>
    <mergeCell ref="J38:K38"/>
    <mergeCell ref="B40:K40"/>
    <mergeCell ref="B41:K41"/>
    <mergeCell ref="C42:E42"/>
    <mergeCell ref="F42:K43"/>
    <mergeCell ref="C43:E45"/>
    <mergeCell ref="J49:K49"/>
    <mergeCell ref="F44:I44"/>
    <mergeCell ref="J44:K44"/>
    <mergeCell ref="F45:I45"/>
    <mergeCell ref="J45:K45"/>
    <mergeCell ref="J46:K46"/>
    <mergeCell ref="J47:K47"/>
    <mergeCell ref="J48:K48"/>
    <mergeCell ref="C46:E47"/>
    <mergeCell ref="F46:I46"/>
    <mergeCell ref="F47:I47"/>
    <mergeCell ref="C48:E51"/>
    <mergeCell ref="F48:I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1"/>
  <sheetViews>
    <sheetView topLeftCell="A50" zoomScale="90" zoomScaleNormal="90" workbookViewId="0">
      <selection activeCell="B4" sqref="B4:K51"/>
    </sheetView>
  </sheetViews>
  <sheetFormatPr baseColWidth="10" defaultRowHeight="15" x14ac:dyDescent="0.25"/>
  <cols>
    <col min="2" max="2" width="44.140625" customWidth="1"/>
    <col min="3" max="3" width="12.140625" customWidth="1"/>
    <col min="5" max="5" width="16.28515625" customWidth="1"/>
    <col min="7" max="7" width="13.7109375" customWidth="1"/>
    <col min="11" max="11" width="16.42578125" customWidth="1"/>
  </cols>
  <sheetData>
    <row r="3" spans="2:15" ht="15.75" thickBot="1" x14ac:dyDescent="0.3"/>
    <row r="4" spans="2:15" ht="16.5" thickBot="1" x14ac:dyDescent="0.3">
      <c r="B4" s="93" t="s">
        <v>25</v>
      </c>
      <c r="C4" s="94" t="s">
        <v>129</v>
      </c>
      <c r="D4" s="213" t="s">
        <v>130</v>
      </c>
      <c r="E4" s="214"/>
      <c r="F4" s="94" t="s">
        <v>26</v>
      </c>
      <c r="G4" s="93" t="s">
        <v>27</v>
      </c>
      <c r="H4" s="213" t="s">
        <v>28</v>
      </c>
      <c r="I4" s="214"/>
      <c r="J4" s="94" t="s">
        <v>23</v>
      </c>
      <c r="K4" s="94" t="s">
        <v>29</v>
      </c>
      <c r="L4" s="15"/>
      <c r="M4" s="15"/>
      <c r="N4" s="15"/>
      <c r="O4" s="15"/>
    </row>
    <row r="5" spans="2:15" ht="32.25" thickBot="1" x14ac:dyDescent="0.3">
      <c r="B5" s="95" t="s">
        <v>68</v>
      </c>
      <c r="C5" s="16">
        <f>(D5+E5)/2</f>
        <v>13</v>
      </c>
      <c r="D5" s="205">
        <v>13</v>
      </c>
      <c r="E5" s="206">
        <v>13</v>
      </c>
      <c r="F5" s="17">
        <v>3</v>
      </c>
      <c r="G5" s="18">
        <f>C5*F5</f>
        <v>39</v>
      </c>
      <c r="H5" s="202">
        <v>11.461538461538462</v>
      </c>
      <c r="I5" s="203">
        <v>11.461538461538462</v>
      </c>
      <c r="J5" s="35"/>
      <c r="K5" s="16" t="str">
        <f>IF(C5&lt;10,"D",IF(C5&lt;12,"C",IF(C5&lt;14,"C+",IF(C5&lt;15,"B",IF(C5&lt;16,"B+",IF(C5&lt;18,"A",IF(C5&lt;20,"A+")))))))</f>
        <v>C+</v>
      </c>
      <c r="L5" s="15"/>
      <c r="M5" s="15"/>
      <c r="N5" s="19">
        <f>D5*F5</f>
        <v>39</v>
      </c>
      <c r="O5" s="19">
        <f>E5*F5</f>
        <v>39</v>
      </c>
    </row>
    <row r="6" spans="2:15" ht="32.25" thickBot="1" x14ac:dyDescent="0.3">
      <c r="B6" s="95" t="s">
        <v>115</v>
      </c>
      <c r="C6" s="16">
        <f t="shared" ref="C6:C9" si="0">(D6+E6)/2</f>
        <v>7</v>
      </c>
      <c r="D6" s="205">
        <v>7</v>
      </c>
      <c r="E6" s="206">
        <v>7</v>
      </c>
      <c r="F6" s="17">
        <v>1</v>
      </c>
      <c r="G6" s="18">
        <f t="shared" ref="G6:G9" si="1">C6*F6</f>
        <v>7</v>
      </c>
      <c r="H6" s="202">
        <v>7.1538461538461542</v>
      </c>
      <c r="I6" s="203">
        <v>7.1538461538461542</v>
      </c>
      <c r="J6" s="35"/>
      <c r="K6" s="16" t="str">
        <f t="shared" ref="K6:K9" si="2">IF(C6&lt;10,"D",IF(C6&lt;12,"C",IF(C6&lt;14,"C+",IF(C6&lt;15,"B",IF(C6&lt;16,"B+",IF(C6&lt;18,"A",IF(C6&lt;20,"A+")))))))</f>
        <v>D</v>
      </c>
      <c r="L6" s="15"/>
      <c r="M6" s="15"/>
      <c r="N6" s="19">
        <f t="shared" ref="N6:N9" si="3">D6*F6</f>
        <v>7</v>
      </c>
      <c r="O6" s="19">
        <f t="shared" ref="O6:O9" si="4">E6*F6</f>
        <v>7</v>
      </c>
    </row>
    <row r="7" spans="2:15" ht="32.25" thickBot="1" x14ac:dyDescent="0.3">
      <c r="B7" s="95" t="s">
        <v>116</v>
      </c>
      <c r="C7" s="16">
        <f t="shared" si="0"/>
        <v>14</v>
      </c>
      <c r="D7" s="205">
        <v>14</v>
      </c>
      <c r="E7" s="206">
        <v>14</v>
      </c>
      <c r="F7" s="17">
        <v>2</v>
      </c>
      <c r="G7" s="18">
        <f t="shared" si="1"/>
        <v>28</v>
      </c>
      <c r="H7" s="202">
        <v>10.423076923076923</v>
      </c>
      <c r="I7" s="203">
        <v>10.423076923076923</v>
      </c>
      <c r="J7" s="35"/>
      <c r="K7" s="16" t="str">
        <f t="shared" si="2"/>
        <v>B</v>
      </c>
      <c r="L7" s="15"/>
      <c r="M7" s="15"/>
      <c r="N7" s="19">
        <f t="shared" si="3"/>
        <v>28</v>
      </c>
      <c r="O7" s="19">
        <f t="shared" si="4"/>
        <v>28</v>
      </c>
    </row>
    <row r="8" spans="2:15" ht="32.25" thickBot="1" x14ac:dyDescent="0.3">
      <c r="B8" s="95" t="s">
        <v>117</v>
      </c>
      <c r="C8" s="16">
        <f t="shared" si="0"/>
        <v>9</v>
      </c>
      <c r="D8" s="205">
        <v>9</v>
      </c>
      <c r="E8" s="206">
        <v>9</v>
      </c>
      <c r="F8" s="17">
        <v>1</v>
      </c>
      <c r="G8" s="18">
        <f t="shared" si="1"/>
        <v>9</v>
      </c>
      <c r="H8" s="202">
        <v>9.2307692307692299</v>
      </c>
      <c r="I8" s="203">
        <v>9.2307692307692299</v>
      </c>
      <c r="J8" s="35"/>
      <c r="K8" s="16" t="str">
        <f t="shared" si="2"/>
        <v>D</v>
      </c>
      <c r="L8" s="15"/>
      <c r="M8" s="15"/>
      <c r="N8" s="19">
        <f t="shared" si="3"/>
        <v>9</v>
      </c>
      <c r="O8" s="19">
        <f t="shared" si="4"/>
        <v>9</v>
      </c>
    </row>
    <row r="9" spans="2:15" ht="32.25" thickBot="1" x14ac:dyDescent="0.3">
      <c r="B9" s="95" t="s">
        <v>64</v>
      </c>
      <c r="C9" s="16">
        <f t="shared" si="0"/>
        <v>10</v>
      </c>
      <c r="D9" s="205">
        <v>10</v>
      </c>
      <c r="E9" s="206">
        <v>10</v>
      </c>
      <c r="F9" s="17">
        <v>2</v>
      </c>
      <c r="G9" s="18">
        <f t="shared" si="1"/>
        <v>20</v>
      </c>
      <c r="H9" s="202">
        <v>9.9230769230769234</v>
      </c>
      <c r="I9" s="203">
        <v>9.9230769230769234</v>
      </c>
      <c r="J9" s="35"/>
      <c r="K9" s="16" t="str">
        <f t="shared" si="2"/>
        <v>C</v>
      </c>
      <c r="L9" s="15"/>
      <c r="M9" s="15"/>
      <c r="N9" s="19">
        <f t="shared" si="3"/>
        <v>20</v>
      </c>
      <c r="O9" s="19">
        <f t="shared" si="4"/>
        <v>20</v>
      </c>
    </row>
    <row r="10" spans="2:15" ht="16.5" thickBot="1" x14ac:dyDescent="0.3">
      <c r="B10" s="207" t="s">
        <v>30</v>
      </c>
      <c r="C10" s="208"/>
      <c r="D10" s="208"/>
      <c r="E10" s="208"/>
      <c r="F10" s="208"/>
      <c r="G10" s="208"/>
      <c r="H10" s="208"/>
      <c r="I10" s="208"/>
      <c r="J10" s="208"/>
      <c r="K10" s="209"/>
      <c r="L10" s="15"/>
      <c r="M10" s="15"/>
      <c r="N10" s="15"/>
      <c r="O10" s="15"/>
    </row>
    <row r="11" spans="2:15" ht="16.5" thickBot="1" x14ac:dyDescent="0.3">
      <c r="B11" s="20" t="s">
        <v>31</v>
      </c>
      <c r="C11" s="195">
        <f>(SUM(G5:G9)/SUM(F5:F9))</f>
        <v>11.444444444444445</v>
      </c>
      <c r="D11" s="195"/>
      <c r="E11" s="195"/>
      <c r="F11" s="196" t="s">
        <v>32</v>
      </c>
      <c r="G11" s="196"/>
      <c r="H11" s="98"/>
      <c r="I11" s="190"/>
      <c r="J11" s="190"/>
      <c r="K11" s="197"/>
      <c r="L11" s="15"/>
      <c r="M11" s="15"/>
      <c r="N11" s="15"/>
      <c r="O11" s="15"/>
    </row>
    <row r="12" spans="2:15" ht="16.5" thickBot="1" x14ac:dyDescent="0.3">
      <c r="B12" s="198"/>
      <c r="C12" s="199"/>
      <c r="D12" s="199"/>
      <c r="E12" s="199"/>
      <c r="F12" s="199"/>
      <c r="G12" s="199"/>
      <c r="H12" s="199"/>
      <c r="I12" s="199"/>
      <c r="J12" s="199"/>
      <c r="K12" s="201"/>
      <c r="L12" s="15"/>
      <c r="M12" s="15"/>
      <c r="N12" s="15"/>
      <c r="O12" s="15"/>
    </row>
    <row r="13" spans="2:15" ht="32.25" thickBot="1" x14ac:dyDescent="0.3">
      <c r="B13" s="95" t="s">
        <v>65</v>
      </c>
      <c r="C13" s="16">
        <f t="shared" ref="C13:C16" si="5">(D13+E13)/2</f>
        <v>12</v>
      </c>
      <c r="D13" s="205">
        <v>12</v>
      </c>
      <c r="E13" s="206">
        <v>12</v>
      </c>
      <c r="F13" s="17">
        <v>2</v>
      </c>
      <c r="G13" s="18">
        <f t="shared" ref="G13:G16" si="6">C13*F13</f>
        <v>24</v>
      </c>
      <c r="H13" s="202">
        <v>11.384615384615385</v>
      </c>
      <c r="I13" s="203">
        <v>11.384615384615385</v>
      </c>
      <c r="J13" s="35"/>
      <c r="K13" s="16" t="str">
        <f t="shared" ref="K13:K16" si="7">IF(C13&lt;10,"D",IF(C13&lt;12,"C",IF(C13&lt;14,"C+",IF(C13&lt;15,"B",IF(C13&lt;16,"B+",IF(C13&lt;18,"A",IF(C13&lt;20,"A+")))))))</f>
        <v>C+</v>
      </c>
      <c r="L13" s="15"/>
      <c r="M13" s="15"/>
      <c r="N13" s="19">
        <f t="shared" ref="N13:N16" si="8">D13*F13</f>
        <v>24</v>
      </c>
      <c r="O13" s="19">
        <f t="shared" ref="O13:O16" si="9">E13*F13</f>
        <v>24</v>
      </c>
    </row>
    <row r="14" spans="2:15" ht="32.25" thickBot="1" x14ac:dyDescent="0.3">
      <c r="B14" s="95" t="s">
        <v>118</v>
      </c>
      <c r="C14" s="16">
        <f t="shared" si="5"/>
        <v>11</v>
      </c>
      <c r="D14" s="205">
        <v>11</v>
      </c>
      <c r="E14" s="206">
        <v>11</v>
      </c>
      <c r="F14" s="17">
        <v>2</v>
      </c>
      <c r="G14" s="18">
        <f t="shared" si="6"/>
        <v>22</v>
      </c>
      <c r="H14" s="202">
        <v>10.692307692307692</v>
      </c>
      <c r="I14" s="203">
        <v>10.692307692307692</v>
      </c>
      <c r="J14" s="35"/>
      <c r="K14" s="16" t="str">
        <f t="shared" si="7"/>
        <v>C</v>
      </c>
      <c r="L14" s="15"/>
      <c r="M14" s="15"/>
      <c r="N14" s="19">
        <f t="shared" si="8"/>
        <v>22</v>
      </c>
      <c r="O14" s="19">
        <f t="shared" si="9"/>
        <v>22</v>
      </c>
    </row>
    <row r="15" spans="2:15" ht="32.25" thickBot="1" x14ac:dyDescent="0.3">
      <c r="B15" s="95" t="s">
        <v>119</v>
      </c>
      <c r="C15" s="16">
        <f t="shared" si="5"/>
        <v>13</v>
      </c>
      <c r="D15" s="205">
        <v>13</v>
      </c>
      <c r="E15" s="206">
        <v>13</v>
      </c>
      <c r="F15" s="17">
        <v>2</v>
      </c>
      <c r="G15" s="18">
        <f t="shared" si="6"/>
        <v>26</v>
      </c>
      <c r="H15" s="202">
        <v>11.692307692307692</v>
      </c>
      <c r="I15" s="203">
        <v>11.692307692307692</v>
      </c>
      <c r="J15" s="35"/>
      <c r="K15" s="16" t="str">
        <f t="shared" si="7"/>
        <v>C+</v>
      </c>
      <c r="L15" s="15"/>
      <c r="M15" s="15"/>
      <c r="N15" s="19">
        <f t="shared" si="8"/>
        <v>26</v>
      </c>
      <c r="O15" s="19">
        <f t="shared" si="9"/>
        <v>26</v>
      </c>
    </row>
    <row r="16" spans="2:15" ht="32.25" thickBot="1" x14ac:dyDescent="0.3">
      <c r="B16" s="95" t="s">
        <v>66</v>
      </c>
      <c r="C16" s="16">
        <f t="shared" si="5"/>
        <v>16</v>
      </c>
      <c r="D16" s="205">
        <v>16</v>
      </c>
      <c r="E16" s="206">
        <v>16</v>
      </c>
      <c r="F16" s="17">
        <v>1</v>
      </c>
      <c r="G16" s="18">
        <f t="shared" si="6"/>
        <v>16</v>
      </c>
      <c r="H16" s="202">
        <v>16</v>
      </c>
      <c r="I16" s="203"/>
      <c r="J16" s="35"/>
      <c r="K16" s="16" t="str">
        <f t="shared" si="7"/>
        <v>A</v>
      </c>
      <c r="L16" s="15"/>
      <c r="M16" s="15"/>
      <c r="N16" s="19">
        <f t="shared" si="8"/>
        <v>16</v>
      </c>
      <c r="O16" s="19">
        <f t="shared" si="9"/>
        <v>16</v>
      </c>
    </row>
    <row r="17" spans="2:15" ht="16.5" thickBot="1" x14ac:dyDescent="0.3">
      <c r="B17" s="207" t="s">
        <v>33</v>
      </c>
      <c r="C17" s="208"/>
      <c r="D17" s="208"/>
      <c r="E17" s="208"/>
      <c r="F17" s="208"/>
      <c r="G17" s="208"/>
      <c r="H17" s="208"/>
      <c r="I17" s="208"/>
      <c r="J17" s="208"/>
      <c r="K17" s="209"/>
      <c r="L17" s="15"/>
      <c r="M17" s="15"/>
      <c r="N17" s="15"/>
      <c r="O17" s="15"/>
    </row>
    <row r="18" spans="2:15" ht="16.5" thickBot="1" x14ac:dyDescent="0.3">
      <c r="B18" s="20" t="s">
        <v>34</v>
      </c>
      <c r="C18" s="195">
        <f>(SUM(G13:G16)/SUM(F13:F16))</f>
        <v>12.571428571428571</v>
      </c>
      <c r="D18" s="195"/>
      <c r="E18" s="195"/>
      <c r="F18" s="196" t="s">
        <v>32</v>
      </c>
      <c r="G18" s="196"/>
      <c r="H18" s="98"/>
      <c r="I18" s="190"/>
      <c r="J18" s="190"/>
      <c r="K18" s="197"/>
      <c r="L18" s="15"/>
      <c r="M18" s="15"/>
      <c r="N18" s="15"/>
      <c r="O18" s="15"/>
    </row>
    <row r="19" spans="2:15" ht="16.5" thickBot="1" x14ac:dyDescent="0.3">
      <c r="B19" s="210"/>
      <c r="C19" s="211"/>
      <c r="D19" s="211"/>
      <c r="E19" s="211"/>
      <c r="F19" s="211"/>
      <c r="G19" s="211"/>
      <c r="H19" s="211"/>
      <c r="I19" s="211"/>
      <c r="J19" s="211"/>
      <c r="K19" s="212"/>
      <c r="L19" s="15"/>
      <c r="M19" s="15"/>
      <c r="N19" s="15"/>
      <c r="O19" s="15"/>
    </row>
    <row r="20" spans="2:15" ht="32.25" thickBot="1" x14ac:dyDescent="0.3">
      <c r="B20" s="95" t="s">
        <v>69</v>
      </c>
      <c r="C20" s="16">
        <f t="shared" ref="C20:C23" si="10">(D20+E20)/2</f>
        <v>11</v>
      </c>
      <c r="D20" s="205">
        <v>11</v>
      </c>
      <c r="E20" s="206">
        <v>11</v>
      </c>
      <c r="F20" s="17">
        <v>2</v>
      </c>
      <c r="G20" s="18">
        <f t="shared" ref="G20:G23" si="11">C20*F20</f>
        <v>22</v>
      </c>
      <c r="H20" s="202">
        <v>8.2307692307692299</v>
      </c>
      <c r="I20" s="203">
        <v>8.2307692307692299</v>
      </c>
      <c r="J20" s="35"/>
      <c r="K20" s="16" t="str">
        <f t="shared" ref="K20:K23" si="12">IF(C20&lt;10,"D",IF(C20&lt;12,"C",IF(C20&lt;14,"C+",IF(C20&lt;15,"B",IF(C20&lt;16,"B+",IF(C20&lt;18,"A",IF(C20&lt;20,"A+")))))))</f>
        <v>C</v>
      </c>
      <c r="L20" s="15"/>
      <c r="M20" s="15"/>
      <c r="N20" s="19">
        <f t="shared" ref="N20:N23" si="13">D20*F20</f>
        <v>22</v>
      </c>
      <c r="O20" s="19">
        <f t="shared" ref="O20:O23" si="14">E20*F20</f>
        <v>22</v>
      </c>
    </row>
    <row r="21" spans="2:15" ht="32.25" thickBot="1" x14ac:dyDescent="0.3">
      <c r="B21" s="95" t="s">
        <v>70</v>
      </c>
      <c r="C21" s="16">
        <f t="shared" si="10"/>
        <v>4</v>
      </c>
      <c r="D21" s="205">
        <v>4</v>
      </c>
      <c r="E21" s="206">
        <v>4</v>
      </c>
      <c r="F21" s="17">
        <v>4</v>
      </c>
      <c r="G21" s="18">
        <f t="shared" si="11"/>
        <v>16</v>
      </c>
      <c r="H21" s="202">
        <v>4.2692307692307692</v>
      </c>
      <c r="I21" s="203">
        <v>4.2692307692307692</v>
      </c>
      <c r="J21" s="35"/>
      <c r="K21" s="16" t="str">
        <f t="shared" si="12"/>
        <v>D</v>
      </c>
      <c r="L21" s="15"/>
      <c r="M21" s="15"/>
      <c r="N21" s="19">
        <f t="shared" si="13"/>
        <v>16</v>
      </c>
      <c r="O21" s="19">
        <f t="shared" si="14"/>
        <v>16</v>
      </c>
    </row>
    <row r="22" spans="2:15" ht="32.25" thickBot="1" x14ac:dyDescent="0.3">
      <c r="B22" s="95" t="s">
        <v>120</v>
      </c>
      <c r="C22" s="16">
        <f t="shared" si="10"/>
        <v>7</v>
      </c>
      <c r="D22" s="205">
        <v>7</v>
      </c>
      <c r="E22" s="206">
        <v>7</v>
      </c>
      <c r="F22" s="17">
        <v>2</v>
      </c>
      <c r="G22" s="18">
        <f t="shared" si="11"/>
        <v>14</v>
      </c>
      <c r="H22" s="202">
        <v>5.6538461538461542</v>
      </c>
      <c r="I22" s="203">
        <v>5.6538461538461542</v>
      </c>
      <c r="J22" s="35"/>
      <c r="K22" s="16" t="str">
        <f t="shared" si="12"/>
        <v>D</v>
      </c>
      <c r="L22" s="15"/>
      <c r="M22" s="15"/>
      <c r="N22" s="19">
        <f t="shared" si="13"/>
        <v>14</v>
      </c>
      <c r="O22" s="19">
        <f t="shared" si="14"/>
        <v>14</v>
      </c>
    </row>
    <row r="23" spans="2:15" ht="32.25" thickBot="1" x14ac:dyDescent="0.3">
      <c r="B23" s="95" t="s">
        <v>71</v>
      </c>
      <c r="C23" s="16">
        <f t="shared" si="10"/>
        <v>12</v>
      </c>
      <c r="D23" s="205">
        <v>12</v>
      </c>
      <c r="E23" s="206">
        <v>12</v>
      </c>
      <c r="F23" s="17">
        <v>2</v>
      </c>
      <c r="G23" s="18">
        <f t="shared" si="11"/>
        <v>24</v>
      </c>
      <c r="H23" s="202">
        <v>9.7692307692307701</v>
      </c>
      <c r="I23" s="203">
        <v>9.7692307692307701</v>
      </c>
      <c r="J23" s="35"/>
      <c r="K23" s="16" t="str">
        <f t="shared" si="12"/>
        <v>C+</v>
      </c>
      <c r="L23" s="15"/>
      <c r="M23" s="15"/>
      <c r="N23" s="19">
        <f t="shared" si="13"/>
        <v>24</v>
      </c>
      <c r="O23" s="19">
        <f t="shared" si="14"/>
        <v>24</v>
      </c>
    </row>
    <row r="24" spans="2:15" ht="16.5" thickBot="1" x14ac:dyDescent="0.3">
      <c r="B24" s="207" t="s">
        <v>35</v>
      </c>
      <c r="C24" s="208"/>
      <c r="D24" s="208"/>
      <c r="E24" s="208"/>
      <c r="F24" s="208"/>
      <c r="G24" s="208"/>
      <c r="H24" s="208"/>
      <c r="I24" s="208"/>
      <c r="J24" s="208"/>
      <c r="K24" s="209"/>
      <c r="L24" s="15"/>
      <c r="M24" s="15"/>
      <c r="N24" s="15"/>
      <c r="O24" s="15"/>
    </row>
    <row r="25" spans="2:15" ht="16.5" thickBot="1" x14ac:dyDescent="0.3">
      <c r="B25" s="20" t="s">
        <v>31</v>
      </c>
      <c r="C25" s="195">
        <f>(SUM(G20:G23)/SUM(F20:F23))</f>
        <v>7.6</v>
      </c>
      <c r="D25" s="195"/>
      <c r="E25" s="195"/>
      <c r="F25" s="196" t="s">
        <v>32</v>
      </c>
      <c r="G25" s="196"/>
      <c r="H25" s="98"/>
      <c r="I25" s="190"/>
      <c r="J25" s="190"/>
      <c r="K25" s="197"/>
      <c r="L25" s="15"/>
      <c r="M25" s="15"/>
      <c r="N25" s="15"/>
      <c r="O25" s="15"/>
    </row>
    <row r="26" spans="2:15" ht="16.5" thickBot="1" x14ac:dyDescent="0.3">
      <c r="B26" s="198"/>
      <c r="C26" s="199"/>
      <c r="D26" s="199"/>
      <c r="E26" s="199"/>
      <c r="F26" s="199"/>
      <c r="G26" s="199"/>
      <c r="H26" s="200"/>
      <c r="I26" s="200"/>
      <c r="J26" s="200"/>
      <c r="K26" s="201"/>
      <c r="L26" s="15"/>
      <c r="M26" s="15"/>
      <c r="N26" s="15"/>
      <c r="O26" s="15"/>
    </row>
    <row r="27" spans="2:15" ht="32.25" thickBot="1" x14ac:dyDescent="0.3">
      <c r="B27" s="95" t="s">
        <v>67</v>
      </c>
      <c r="C27" s="16">
        <f t="shared" ref="C27:C30" si="15">(D27+E27)/2</f>
        <v>16</v>
      </c>
      <c r="D27" s="205">
        <v>16</v>
      </c>
      <c r="E27" s="206">
        <v>16</v>
      </c>
      <c r="F27" s="17">
        <v>1</v>
      </c>
      <c r="G27" s="18">
        <f t="shared" ref="G27:G30" si="16">C27*F27</f>
        <v>16</v>
      </c>
      <c r="H27" s="202">
        <v>16</v>
      </c>
      <c r="I27" s="203">
        <v>16</v>
      </c>
      <c r="J27" s="35"/>
      <c r="K27" s="16" t="str">
        <f t="shared" ref="K27:K30" si="17">IF(C27&lt;10,"D",IF(C27&lt;12,"C",IF(C27&lt;14,"C+",IF(C27&lt;15,"B",IF(C27&lt;16,"B+",IF(C27&lt;18,"A",IF(C27&lt;20,"A+")))))))</f>
        <v>A</v>
      </c>
      <c r="L27" s="15"/>
      <c r="M27" s="15"/>
      <c r="N27" s="19">
        <f t="shared" ref="N27:N30" si="18">D27*F27</f>
        <v>16</v>
      </c>
      <c r="O27" s="19">
        <f t="shared" ref="O27:O30" si="19">E27*F27</f>
        <v>16</v>
      </c>
    </row>
    <row r="28" spans="2:15" ht="32.25" thickBot="1" x14ac:dyDescent="0.3">
      <c r="B28" s="95" t="s">
        <v>122</v>
      </c>
      <c r="C28" s="16">
        <f t="shared" si="15"/>
        <v>15</v>
      </c>
      <c r="D28" s="205">
        <v>15</v>
      </c>
      <c r="E28" s="206">
        <v>15</v>
      </c>
      <c r="F28" s="17">
        <v>2</v>
      </c>
      <c r="G28" s="18">
        <f t="shared" si="16"/>
        <v>30</v>
      </c>
      <c r="H28" s="202">
        <v>15.846153846153847</v>
      </c>
      <c r="I28" s="203">
        <v>15.846153846153847</v>
      </c>
      <c r="J28" s="35"/>
      <c r="K28" s="16" t="str">
        <f t="shared" si="17"/>
        <v>B+</v>
      </c>
      <c r="L28" s="15"/>
      <c r="M28" s="15"/>
      <c r="N28" s="19">
        <f t="shared" si="18"/>
        <v>30</v>
      </c>
      <c r="O28" s="19">
        <f t="shared" si="19"/>
        <v>30</v>
      </c>
    </row>
    <row r="29" spans="2:15" ht="32.25" thickBot="1" x14ac:dyDescent="0.3">
      <c r="B29" s="95" t="s">
        <v>72</v>
      </c>
      <c r="C29" s="16">
        <f t="shared" si="15"/>
        <v>13</v>
      </c>
      <c r="D29" s="205">
        <v>13</v>
      </c>
      <c r="E29" s="206">
        <v>13</v>
      </c>
      <c r="F29" s="17">
        <v>1</v>
      </c>
      <c r="G29" s="18">
        <f t="shared" si="16"/>
        <v>13</v>
      </c>
      <c r="H29" s="202">
        <v>12.76923076923077</v>
      </c>
      <c r="I29" s="203">
        <v>12.76923076923077</v>
      </c>
      <c r="J29" s="35"/>
      <c r="K29" s="16" t="str">
        <f t="shared" si="17"/>
        <v>C+</v>
      </c>
      <c r="L29" s="15"/>
      <c r="M29" s="15"/>
      <c r="N29" s="19">
        <f t="shared" si="18"/>
        <v>13</v>
      </c>
      <c r="O29" s="19">
        <f t="shared" si="19"/>
        <v>13</v>
      </c>
    </row>
    <row r="30" spans="2:15" ht="32.25" thickBot="1" x14ac:dyDescent="0.3">
      <c r="B30" s="95" t="s">
        <v>121</v>
      </c>
      <c r="C30" s="16">
        <f>D30</f>
        <v>17</v>
      </c>
      <c r="D30" s="205">
        <v>17</v>
      </c>
      <c r="E30" s="206"/>
      <c r="F30" s="17">
        <v>1</v>
      </c>
      <c r="G30" s="18">
        <f t="shared" si="16"/>
        <v>17</v>
      </c>
      <c r="H30" s="202">
        <v>17</v>
      </c>
      <c r="I30" s="203"/>
      <c r="J30" s="35"/>
      <c r="K30" s="16" t="str">
        <f t="shared" si="17"/>
        <v>A</v>
      </c>
      <c r="L30" s="15"/>
      <c r="M30" s="15"/>
      <c r="N30" s="19">
        <f t="shared" si="18"/>
        <v>17</v>
      </c>
      <c r="O30" s="19">
        <f t="shared" si="19"/>
        <v>0</v>
      </c>
    </row>
    <row r="31" spans="2:15" ht="16.5" thickBot="1" x14ac:dyDescent="0.3">
      <c r="B31" s="95" t="s">
        <v>36</v>
      </c>
      <c r="C31" s="96"/>
      <c r="D31" s="96"/>
      <c r="E31" s="96"/>
      <c r="F31" s="96"/>
      <c r="G31" s="96"/>
      <c r="H31" s="96"/>
      <c r="I31" s="96"/>
      <c r="J31" s="96"/>
      <c r="K31" s="97"/>
      <c r="L31" s="15"/>
      <c r="M31" s="15"/>
      <c r="N31" s="15">
        <f>SUM(N5:N30)</f>
        <v>343</v>
      </c>
      <c r="O31" s="15">
        <f>SUM(O5:O30)</f>
        <v>326</v>
      </c>
    </row>
    <row r="32" spans="2:15" ht="16.5" thickBot="1" x14ac:dyDescent="0.3">
      <c r="B32" s="21" t="s">
        <v>34</v>
      </c>
      <c r="C32" s="195">
        <f>(SUM(G27:G30)/SUM(F27:F30))</f>
        <v>15.2</v>
      </c>
      <c r="D32" s="195"/>
      <c r="E32" s="195"/>
      <c r="F32" s="204" t="s">
        <v>32</v>
      </c>
      <c r="G32" s="204"/>
      <c r="H32" s="99"/>
      <c r="I32" s="163"/>
      <c r="J32" s="163"/>
      <c r="K32" s="164"/>
      <c r="L32" s="15"/>
      <c r="M32" s="15"/>
      <c r="N32" s="15">
        <v>31</v>
      </c>
      <c r="O32" s="15">
        <v>31</v>
      </c>
    </row>
    <row r="33" spans="2:15" ht="16.5" thickBot="1" x14ac:dyDescent="0.3">
      <c r="B33" s="178"/>
      <c r="C33" s="179"/>
      <c r="D33" s="179"/>
      <c r="E33" s="179"/>
      <c r="F33" s="179"/>
      <c r="G33" s="179"/>
      <c r="H33" s="179"/>
      <c r="I33" s="179"/>
      <c r="J33" s="179"/>
      <c r="K33" s="180"/>
      <c r="L33" s="15"/>
      <c r="M33" s="15"/>
      <c r="N33" s="15">
        <f>N31/N32</f>
        <v>11.064516129032258</v>
      </c>
      <c r="O33" s="15">
        <f>O31/O32</f>
        <v>10.516129032258064</v>
      </c>
    </row>
    <row r="34" spans="2:15" ht="48" thickBot="1" x14ac:dyDescent="0.3">
      <c r="B34" s="22" t="s">
        <v>37</v>
      </c>
      <c r="C34" s="23" t="s">
        <v>38</v>
      </c>
      <c r="D34" s="99">
        <v>10.220000000000001</v>
      </c>
      <c r="E34" s="24" t="s">
        <v>39</v>
      </c>
      <c r="F34" s="190">
        <v>11.9</v>
      </c>
      <c r="G34" s="190"/>
      <c r="H34" s="24" t="s">
        <v>40</v>
      </c>
      <c r="I34" s="190">
        <v>8.4499999999999993</v>
      </c>
      <c r="J34" s="190"/>
      <c r="K34" s="25"/>
      <c r="L34" s="26"/>
      <c r="M34" s="26"/>
      <c r="N34" s="26"/>
      <c r="O34" s="26"/>
    </row>
    <row r="35" spans="2:15" ht="15.75" x14ac:dyDescent="0.25">
      <c r="B35" s="74"/>
      <c r="C35" s="193" t="s">
        <v>130</v>
      </c>
      <c r="D35" s="193"/>
      <c r="E35" s="75"/>
      <c r="F35" s="75"/>
      <c r="G35" s="76"/>
      <c r="H35" s="145"/>
      <c r="I35" s="146"/>
      <c r="J35" s="146"/>
      <c r="K35" s="147"/>
      <c r="L35" s="15"/>
      <c r="M35" s="15"/>
      <c r="N35" s="15"/>
      <c r="O35" s="15"/>
    </row>
    <row r="36" spans="2:15" ht="15.75" x14ac:dyDescent="0.25">
      <c r="B36" s="77" t="s">
        <v>41</v>
      </c>
      <c r="C36" s="194">
        <f>N33</f>
        <v>11.064516129032258</v>
      </c>
      <c r="D36" s="194"/>
      <c r="E36" s="79" t="s">
        <v>131</v>
      </c>
      <c r="F36" s="80">
        <f>(G5+G6+G7+G8+G9+G13+G14+G15+G20+G16+G21+G22+G23+G27+G28+G29+G30)/31</f>
        <v>11.064516129032258</v>
      </c>
      <c r="G36" s="81" t="s">
        <v>42</v>
      </c>
      <c r="H36" s="191" t="s">
        <v>43</v>
      </c>
      <c r="I36" s="192"/>
      <c r="J36" s="27" t="s">
        <v>143</v>
      </c>
      <c r="K36" s="28" t="s">
        <v>113</v>
      </c>
      <c r="L36" s="15"/>
      <c r="M36" s="15"/>
      <c r="N36" s="15"/>
      <c r="O36" s="15"/>
    </row>
    <row r="37" spans="2:15" ht="12.75" customHeight="1" x14ac:dyDescent="0.25">
      <c r="B37" s="77"/>
      <c r="C37" s="78"/>
      <c r="D37" s="78"/>
      <c r="E37" s="79"/>
      <c r="F37" s="80"/>
      <c r="G37" s="81"/>
      <c r="H37" s="100"/>
      <c r="I37" s="101"/>
      <c r="J37" s="27"/>
      <c r="K37" s="28"/>
      <c r="L37" s="15"/>
      <c r="M37" s="15"/>
      <c r="N37" s="15"/>
      <c r="O37" s="15"/>
    </row>
    <row r="38" spans="2:15" ht="18" customHeight="1" x14ac:dyDescent="0.25">
      <c r="B38" s="102" t="s">
        <v>132</v>
      </c>
      <c r="C38" s="103" t="s">
        <v>133</v>
      </c>
      <c r="D38" s="103" t="s">
        <v>134</v>
      </c>
      <c r="E38" s="104" t="s">
        <v>135</v>
      </c>
      <c r="F38" s="105">
        <f>AVERAGE(B39:C39:D39)</f>
        <v>10.398172043010753</v>
      </c>
      <c r="G38" s="106" t="s">
        <v>42</v>
      </c>
      <c r="H38" s="171" t="s">
        <v>136</v>
      </c>
      <c r="I38" s="172"/>
      <c r="J38" s="173" t="s">
        <v>144</v>
      </c>
      <c r="K38" s="174"/>
      <c r="L38" s="15"/>
      <c r="M38" s="15"/>
      <c r="N38" s="15"/>
      <c r="O38" s="15"/>
    </row>
    <row r="39" spans="2:15" ht="25.5" customHeight="1" thickBot="1" x14ac:dyDescent="0.3">
      <c r="B39" s="126">
        <v>10</v>
      </c>
      <c r="C39" s="108">
        <v>10.130000000000001</v>
      </c>
      <c r="D39" s="108">
        <f>F36</f>
        <v>11.064516129032258</v>
      </c>
      <c r="E39" s="109"/>
      <c r="F39" s="110"/>
      <c r="G39" s="111"/>
      <c r="H39" s="101"/>
      <c r="I39" s="101"/>
      <c r="J39" s="27"/>
      <c r="K39" s="28"/>
      <c r="L39" s="15"/>
      <c r="M39" s="15"/>
      <c r="N39" s="15"/>
      <c r="O39" s="15"/>
    </row>
    <row r="40" spans="2:15" ht="16.5" thickBot="1" x14ac:dyDescent="0.3">
      <c r="B40" s="175" t="s">
        <v>44</v>
      </c>
      <c r="C40" s="176"/>
      <c r="D40" s="176"/>
      <c r="E40" s="176"/>
      <c r="F40" s="176"/>
      <c r="G40" s="176"/>
      <c r="H40" s="176"/>
      <c r="I40" s="176"/>
      <c r="J40" s="176"/>
      <c r="K40" s="177"/>
      <c r="L40" s="15"/>
      <c r="M40" s="15"/>
      <c r="N40" s="15"/>
      <c r="O40" s="15"/>
    </row>
    <row r="41" spans="2:15" ht="16.5" thickBot="1" x14ac:dyDescent="0.3">
      <c r="B41" s="162" t="s">
        <v>45</v>
      </c>
      <c r="C41" s="163"/>
      <c r="D41" s="163"/>
      <c r="E41" s="163"/>
      <c r="F41" s="163"/>
      <c r="G41" s="163"/>
      <c r="H41" s="163"/>
      <c r="I41" s="163"/>
      <c r="J41" s="163"/>
      <c r="K41" s="164"/>
      <c r="L41" s="15"/>
      <c r="M41" s="15"/>
      <c r="N41" s="15"/>
      <c r="O41" s="15"/>
    </row>
    <row r="42" spans="2:15" ht="16.5" thickBot="1" x14ac:dyDescent="0.3">
      <c r="B42" s="22" t="s">
        <v>46</v>
      </c>
      <c r="C42" s="178" t="s">
        <v>47</v>
      </c>
      <c r="D42" s="179"/>
      <c r="E42" s="180"/>
      <c r="F42" s="165" t="s">
        <v>48</v>
      </c>
      <c r="G42" s="166"/>
      <c r="H42" s="166"/>
      <c r="I42" s="166"/>
      <c r="J42" s="166"/>
      <c r="K42" s="167"/>
      <c r="L42" s="15"/>
      <c r="M42" s="15"/>
      <c r="N42" s="15"/>
      <c r="O42" s="15"/>
    </row>
    <row r="43" spans="2:15" ht="16.5" thickBot="1" x14ac:dyDescent="0.3">
      <c r="B43" s="29" t="s">
        <v>49</v>
      </c>
      <c r="C43" s="181" t="str">
        <f>IF(F38&lt;10,"CNA",IF(F38&lt;12,"CMA",IF(F38&lt;14,"CA",IF(F38&lt;16,"CBA",IF(F38&lt;20,"CTBA")))))</f>
        <v>CMA</v>
      </c>
      <c r="D43" s="182" t="e">
        <f>IF(#REF!&lt;10,"D",IF(#REF!&lt;12,"C",IF(#REF!&lt;14,"C+",IF(#REF!&lt;15,"B",IF(#REF!&lt;16,"B+",IF(#REF!&lt;18,"A",IF(#REF!&lt;20,"A+")))))))</f>
        <v>#REF!</v>
      </c>
      <c r="E43" s="183" t="e">
        <f>IF(#REF!&lt;10,"D",IF(#REF!&lt;12,"C",IF(#REF!&lt;14,"C+",IF(#REF!&lt;15,"B",IF(#REF!&lt;16,"B+",IF(#REF!&lt;18,"A",IF(#REF!&lt;20,"A+")))))))</f>
        <v>#REF!</v>
      </c>
      <c r="F43" s="168"/>
      <c r="G43" s="169"/>
      <c r="H43" s="169"/>
      <c r="I43" s="169"/>
      <c r="J43" s="169"/>
      <c r="K43" s="170"/>
      <c r="L43" s="15"/>
      <c r="M43" s="15"/>
      <c r="N43" s="15"/>
      <c r="O43" s="15"/>
    </row>
    <row r="44" spans="2:15" ht="16.5" thickBot="1" x14ac:dyDescent="0.3">
      <c r="B44" s="30" t="s">
        <v>50</v>
      </c>
      <c r="C44" s="184" t="e">
        <f>IF(#REF!&lt;10,"D",IF(#REF!&lt;12,"C",IF(#REF!&lt;14,"C+",IF(#REF!&lt;15,"B",IF(#REF!&lt;16,"B+",IF(#REF!&lt;18,"A",IF(#REF!&lt;20,"A+")))))))</f>
        <v>#REF!</v>
      </c>
      <c r="D44" s="185" t="e">
        <f>IF(#REF!&lt;10,"D",IF(#REF!&lt;12,"C",IF(#REF!&lt;14,"C+",IF(#REF!&lt;15,"B",IF(#REF!&lt;16,"B+",IF(#REF!&lt;18,"A",IF(#REF!&lt;20,"A+")))))))</f>
        <v>#REF!</v>
      </c>
      <c r="E44" s="186" t="e">
        <f>IF(#REF!&lt;10,"D",IF(#REF!&lt;12,"C",IF(#REF!&lt;14,"C+",IF(#REF!&lt;15,"B",IF(#REF!&lt;16,"B+",IF(#REF!&lt;18,"A",IF(#REF!&lt;20,"A+")))))))</f>
        <v>#REF!</v>
      </c>
      <c r="F44" s="162" t="s">
        <v>51</v>
      </c>
      <c r="G44" s="163"/>
      <c r="H44" s="163"/>
      <c r="I44" s="164"/>
      <c r="J44" s="165" t="s">
        <v>52</v>
      </c>
      <c r="K44" s="167"/>
      <c r="L44" s="15"/>
      <c r="M44" s="15"/>
      <c r="N44" s="15"/>
      <c r="O44" s="15"/>
    </row>
    <row r="45" spans="2:15" ht="16.5" thickBot="1" x14ac:dyDescent="0.3">
      <c r="B45" s="31" t="s">
        <v>53</v>
      </c>
      <c r="C45" s="187" t="e">
        <f>IF(#REF!&lt;10,"D",IF(#REF!&lt;12,"C",IF(#REF!&lt;14,"C+",IF(#REF!&lt;15,"B",IF(#REF!&lt;16,"B+",IF(#REF!&lt;18,"A",IF(#REF!&lt;20,"A+")))))))</f>
        <v>#REF!</v>
      </c>
      <c r="D45" s="188" t="e">
        <f>IF(#REF!&lt;10,"D",IF(#REF!&lt;12,"C",IF(#REF!&lt;14,"C+",IF(#REF!&lt;15,"B",IF(#REF!&lt;16,"B+",IF(#REF!&lt;18,"A",IF(#REF!&lt;20,"A+")))))))</f>
        <v>#REF!</v>
      </c>
      <c r="E45" s="189" t="e">
        <f>IF(#REF!&lt;10,"D",IF(#REF!&lt;12,"C",IF(#REF!&lt;14,"C+",IF(#REF!&lt;15,"B",IF(#REF!&lt;16,"B+",IF(#REF!&lt;18,"A",IF(#REF!&lt;20,"A+")))))))</f>
        <v>#REF!</v>
      </c>
      <c r="F45" s="162" t="s">
        <v>54</v>
      </c>
      <c r="G45" s="163"/>
      <c r="H45" s="163"/>
      <c r="I45" s="164"/>
      <c r="J45" s="160" t="s">
        <v>55</v>
      </c>
      <c r="K45" s="161"/>
      <c r="L45" s="15"/>
      <c r="M45" s="15"/>
      <c r="N45" s="15"/>
      <c r="O45" s="15"/>
    </row>
    <row r="46" spans="2:15" ht="16.5" thickBot="1" x14ac:dyDescent="0.3">
      <c r="B46" s="23" t="s">
        <v>56</v>
      </c>
      <c r="C46" s="165" t="s">
        <v>57</v>
      </c>
      <c r="D46" s="166"/>
      <c r="E46" s="167"/>
      <c r="F46" s="162" t="s">
        <v>58</v>
      </c>
      <c r="G46" s="163"/>
      <c r="H46" s="163"/>
      <c r="I46" s="164"/>
      <c r="J46" s="160"/>
      <c r="K46" s="161"/>
      <c r="L46" s="15"/>
      <c r="M46" s="15"/>
      <c r="N46" s="15"/>
      <c r="O46" s="15"/>
    </row>
    <row r="47" spans="2:15" ht="16.5" thickBot="1" x14ac:dyDescent="0.3">
      <c r="B47" s="23" t="s">
        <v>59</v>
      </c>
      <c r="C47" s="168"/>
      <c r="D47" s="169"/>
      <c r="E47" s="170"/>
      <c r="F47" s="162" t="s">
        <v>60</v>
      </c>
      <c r="G47" s="163"/>
      <c r="H47" s="163"/>
      <c r="I47" s="164"/>
      <c r="J47" s="154" t="s">
        <v>61</v>
      </c>
      <c r="K47" s="155"/>
      <c r="L47" s="15"/>
      <c r="M47" s="15"/>
      <c r="N47" s="15"/>
      <c r="O47" s="15"/>
    </row>
    <row r="48" spans="2:15" ht="31.5" x14ac:dyDescent="0.25">
      <c r="B48" s="22" t="s">
        <v>62</v>
      </c>
      <c r="C48" s="145"/>
      <c r="D48" s="146"/>
      <c r="E48" s="147"/>
      <c r="F48" s="145"/>
      <c r="G48" s="146"/>
      <c r="H48" s="146"/>
      <c r="I48" s="147"/>
      <c r="J48" s="154" t="s">
        <v>63</v>
      </c>
      <c r="K48" s="155"/>
      <c r="L48" s="15"/>
      <c r="M48" s="15"/>
      <c r="N48" s="15"/>
      <c r="O48" s="15"/>
    </row>
    <row r="49" spans="2:15" ht="15.75" x14ac:dyDescent="0.25">
      <c r="B49" s="32"/>
      <c r="C49" s="148"/>
      <c r="D49" s="149"/>
      <c r="E49" s="150"/>
      <c r="F49" s="148"/>
      <c r="G49" s="149"/>
      <c r="H49" s="149"/>
      <c r="I49" s="150"/>
      <c r="J49" s="156"/>
      <c r="K49" s="157"/>
      <c r="L49" s="15"/>
      <c r="M49" s="15"/>
      <c r="N49" s="15"/>
      <c r="O49" s="15"/>
    </row>
    <row r="50" spans="2:15" ht="15.75" x14ac:dyDescent="0.25">
      <c r="B50" s="32"/>
      <c r="C50" s="148"/>
      <c r="D50" s="149"/>
      <c r="E50" s="150"/>
      <c r="F50" s="148"/>
      <c r="G50" s="149"/>
      <c r="H50" s="149"/>
      <c r="I50" s="150"/>
      <c r="J50" s="156"/>
      <c r="K50" s="157"/>
      <c r="L50" s="15"/>
      <c r="M50" s="15"/>
      <c r="N50" s="15"/>
      <c r="O50" s="15"/>
    </row>
    <row r="51" spans="2:15" ht="16.5" thickBot="1" x14ac:dyDescent="0.3">
      <c r="B51" s="31"/>
      <c r="C51" s="151"/>
      <c r="D51" s="152"/>
      <c r="E51" s="153"/>
      <c r="F51" s="151"/>
      <c r="G51" s="152"/>
      <c r="H51" s="152"/>
      <c r="I51" s="153"/>
      <c r="J51" s="158"/>
      <c r="K51" s="159"/>
      <c r="L51" s="15"/>
      <c r="M51" s="15"/>
      <c r="N51" s="15"/>
      <c r="O51" s="15"/>
    </row>
  </sheetData>
  <mergeCells count="83">
    <mergeCell ref="J50:K50"/>
    <mergeCell ref="J51:K51"/>
    <mergeCell ref="D22:E22"/>
    <mergeCell ref="D23:E23"/>
    <mergeCell ref="D27:E27"/>
    <mergeCell ref="D28:E28"/>
    <mergeCell ref="D29:E29"/>
    <mergeCell ref="B24:K24"/>
    <mergeCell ref="B33:K33"/>
    <mergeCell ref="C25:E25"/>
    <mergeCell ref="F25:G25"/>
    <mergeCell ref="I25:K25"/>
    <mergeCell ref="B26:K26"/>
    <mergeCell ref="H27:I27"/>
    <mergeCell ref="H28:I28"/>
    <mergeCell ref="H29:I29"/>
    <mergeCell ref="D8:E8"/>
    <mergeCell ref="D9:E9"/>
    <mergeCell ref="D13:E13"/>
    <mergeCell ref="D14:E14"/>
    <mergeCell ref="D15:E15"/>
    <mergeCell ref="H13:I13"/>
    <mergeCell ref="H4:I4"/>
    <mergeCell ref="H5:I5"/>
    <mergeCell ref="H6:I6"/>
    <mergeCell ref="H7:I7"/>
    <mergeCell ref="H8:I8"/>
    <mergeCell ref="H9:I9"/>
    <mergeCell ref="B10:K10"/>
    <mergeCell ref="C11:E11"/>
    <mergeCell ref="F11:G11"/>
    <mergeCell ref="I11:K11"/>
    <mergeCell ref="B12:K12"/>
    <mergeCell ref="D4:E4"/>
    <mergeCell ref="D5:E5"/>
    <mergeCell ref="D6:E6"/>
    <mergeCell ref="D7:E7"/>
    <mergeCell ref="H14:I14"/>
    <mergeCell ref="H15:I15"/>
    <mergeCell ref="H16:I16"/>
    <mergeCell ref="B17:K17"/>
    <mergeCell ref="C18:E18"/>
    <mergeCell ref="F18:G18"/>
    <mergeCell ref="I18:K18"/>
    <mergeCell ref="D16:E16"/>
    <mergeCell ref="B19:K19"/>
    <mergeCell ref="H20:I20"/>
    <mergeCell ref="H21:I21"/>
    <mergeCell ref="H22:I22"/>
    <mergeCell ref="H23:I23"/>
    <mergeCell ref="D20:E20"/>
    <mergeCell ref="D21:E21"/>
    <mergeCell ref="H30:I30"/>
    <mergeCell ref="C32:E32"/>
    <mergeCell ref="F32:G32"/>
    <mergeCell ref="I32:K32"/>
    <mergeCell ref="D30:E30"/>
    <mergeCell ref="F34:G34"/>
    <mergeCell ref="I34:J34"/>
    <mergeCell ref="H35:K35"/>
    <mergeCell ref="H36:I36"/>
    <mergeCell ref="C35:D35"/>
    <mergeCell ref="C36:D36"/>
    <mergeCell ref="H38:I38"/>
    <mergeCell ref="J38:K38"/>
    <mergeCell ref="B40:K40"/>
    <mergeCell ref="B41:K41"/>
    <mergeCell ref="C42:E42"/>
    <mergeCell ref="F42:K43"/>
    <mergeCell ref="C43:E45"/>
    <mergeCell ref="J49:K49"/>
    <mergeCell ref="F44:I44"/>
    <mergeCell ref="J44:K44"/>
    <mergeCell ref="F45:I45"/>
    <mergeCell ref="J45:K45"/>
    <mergeCell ref="J46:K46"/>
    <mergeCell ref="J47:K47"/>
    <mergeCell ref="J48:K48"/>
    <mergeCell ref="C46:E47"/>
    <mergeCell ref="F46:I46"/>
    <mergeCell ref="F47:I47"/>
    <mergeCell ref="C48:E51"/>
    <mergeCell ref="F48:I5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1"/>
  <sheetViews>
    <sheetView workbookViewId="0">
      <selection sqref="A1:XFD1048576"/>
    </sheetView>
  </sheetViews>
  <sheetFormatPr baseColWidth="10" defaultRowHeight="15" x14ac:dyDescent="0.25"/>
  <cols>
    <col min="2" max="2" width="44.140625" customWidth="1"/>
    <col min="3" max="3" width="12.140625" customWidth="1"/>
    <col min="5" max="5" width="16.28515625" customWidth="1"/>
    <col min="7" max="7" width="13.7109375" customWidth="1"/>
    <col min="11" max="11" width="16.42578125" customWidth="1"/>
  </cols>
  <sheetData>
    <row r="3" spans="2:15" ht="15.75" thickBot="1" x14ac:dyDescent="0.3"/>
    <row r="4" spans="2:15" ht="16.5" thickBot="1" x14ac:dyDescent="0.3">
      <c r="B4" s="93" t="s">
        <v>25</v>
      </c>
      <c r="C4" s="94" t="s">
        <v>129</v>
      </c>
      <c r="D4" s="213" t="s">
        <v>130</v>
      </c>
      <c r="E4" s="214"/>
      <c r="F4" s="94" t="s">
        <v>26</v>
      </c>
      <c r="G4" s="93" t="s">
        <v>27</v>
      </c>
      <c r="H4" s="213" t="s">
        <v>28</v>
      </c>
      <c r="I4" s="214"/>
      <c r="J4" s="94" t="s">
        <v>23</v>
      </c>
      <c r="K4" s="94" t="s">
        <v>29</v>
      </c>
      <c r="L4" s="15"/>
      <c r="M4" s="15"/>
      <c r="N4" s="15"/>
      <c r="O4" s="15"/>
    </row>
    <row r="5" spans="2:15" ht="32.25" thickBot="1" x14ac:dyDescent="0.3">
      <c r="B5" s="95" t="s">
        <v>68</v>
      </c>
      <c r="C5" s="16">
        <f>(D5+E5)/2</f>
        <v>0</v>
      </c>
      <c r="D5" s="205"/>
      <c r="E5" s="206"/>
      <c r="F5" s="17">
        <v>3</v>
      </c>
      <c r="G5" s="18">
        <f>C5*F5</f>
        <v>0</v>
      </c>
      <c r="H5" s="202">
        <v>11.461538461538462</v>
      </c>
      <c r="I5" s="203">
        <v>11.461538461538462</v>
      </c>
      <c r="J5" s="35" t="s">
        <v>114</v>
      </c>
      <c r="K5" s="16" t="str">
        <f>IF(C5&lt;10,"D",IF(C5&lt;12,"C",IF(C5&lt;14,"C+",IF(C5&lt;15,"B",IF(C5&lt;16,"B+",IF(C5&lt;18,"A",IF(C5&lt;20,"A+")))))))</f>
        <v>D</v>
      </c>
      <c r="L5" s="15"/>
      <c r="M5" s="15"/>
      <c r="N5" s="19">
        <f>D5*F5</f>
        <v>0</v>
      </c>
      <c r="O5" s="19">
        <f>E5*F5</f>
        <v>0</v>
      </c>
    </row>
    <row r="6" spans="2:15" ht="32.25" thickBot="1" x14ac:dyDescent="0.3">
      <c r="B6" s="95" t="s">
        <v>115</v>
      </c>
      <c r="C6" s="16">
        <f t="shared" ref="C6:C9" si="0">(D6+E6)/2</f>
        <v>0</v>
      </c>
      <c r="D6" s="205"/>
      <c r="E6" s="206"/>
      <c r="F6" s="17">
        <v>1</v>
      </c>
      <c r="G6" s="18">
        <f t="shared" ref="G6:G9" si="1">C6*F6</f>
        <v>0</v>
      </c>
      <c r="H6" s="202">
        <v>7.1538461538461542</v>
      </c>
      <c r="I6" s="203">
        <v>7.1538461538461542</v>
      </c>
      <c r="J6" s="35" t="s">
        <v>114</v>
      </c>
      <c r="K6" s="16" t="str">
        <f t="shared" ref="K6:K9" si="2">IF(C6&lt;10,"D",IF(C6&lt;12,"C",IF(C6&lt;14,"C+",IF(C6&lt;15,"B",IF(C6&lt;16,"B+",IF(C6&lt;18,"A",IF(C6&lt;20,"A+")))))))</f>
        <v>D</v>
      </c>
      <c r="L6" s="15"/>
      <c r="M6" s="15"/>
      <c r="N6" s="19">
        <f t="shared" ref="N6:N9" si="3">D6*F6</f>
        <v>0</v>
      </c>
      <c r="O6" s="19">
        <f t="shared" ref="O6:O9" si="4">E6*F6</f>
        <v>0</v>
      </c>
    </row>
    <row r="7" spans="2:15" ht="32.25" thickBot="1" x14ac:dyDescent="0.3">
      <c r="B7" s="95" t="s">
        <v>116</v>
      </c>
      <c r="C7" s="16">
        <f t="shared" si="0"/>
        <v>0</v>
      </c>
      <c r="D7" s="205"/>
      <c r="E7" s="206"/>
      <c r="F7" s="17">
        <v>2</v>
      </c>
      <c r="G7" s="18">
        <f t="shared" si="1"/>
        <v>0</v>
      </c>
      <c r="H7" s="202">
        <v>10.423076923076923</v>
      </c>
      <c r="I7" s="203">
        <v>10.423076923076923</v>
      </c>
      <c r="J7" s="35" t="s">
        <v>114</v>
      </c>
      <c r="K7" s="16" t="str">
        <f t="shared" si="2"/>
        <v>D</v>
      </c>
      <c r="L7" s="15"/>
      <c r="M7" s="15"/>
      <c r="N7" s="19">
        <f t="shared" si="3"/>
        <v>0</v>
      </c>
      <c r="O7" s="19">
        <f t="shared" si="4"/>
        <v>0</v>
      </c>
    </row>
    <row r="8" spans="2:15" ht="32.25" thickBot="1" x14ac:dyDescent="0.3">
      <c r="B8" s="95" t="s">
        <v>117</v>
      </c>
      <c r="C8" s="16">
        <f t="shared" si="0"/>
        <v>0</v>
      </c>
      <c r="D8" s="205"/>
      <c r="E8" s="206"/>
      <c r="F8" s="17">
        <v>1</v>
      </c>
      <c r="G8" s="18">
        <f t="shared" si="1"/>
        <v>0</v>
      </c>
      <c r="H8" s="202">
        <v>9.2307692307692299</v>
      </c>
      <c r="I8" s="203">
        <v>9.2307692307692299</v>
      </c>
      <c r="J8" s="35" t="s">
        <v>114</v>
      </c>
      <c r="K8" s="16" t="str">
        <f t="shared" si="2"/>
        <v>D</v>
      </c>
      <c r="L8" s="15"/>
      <c r="M8" s="15"/>
      <c r="N8" s="19">
        <f t="shared" si="3"/>
        <v>0</v>
      </c>
      <c r="O8" s="19">
        <f t="shared" si="4"/>
        <v>0</v>
      </c>
    </row>
    <row r="9" spans="2:15" ht="32.25" thickBot="1" x14ac:dyDescent="0.3">
      <c r="B9" s="95" t="s">
        <v>64</v>
      </c>
      <c r="C9" s="16">
        <f t="shared" si="0"/>
        <v>0</v>
      </c>
      <c r="D9" s="205"/>
      <c r="E9" s="206"/>
      <c r="F9" s="17">
        <v>2</v>
      </c>
      <c r="G9" s="18">
        <f t="shared" si="1"/>
        <v>0</v>
      </c>
      <c r="H9" s="202">
        <v>9.9230769230769234</v>
      </c>
      <c r="I9" s="203">
        <v>9.9230769230769234</v>
      </c>
      <c r="J9" s="35" t="s">
        <v>114</v>
      </c>
      <c r="K9" s="16" t="str">
        <f t="shared" si="2"/>
        <v>D</v>
      </c>
      <c r="L9" s="15"/>
      <c r="M9" s="15"/>
      <c r="N9" s="19">
        <f t="shared" si="3"/>
        <v>0</v>
      </c>
      <c r="O9" s="19">
        <f t="shared" si="4"/>
        <v>0</v>
      </c>
    </row>
    <row r="10" spans="2:15" ht="16.5" thickBot="1" x14ac:dyDescent="0.3">
      <c r="B10" s="207" t="s">
        <v>30</v>
      </c>
      <c r="C10" s="208"/>
      <c r="D10" s="208"/>
      <c r="E10" s="208"/>
      <c r="F10" s="208"/>
      <c r="G10" s="208"/>
      <c r="H10" s="208"/>
      <c r="I10" s="208"/>
      <c r="J10" s="208"/>
      <c r="K10" s="209"/>
      <c r="L10" s="15"/>
      <c r="M10" s="15"/>
      <c r="N10" s="15"/>
      <c r="O10" s="15"/>
    </row>
    <row r="11" spans="2:15" ht="16.5" thickBot="1" x14ac:dyDescent="0.3">
      <c r="B11" s="20" t="s">
        <v>31</v>
      </c>
      <c r="C11" s="195">
        <f>(SUM(G5:G9)/SUM(F5:F9))</f>
        <v>0</v>
      </c>
      <c r="D11" s="195"/>
      <c r="E11" s="195"/>
      <c r="F11" s="196" t="s">
        <v>32</v>
      </c>
      <c r="G11" s="196"/>
      <c r="H11" s="98"/>
      <c r="I11" s="190"/>
      <c r="J11" s="190"/>
      <c r="K11" s="197"/>
      <c r="L11" s="15"/>
      <c r="M11" s="15"/>
      <c r="N11" s="15"/>
      <c r="O11" s="15"/>
    </row>
    <row r="12" spans="2:15" ht="16.5" thickBot="1" x14ac:dyDescent="0.3">
      <c r="B12" s="198"/>
      <c r="C12" s="199"/>
      <c r="D12" s="199"/>
      <c r="E12" s="199"/>
      <c r="F12" s="199"/>
      <c r="G12" s="199"/>
      <c r="H12" s="199"/>
      <c r="I12" s="199"/>
      <c r="J12" s="199"/>
      <c r="K12" s="201"/>
      <c r="L12" s="15"/>
      <c r="M12" s="15"/>
      <c r="N12" s="15"/>
      <c r="O12" s="15"/>
    </row>
    <row r="13" spans="2:15" ht="32.25" thickBot="1" x14ac:dyDescent="0.3">
      <c r="B13" s="95" t="s">
        <v>65</v>
      </c>
      <c r="C13" s="16">
        <f t="shared" ref="C13:C16" si="5">(D13+E13)/2</f>
        <v>0</v>
      </c>
      <c r="D13" s="205"/>
      <c r="E13" s="206"/>
      <c r="F13" s="17">
        <v>2</v>
      </c>
      <c r="G13" s="18">
        <f t="shared" ref="G13:G16" si="6">C13*F13</f>
        <v>0</v>
      </c>
      <c r="H13" s="202">
        <v>11.384615384615385</v>
      </c>
      <c r="I13" s="203">
        <v>11.384615384615385</v>
      </c>
      <c r="J13" s="35" t="s">
        <v>114</v>
      </c>
      <c r="K13" s="16" t="str">
        <f t="shared" ref="K13:K16" si="7">IF(C13&lt;10,"D",IF(C13&lt;12,"C",IF(C13&lt;14,"C+",IF(C13&lt;15,"B",IF(C13&lt;16,"B+",IF(C13&lt;18,"A",IF(C13&lt;20,"A+")))))))</f>
        <v>D</v>
      </c>
      <c r="L13" s="15"/>
      <c r="M13" s="15"/>
      <c r="N13" s="19">
        <f t="shared" ref="N13:N16" si="8">D13*F13</f>
        <v>0</v>
      </c>
      <c r="O13" s="19">
        <f t="shared" ref="O13:O16" si="9">E13*F13</f>
        <v>0</v>
      </c>
    </row>
    <row r="14" spans="2:15" ht="32.25" thickBot="1" x14ac:dyDescent="0.3">
      <c r="B14" s="95" t="s">
        <v>118</v>
      </c>
      <c r="C14" s="16">
        <f t="shared" si="5"/>
        <v>0</v>
      </c>
      <c r="D14" s="205"/>
      <c r="E14" s="206"/>
      <c r="F14" s="17">
        <v>2</v>
      </c>
      <c r="G14" s="18">
        <f t="shared" si="6"/>
        <v>0</v>
      </c>
      <c r="H14" s="202">
        <v>10.692307692307692</v>
      </c>
      <c r="I14" s="203">
        <v>10.692307692307692</v>
      </c>
      <c r="J14" s="35" t="s">
        <v>114</v>
      </c>
      <c r="K14" s="16" t="str">
        <f t="shared" si="7"/>
        <v>D</v>
      </c>
      <c r="L14" s="15"/>
      <c r="M14" s="15"/>
      <c r="N14" s="19">
        <f t="shared" si="8"/>
        <v>0</v>
      </c>
      <c r="O14" s="19">
        <f t="shared" si="9"/>
        <v>0</v>
      </c>
    </row>
    <row r="15" spans="2:15" ht="32.25" thickBot="1" x14ac:dyDescent="0.3">
      <c r="B15" s="95" t="s">
        <v>119</v>
      </c>
      <c r="C15" s="16">
        <f t="shared" si="5"/>
        <v>0</v>
      </c>
      <c r="D15" s="205"/>
      <c r="E15" s="206"/>
      <c r="F15" s="17">
        <v>2</v>
      </c>
      <c r="G15" s="18">
        <f t="shared" si="6"/>
        <v>0</v>
      </c>
      <c r="H15" s="202">
        <v>11.692307692307692</v>
      </c>
      <c r="I15" s="203">
        <v>11.692307692307692</v>
      </c>
      <c r="J15" s="35" t="s">
        <v>114</v>
      </c>
      <c r="K15" s="16" t="str">
        <f t="shared" si="7"/>
        <v>D</v>
      </c>
      <c r="L15" s="15"/>
      <c r="M15" s="15"/>
      <c r="N15" s="19">
        <f t="shared" si="8"/>
        <v>0</v>
      </c>
      <c r="O15" s="19">
        <f t="shared" si="9"/>
        <v>0</v>
      </c>
    </row>
    <row r="16" spans="2:15" ht="32.25" thickBot="1" x14ac:dyDescent="0.3">
      <c r="B16" s="95" t="s">
        <v>66</v>
      </c>
      <c r="C16" s="16">
        <f t="shared" si="5"/>
        <v>0</v>
      </c>
      <c r="D16" s="205"/>
      <c r="E16" s="206"/>
      <c r="F16" s="17">
        <v>1</v>
      </c>
      <c r="G16" s="18">
        <f t="shared" si="6"/>
        <v>0</v>
      </c>
      <c r="H16" s="202">
        <v>16</v>
      </c>
      <c r="I16" s="203"/>
      <c r="J16" s="35" t="s">
        <v>123</v>
      </c>
      <c r="K16" s="16" t="str">
        <f t="shared" si="7"/>
        <v>D</v>
      </c>
      <c r="L16" s="15"/>
      <c r="M16" s="15"/>
      <c r="N16" s="19">
        <f t="shared" si="8"/>
        <v>0</v>
      </c>
      <c r="O16" s="19">
        <f t="shared" si="9"/>
        <v>0</v>
      </c>
    </row>
    <row r="17" spans="2:15" ht="16.5" thickBot="1" x14ac:dyDescent="0.3">
      <c r="B17" s="207" t="s">
        <v>33</v>
      </c>
      <c r="C17" s="208"/>
      <c r="D17" s="208"/>
      <c r="E17" s="208"/>
      <c r="F17" s="208"/>
      <c r="G17" s="208"/>
      <c r="H17" s="208"/>
      <c r="I17" s="208"/>
      <c r="J17" s="208"/>
      <c r="K17" s="209"/>
      <c r="L17" s="15"/>
      <c r="M17" s="15"/>
      <c r="N17" s="15"/>
      <c r="O17" s="15"/>
    </row>
    <row r="18" spans="2:15" ht="16.5" thickBot="1" x14ac:dyDescent="0.3">
      <c r="B18" s="20" t="s">
        <v>34</v>
      </c>
      <c r="C18" s="195">
        <f>(SUM(G13:G16)/SUM(F13:F16))</f>
        <v>0</v>
      </c>
      <c r="D18" s="195"/>
      <c r="E18" s="195"/>
      <c r="F18" s="196" t="s">
        <v>32</v>
      </c>
      <c r="G18" s="196"/>
      <c r="H18" s="98"/>
      <c r="I18" s="190"/>
      <c r="J18" s="190"/>
      <c r="K18" s="197"/>
      <c r="L18" s="15"/>
      <c r="M18" s="15"/>
      <c r="N18" s="15"/>
      <c r="O18" s="15"/>
    </row>
    <row r="19" spans="2:15" ht="16.5" thickBot="1" x14ac:dyDescent="0.3">
      <c r="B19" s="210"/>
      <c r="C19" s="211"/>
      <c r="D19" s="211"/>
      <c r="E19" s="211"/>
      <c r="F19" s="211"/>
      <c r="G19" s="211"/>
      <c r="H19" s="211"/>
      <c r="I19" s="211"/>
      <c r="J19" s="211"/>
      <c r="K19" s="212"/>
      <c r="L19" s="15"/>
      <c r="M19" s="15"/>
      <c r="N19" s="15"/>
      <c r="O19" s="15"/>
    </row>
    <row r="20" spans="2:15" ht="32.25" thickBot="1" x14ac:dyDescent="0.3">
      <c r="B20" s="95" t="s">
        <v>69</v>
      </c>
      <c r="C20" s="16">
        <f t="shared" ref="C20:C23" si="10">(D20+E20)/2</f>
        <v>0</v>
      </c>
      <c r="D20" s="205"/>
      <c r="E20" s="206"/>
      <c r="F20" s="17">
        <v>2</v>
      </c>
      <c r="G20" s="18">
        <f t="shared" ref="G20:G23" si="11">C20*F20</f>
        <v>0</v>
      </c>
      <c r="H20" s="202">
        <v>8.2307692307692299</v>
      </c>
      <c r="I20" s="203">
        <v>8.2307692307692299</v>
      </c>
      <c r="J20" s="35" t="s">
        <v>114</v>
      </c>
      <c r="K20" s="16" t="str">
        <f t="shared" ref="K20:K23" si="12">IF(C20&lt;10,"D",IF(C20&lt;12,"C",IF(C20&lt;14,"C+",IF(C20&lt;15,"B",IF(C20&lt;16,"B+",IF(C20&lt;18,"A",IF(C20&lt;20,"A+")))))))</f>
        <v>D</v>
      </c>
      <c r="L20" s="15"/>
      <c r="M20" s="15"/>
      <c r="N20" s="19">
        <f t="shared" ref="N20:N23" si="13">D20*F20</f>
        <v>0</v>
      </c>
      <c r="O20" s="19">
        <f t="shared" ref="O20:O23" si="14">E20*F20</f>
        <v>0</v>
      </c>
    </row>
    <row r="21" spans="2:15" ht="32.25" thickBot="1" x14ac:dyDescent="0.3">
      <c r="B21" s="95" t="s">
        <v>70</v>
      </c>
      <c r="C21" s="16">
        <f t="shared" si="10"/>
        <v>0</v>
      </c>
      <c r="D21" s="205"/>
      <c r="E21" s="206"/>
      <c r="F21" s="17">
        <v>4</v>
      </c>
      <c r="G21" s="18">
        <f t="shared" si="11"/>
        <v>0</v>
      </c>
      <c r="H21" s="202">
        <v>4.2692307692307692</v>
      </c>
      <c r="I21" s="203">
        <v>4.2692307692307692</v>
      </c>
      <c r="J21" s="35" t="s">
        <v>114</v>
      </c>
      <c r="K21" s="16" t="str">
        <f t="shared" si="12"/>
        <v>D</v>
      </c>
      <c r="L21" s="15"/>
      <c r="M21" s="15"/>
      <c r="N21" s="19">
        <f t="shared" si="13"/>
        <v>0</v>
      </c>
      <c r="O21" s="19">
        <f t="shared" si="14"/>
        <v>0</v>
      </c>
    </row>
    <row r="22" spans="2:15" ht="32.25" thickBot="1" x14ac:dyDescent="0.3">
      <c r="B22" s="95" t="s">
        <v>120</v>
      </c>
      <c r="C22" s="16">
        <f t="shared" si="10"/>
        <v>0</v>
      </c>
      <c r="D22" s="205"/>
      <c r="E22" s="206"/>
      <c r="F22" s="17">
        <v>2</v>
      </c>
      <c r="G22" s="18">
        <f t="shared" si="11"/>
        <v>0</v>
      </c>
      <c r="H22" s="202">
        <v>5.6538461538461542</v>
      </c>
      <c r="I22" s="203">
        <v>5.6538461538461542</v>
      </c>
      <c r="J22" s="35" t="s">
        <v>114</v>
      </c>
      <c r="K22" s="16" t="str">
        <f t="shared" si="12"/>
        <v>D</v>
      </c>
      <c r="L22" s="15"/>
      <c r="M22" s="15"/>
      <c r="N22" s="19">
        <f t="shared" si="13"/>
        <v>0</v>
      </c>
      <c r="O22" s="19">
        <f t="shared" si="14"/>
        <v>0</v>
      </c>
    </row>
    <row r="23" spans="2:15" ht="32.25" thickBot="1" x14ac:dyDescent="0.3">
      <c r="B23" s="95" t="s">
        <v>71</v>
      </c>
      <c r="C23" s="16">
        <f t="shared" si="10"/>
        <v>0</v>
      </c>
      <c r="D23" s="205"/>
      <c r="E23" s="206"/>
      <c r="F23" s="17">
        <v>2</v>
      </c>
      <c r="G23" s="18">
        <f t="shared" si="11"/>
        <v>0</v>
      </c>
      <c r="H23" s="202">
        <v>9.7692307692307701</v>
      </c>
      <c r="I23" s="203">
        <v>9.7692307692307701</v>
      </c>
      <c r="J23" s="35" t="s">
        <v>114</v>
      </c>
      <c r="K23" s="16" t="str">
        <f t="shared" si="12"/>
        <v>D</v>
      </c>
      <c r="L23" s="15"/>
      <c r="M23" s="15"/>
      <c r="N23" s="19">
        <f t="shared" si="13"/>
        <v>0</v>
      </c>
      <c r="O23" s="19">
        <f t="shared" si="14"/>
        <v>0</v>
      </c>
    </row>
    <row r="24" spans="2:15" ht="16.5" thickBot="1" x14ac:dyDescent="0.3">
      <c r="B24" s="207" t="s">
        <v>35</v>
      </c>
      <c r="C24" s="208"/>
      <c r="D24" s="208"/>
      <c r="E24" s="208"/>
      <c r="F24" s="208"/>
      <c r="G24" s="208"/>
      <c r="H24" s="208"/>
      <c r="I24" s="208"/>
      <c r="J24" s="208"/>
      <c r="K24" s="209"/>
      <c r="L24" s="15"/>
      <c r="M24" s="15"/>
      <c r="N24" s="15"/>
      <c r="O24" s="15"/>
    </row>
    <row r="25" spans="2:15" ht="16.5" thickBot="1" x14ac:dyDescent="0.3">
      <c r="B25" s="20" t="s">
        <v>31</v>
      </c>
      <c r="C25" s="195">
        <f>(SUM(G20:G23)/SUM(F20:F23))</f>
        <v>0</v>
      </c>
      <c r="D25" s="195"/>
      <c r="E25" s="195"/>
      <c r="F25" s="196" t="s">
        <v>32</v>
      </c>
      <c r="G25" s="196"/>
      <c r="H25" s="98"/>
      <c r="I25" s="190"/>
      <c r="J25" s="190"/>
      <c r="K25" s="197"/>
      <c r="L25" s="15"/>
      <c r="M25" s="15"/>
      <c r="N25" s="15"/>
      <c r="O25" s="15"/>
    </row>
    <row r="26" spans="2:15" ht="16.5" thickBot="1" x14ac:dyDescent="0.3">
      <c r="B26" s="198"/>
      <c r="C26" s="199"/>
      <c r="D26" s="199"/>
      <c r="E26" s="199"/>
      <c r="F26" s="199"/>
      <c r="G26" s="199"/>
      <c r="H26" s="200"/>
      <c r="I26" s="200"/>
      <c r="J26" s="200"/>
      <c r="K26" s="201"/>
      <c r="L26" s="15"/>
      <c r="M26" s="15"/>
      <c r="N26" s="15"/>
      <c r="O26" s="15"/>
    </row>
    <row r="27" spans="2:15" ht="32.25" thickBot="1" x14ac:dyDescent="0.3">
      <c r="B27" s="95" t="s">
        <v>67</v>
      </c>
      <c r="C27" s="16">
        <f t="shared" ref="C27:C30" si="15">(D27+E27)/2</f>
        <v>0</v>
      </c>
      <c r="D27" s="205"/>
      <c r="E27" s="206"/>
      <c r="F27" s="17">
        <v>1</v>
      </c>
      <c r="G27" s="18">
        <f t="shared" ref="G27:G30" si="16">C27*F27</f>
        <v>0</v>
      </c>
      <c r="H27" s="202">
        <v>16</v>
      </c>
      <c r="I27" s="203">
        <v>16</v>
      </c>
      <c r="J27" s="35" t="s">
        <v>123</v>
      </c>
      <c r="K27" s="16" t="str">
        <f t="shared" ref="K27:K30" si="17">IF(C27&lt;10,"D",IF(C27&lt;12,"C",IF(C27&lt;14,"C+",IF(C27&lt;15,"B",IF(C27&lt;16,"B+",IF(C27&lt;18,"A",IF(C27&lt;20,"A+")))))))</f>
        <v>D</v>
      </c>
      <c r="L27" s="15"/>
      <c r="M27" s="15"/>
      <c r="N27" s="19">
        <f t="shared" ref="N27:N30" si="18">D27*F27</f>
        <v>0</v>
      </c>
      <c r="O27" s="19">
        <f t="shared" ref="O27:O30" si="19">E27*F27</f>
        <v>0</v>
      </c>
    </row>
    <row r="28" spans="2:15" ht="32.25" thickBot="1" x14ac:dyDescent="0.3">
      <c r="B28" s="95" t="s">
        <v>122</v>
      </c>
      <c r="C28" s="16">
        <f t="shared" si="15"/>
        <v>0</v>
      </c>
      <c r="D28" s="205"/>
      <c r="E28" s="206"/>
      <c r="F28" s="17">
        <v>2</v>
      </c>
      <c r="G28" s="18">
        <f t="shared" si="16"/>
        <v>0</v>
      </c>
      <c r="H28" s="202">
        <v>15.846153846153847</v>
      </c>
      <c r="I28" s="203">
        <v>15.846153846153847</v>
      </c>
      <c r="J28" s="35" t="s">
        <v>114</v>
      </c>
      <c r="K28" s="16" t="str">
        <f t="shared" si="17"/>
        <v>D</v>
      </c>
      <c r="L28" s="15"/>
      <c r="M28" s="15"/>
      <c r="N28" s="19">
        <f t="shared" si="18"/>
        <v>0</v>
      </c>
      <c r="O28" s="19">
        <f t="shared" si="19"/>
        <v>0</v>
      </c>
    </row>
    <row r="29" spans="2:15" ht="32.25" thickBot="1" x14ac:dyDescent="0.3">
      <c r="B29" s="95" t="s">
        <v>72</v>
      </c>
      <c r="C29" s="16">
        <f t="shared" si="15"/>
        <v>0</v>
      </c>
      <c r="D29" s="205"/>
      <c r="E29" s="206"/>
      <c r="F29" s="17">
        <v>1</v>
      </c>
      <c r="G29" s="18">
        <f t="shared" si="16"/>
        <v>0</v>
      </c>
      <c r="H29" s="202">
        <v>12.76923076923077</v>
      </c>
      <c r="I29" s="203">
        <v>12.76923076923077</v>
      </c>
      <c r="J29" s="35" t="s">
        <v>114</v>
      </c>
      <c r="K29" s="16" t="str">
        <f t="shared" si="17"/>
        <v>D</v>
      </c>
      <c r="L29" s="15"/>
      <c r="M29" s="15"/>
      <c r="N29" s="19">
        <f t="shared" si="18"/>
        <v>0</v>
      </c>
      <c r="O29" s="19">
        <f t="shared" si="19"/>
        <v>0</v>
      </c>
    </row>
    <row r="30" spans="2:15" ht="32.25" thickBot="1" x14ac:dyDescent="0.3">
      <c r="B30" s="95" t="s">
        <v>121</v>
      </c>
      <c r="C30" s="16">
        <f t="shared" si="15"/>
        <v>0</v>
      </c>
      <c r="D30" s="205"/>
      <c r="E30" s="206"/>
      <c r="F30" s="17">
        <v>1</v>
      </c>
      <c r="G30" s="18">
        <f t="shared" si="16"/>
        <v>0</v>
      </c>
      <c r="H30" s="202">
        <v>17</v>
      </c>
      <c r="I30" s="203"/>
      <c r="J30" s="35" t="s">
        <v>123</v>
      </c>
      <c r="K30" s="16" t="str">
        <f t="shared" si="17"/>
        <v>D</v>
      </c>
      <c r="L30" s="15"/>
      <c r="M30" s="15"/>
      <c r="N30" s="19">
        <f t="shared" si="18"/>
        <v>0</v>
      </c>
      <c r="O30" s="19">
        <f t="shared" si="19"/>
        <v>0</v>
      </c>
    </row>
    <row r="31" spans="2:15" ht="16.5" thickBot="1" x14ac:dyDescent="0.3">
      <c r="B31" s="95" t="s">
        <v>36</v>
      </c>
      <c r="C31" s="96"/>
      <c r="D31" s="96"/>
      <c r="E31" s="96"/>
      <c r="F31" s="96"/>
      <c r="G31" s="96"/>
      <c r="H31" s="96"/>
      <c r="I31" s="96"/>
      <c r="J31" s="96"/>
      <c r="K31" s="97"/>
      <c r="L31" s="15"/>
      <c r="M31" s="15"/>
      <c r="N31" s="15">
        <f>SUM(N5:N30)</f>
        <v>0</v>
      </c>
      <c r="O31" s="15">
        <f>SUM(O5:O30)</f>
        <v>0</v>
      </c>
    </row>
    <row r="32" spans="2:15" ht="16.5" thickBot="1" x14ac:dyDescent="0.3">
      <c r="B32" s="21" t="s">
        <v>34</v>
      </c>
      <c r="C32" s="195">
        <f>(SUM(G27:G30)/SUM(F27:F30))</f>
        <v>0</v>
      </c>
      <c r="D32" s="195"/>
      <c r="E32" s="195"/>
      <c r="F32" s="204" t="s">
        <v>32</v>
      </c>
      <c r="G32" s="204"/>
      <c r="H32" s="99"/>
      <c r="I32" s="163"/>
      <c r="J32" s="163"/>
      <c r="K32" s="164"/>
      <c r="L32" s="15"/>
      <c r="M32" s="15"/>
      <c r="N32" s="15">
        <v>31</v>
      </c>
      <c r="O32" s="15">
        <v>31</v>
      </c>
    </row>
    <row r="33" spans="2:15" ht="16.5" thickBot="1" x14ac:dyDescent="0.3">
      <c r="B33" s="178"/>
      <c r="C33" s="179"/>
      <c r="D33" s="179"/>
      <c r="E33" s="179"/>
      <c r="F33" s="179"/>
      <c r="G33" s="179"/>
      <c r="H33" s="179"/>
      <c r="I33" s="179"/>
      <c r="J33" s="179"/>
      <c r="K33" s="180"/>
      <c r="L33" s="15"/>
      <c r="M33" s="15"/>
      <c r="N33" s="15">
        <f>N31/N32</f>
        <v>0</v>
      </c>
      <c r="O33" s="15">
        <f>O31/O32</f>
        <v>0</v>
      </c>
    </row>
    <row r="34" spans="2:15" ht="48" thickBot="1" x14ac:dyDescent="0.3">
      <c r="B34" s="22" t="s">
        <v>37</v>
      </c>
      <c r="C34" s="23" t="s">
        <v>38</v>
      </c>
      <c r="D34" s="99">
        <v>10.220000000000001</v>
      </c>
      <c r="E34" s="24" t="s">
        <v>39</v>
      </c>
      <c r="F34" s="190">
        <v>11.9</v>
      </c>
      <c r="G34" s="190"/>
      <c r="H34" s="24" t="s">
        <v>40</v>
      </c>
      <c r="I34" s="190">
        <v>8.4499999999999993</v>
      </c>
      <c r="J34" s="190"/>
      <c r="K34" s="25"/>
      <c r="L34" s="26"/>
      <c r="M34" s="26"/>
      <c r="N34" s="26"/>
      <c r="O34" s="26"/>
    </row>
    <row r="35" spans="2:15" ht="15.75" x14ac:dyDescent="0.25">
      <c r="B35" s="74"/>
      <c r="C35" s="193" t="s">
        <v>130</v>
      </c>
      <c r="D35" s="193"/>
      <c r="E35" s="75"/>
      <c r="F35" s="75"/>
      <c r="G35" s="76"/>
      <c r="H35" s="145"/>
      <c r="I35" s="146"/>
      <c r="J35" s="146"/>
      <c r="K35" s="147"/>
      <c r="L35" s="15"/>
      <c r="M35" s="15"/>
      <c r="N35" s="15"/>
      <c r="O35" s="15"/>
    </row>
    <row r="36" spans="2:15" ht="15.75" x14ac:dyDescent="0.25">
      <c r="B36" s="77" t="s">
        <v>41</v>
      </c>
      <c r="C36" s="194">
        <f>N33</f>
        <v>0</v>
      </c>
      <c r="D36" s="194"/>
      <c r="E36" s="79" t="s">
        <v>131</v>
      </c>
      <c r="F36" s="80">
        <f>(G5+G6+G7+G8+G9+G13+G14+G15+G20+G16+G21+G22+G23+G27+G28+G29+G30)/31</f>
        <v>0</v>
      </c>
      <c r="G36" s="81" t="s">
        <v>42</v>
      </c>
      <c r="H36" s="191" t="s">
        <v>43</v>
      </c>
      <c r="I36" s="192"/>
      <c r="J36" s="27" t="s">
        <v>114</v>
      </c>
      <c r="K36" s="28" t="s">
        <v>113</v>
      </c>
      <c r="L36" s="15"/>
      <c r="M36" s="15"/>
      <c r="N36" s="15"/>
      <c r="O36" s="15"/>
    </row>
    <row r="37" spans="2:15" ht="12.75" customHeight="1" x14ac:dyDescent="0.25">
      <c r="B37" s="77"/>
      <c r="C37" s="78"/>
      <c r="D37" s="78"/>
      <c r="E37" s="79"/>
      <c r="F37" s="80"/>
      <c r="G37" s="81"/>
      <c r="H37" s="100"/>
      <c r="I37" s="101"/>
      <c r="J37" s="27"/>
      <c r="K37" s="28"/>
      <c r="L37" s="15"/>
      <c r="M37" s="15"/>
      <c r="N37" s="15"/>
      <c r="O37" s="15"/>
    </row>
    <row r="38" spans="2:15" ht="18" customHeight="1" x14ac:dyDescent="0.25">
      <c r="B38" s="102" t="s">
        <v>132</v>
      </c>
      <c r="C38" s="103" t="s">
        <v>133</v>
      </c>
      <c r="D38" s="103" t="s">
        <v>134</v>
      </c>
      <c r="E38" s="104" t="s">
        <v>135</v>
      </c>
      <c r="F38" s="105">
        <f>AVERAGE(B39:C39:D39)</f>
        <v>0</v>
      </c>
      <c r="G38" s="106" t="s">
        <v>42</v>
      </c>
      <c r="H38" s="171" t="s">
        <v>136</v>
      </c>
      <c r="I38" s="172"/>
      <c r="J38" s="173" t="s">
        <v>137</v>
      </c>
      <c r="K38" s="174"/>
      <c r="L38" s="15"/>
      <c r="M38" s="15"/>
      <c r="N38" s="15"/>
      <c r="O38" s="15"/>
    </row>
    <row r="39" spans="2:15" ht="18" customHeight="1" thickBot="1" x14ac:dyDescent="0.3">
      <c r="B39" s="107"/>
      <c r="C39" s="108"/>
      <c r="D39" s="108">
        <f>F36</f>
        <v>0</v>
      </c>
      <c r="E39" s="109"/>
      <c r="F39" s="110"/>
      <c r="G39" s="111"/>
      <c r="H39" s="101"/>
      <c r="I39" s="101"/>
      <c r="J39" s="27"/>
      <c r="K39" s="28"/>
      <c r="L39" s="15"/>
      <c r="M39" s="15"/>
      <c r="N39" s="15"/>
      <c r="O39" s="15"/>
    </row>
    <row r="40" spans="2:15" ht="16.5" thickBot="1" x14ac:dyDescent="0.3">
      <c r="B40" s="175" t="s">
        <v>44</v>
      </c>
      <c r="C40" s="176"/>
      <c r="D40" s="176"/>
      <c r="E40" s="176"/>
      <c r="F40" s="176"/>
      <c r="G40" s="176"/>
      <c r="H40" s="176"/>
      <c r="I40" s="176"/>
      <c r="J40" s="176"/>
      <c r="K40" s="177"/>
      <c r="L40" s="15"/>
      <c r="M40" s="15"/>
      <c r="N40" s="15"/>
      <c r="O40" s="15"/>
    </row>
    <row r="41" spans="2:15" ht="16.5" thickBot="1" x14ac:dyDescent="0.3">
      <c r="B41" s="162" t="s">
        <v>45</v>
      </c>
      <c r="C41" s="163"/>
      <c r="D41" s="163"/>
      <c r="E41" s="163"/>
      <c r="F41" s="163"/>
      <c r="G41" s="163"/>
      <c r="H41" s="163"/>
      <c r="I41" s="163"/>
      <c r="J41" s="163"/>
      <c r="K41" s="164"/>
      <c r="L41" s="15"/>
      <c r="M41" s="15"/>
      <c r="N41" s="15"/>
      <c r="O41" s="15"/>
    </row>
    <row r="42" spans="2:15" ht="16.5" thickBot="1" x14ac:dyDescent="0.3">
      <c r="B42" s="22" t="s">
        <v>46</v>
      </c>
      <c r="C42" s="178" t="s">
        <v>47</v>
      </c>
      <c r="D42" s="179"/>
      <c r="E42" s="180"/>
      <c r="F42" s="165" t="s">
        <v>48</v>
      </c>
      <c r="G42" s="166"/>
      <c r="H42" s="166"/>
      <c r="I42" s="166"/>
      <c r="J42" s="166"/>
      <c r="K42" s="167"/>
      <c r="L42" s="15"/>
      <c r="M42" s="15"/>
      <c r="N42" s="15"/>
      <c r="O42" s="15"/>
    </row>
    <row r="43" spans="2:15" ht="16.5" thickBot="1" x14ac:dyDescent="0.3">
      <c r="B43" s="29" t="s">
        <v>49</v>
      </c>
      <c r="C43" s="181" t="str">
        <f>IF(F38&lt;10,"CNA",IF(F38&lt;12,"CMA",IF(F38&lt;14,"CA",IF(F38&lt;16,"CBA",IF(F38&lt;20,"CTBA")))))</f>
        <v>CNA</v>
      </c>
      <c r="D43" s="182" t="e">
        <f>IF(#REF!&lt;10,"D",IF(#REF!&lt;12,"C",IF(#REF!&lt;14,"C+",IF(#REF!&lt;15,"B",IF(#REF!&lt;16,"B+",IF(#REF!&lt;18,"A",IF(#REF!&lt;20,"A+")))))))</f>
        <v>#REF!</v>
      </c>
      <c r="E43" s="183" t="e">
        <f>IF(#REF!&lt;10,"D",IF(#REF!&lt;12,"C",IF(#REF!&lt;14,"C+",IF(#REF!&lt;15,"B",IF(#REF!&lt;16,"B+",IF(#REF!&lt;18,"A",IF(#REF!&lt;20,"A+")))))))</f>
        <v>#REF!</v>
      </c>
      <c r="F43" s="168"/>
      <c r="G43" s="169"/>
      <c r="H43" s="169"/>
      <c r="I43" s="169"/>
      <c r="J43" s="169"/>
      <c r="K43" s="170"/>
      <c r="L43" s="15"/>
      <c r="M43" s="15"/>
      <c r="N43" s="15"/>
      <c r="O43" s="15"/>
    </row>
    <row r="44" spans="2:15" ht="16.5" thickBot="1" x14ac:dyDescent="0.3">
      <c r="B44" s="30" t="s">
        <v>50</v>
      </c>
      <c r="C44" s="184" t="e">
        <f>IF(#REF!&lt;10,"D",IF(#REF!&lt;12,"C",IF(#REF!&lt;14,"C+",IF(#REF!&lt;15,"B",IF(#REF!&lt;16,"B+",IF(#REF!&lt;18,"A",IF(#REF!&lt;20,"A+")))))))</f>
        <v>#REF!</v>
      </c>
      <c r="D44" s="185" t="e">
        <f>IF(#REF!&lt;10,"D",IF(#REF!&lt;12,"C",IF(#REF!&lt;14,"C+",IF(#REF!&lt;15,"B",IF(#REF!&lt;16,"B+",IF(#REF!&lt;18,"A",IF(#REF!&lt;20,"A+")))))))</f>
        <v>#REF!</v>
      </c>
      <c r="E44" s="186" t="e">
        <f>IF(#REF!&lt;10,"D",IF(#REF!&lt;12,"C",IF(#REF!&lt;14,"C+",IF(#REF!&lt;15,"B",IF(#REF!&lt;16,"B+",IF(#REF!&lt;18,"A",IF(#REF!&lt;20,"A+")))))))</f>
        <v>#REF!</v>
      </c>
      <c r="F44" s="162" t="s">
        <v>51</v>
      </c>
      <c r="G44" s="163"/>
      <c r="H44" s="163"/>
      <c r="I44" s="164"/>
      <c r="J44" s="165" t="s">
        <v>52</v>
      </c>
      <c r="K44" s="167"/>
      <c r="L44" s="15"/>
      <c r="M44" s="15"/>
      <c r="N44" s="15"/>
      <c r="O44" s="15"/>
    </row>
    <row r="45" spans="2:15" ht="16.5" thickBot="1" x14ac:dyDescent="0.3">
      <c r="B45" s="31" t="s">
        <v>53</v>
      </c>
      <c r="C45" s="187" t="e">
        <f>IF(#REF!&lt;10,"D",IF(#REF!&lt;12,"C",IF(#REF!&lt;14,"C+",IF(#REF!&lt;15,"B",IF(#REF!&lt;16,"B+",IF(#REF!&lt;18,"A",IF(#REF!&lt;20,"A+")))))))</f>
        <v>#REF!</v>
      </c>
      <c r="D45" s="188" t="e">
        <f>IF(#REF!&lt;10,"D",IF(#REF!&lt;12,"C",IF(#REF!&lt;14,"C+",IF(#REF!&lt;15,"B",IF(#REF!&lt;16,"B+",IF(#REF!&lt;18,"A",IF(#REF!&lt;20,"A+")))))))</f>
        <v>#REF!</v>
      </c>
      <c r="E45" s="189" t="e">
        <f>IF(#REF!&lt;10,"D",IF(#REF!&lt;12,"C",IF(#REF!&lt;14,"C+",IF(#REF!&lt;15,"B",IF(#REF!&lt;16,"B+",IF(#REF!&lt;18,"A",IF(#REF!&lt;20,"A+")))))))</f>
        <v>#REF!</v>
      </c>
      <c r="F45" s="162" t="s">
        <v>54</v>
      </c>
      <c r="G45" s="163"/>
      <c r="H45" s="163"/>
      <c r="I45" s="164"/>
      <c r="J45" s="160" t="s">
        <v>55</v>
      </c>
      <c r="K45" s="161"/>
      <c r="L45" s="15"/>
      <c r="M45" s="15"/>
      <c r="N45" s="15"/>
      <c r="O45" s="15"/>
    </row>
    <row r="46" spans="2:15" ht="16.5" thickBot="1" x14ac:dyDescent="0.3">
      <c r="B46" s="23" t="s">
        <v>56</v>
      </c>
      <c r="C46" s="165" t="s">
        <v>57</v>
      </c>
      <c r="D46" s="166"/>
      <c r="E46" s="167"/>
      <c r="F46" s="162" t="s">
        <v>58</v>
      </c>
      <c r="G46" s="163"/>
      <c r="H46" s="163"/>
      <c r="I46" s="164"/>
      <c r="J46" s="160"/>
      <c r="K46" s="161"/>
      <c r="L46" s="15"/>
      <c r="M46" s="15"/>
      <c r="N46" s="15"/>
      <c r="O46" s="15"/>
    </row>
    <row r="47" spans="2:15" ht="16.5" thickBot="1" x14ac:dyDescent="0.3">
      <c r="B47" s="23" t="s">
        <v>59</v>
      </c>
      <c r="C47" s="168"/>
      <c r="D47" s="169"/>
      <c r="E47" s="170"/>
      <c r="F47" s="162" t="s">
        <v>60</v>
      </c>
      <c r="G47" s="163"/>
      <c r="H47" s="163"/>
      <c r="I47" s="164"/>
      <c r="J47" s="154" t="s">
        <v>61</v>
      </c>
      <c r="K47" s="155"/>
      <c r="L47" s="15"/>
      <c r="M47" s="15"/>
      <c r="N47" s="15"/>
      <c r="O47" s="15"/>
    </row>
    <row r="48" spans="2:15" ht="31.5" x14ac:dyDescent="0.25">
      <c r="B48" s="22" t="s">
        <v>62</v>
      </c>
      <c r="C48" s="145"/>
      <c r="D48" s="146"/>
      <c r="E48" s="147"/>
      <c r="F48" s="145"/>
      <c r="G48" s="146"/>
      <c r="H48" s="146"/>
      <c r="I48" s="147"/>
      <c r="J48" s="154" t="s">
        <v>63</v>
      </c>
      <c r="K48" s="155"/>
      <c r="L48" s="15"/>
      <c r="M48" s="15"/>
      <c r="N48" s="15"/>
      <c r="O48" s="15"/>
    </row>
    <row r="49" spans="2:15" ht="15.75" x14ac:dyDescent="0.25">
      <c r="B49" s="32"/>
      <c r="C49" s="148"/>
      <c r="D49" s="149"/>
      <c r="E49" s="150"/>
      <c r="F49" s="148"/>
      <c r="G49" s="149"/>
      <c r="H49" s="149"/>
      <c r="I49" s="150"/>
      <c r="J49" s="156"/>
      <c r="K49" s="157"/>
      <c r="L49" s="15"/>
      <c r="M49" s="15"/>
      <c r="N49" s="15"/>
      <c r="O49" s="15"/>
    </row>
    <row r="50" spans="2:15" ht="15.75" x14ac:dyDescent="0.25">
      <c r="B50" s="32"/>
      <c r="C50" s="148"/>
      <c r="D50" s="149"/>
      <c r="E50" s="150"/>
      <c r="F50" s="148"/>
      <c r="G50" s="149"/>
      <c r="H50" s="149"/>
      <c r="I50" s="150"/>
      <c r="J50" s="156"/>
      <c r="K50" s="157"/>
      <c r="L50" s="15"/>
      <c r="M50" s="15"/>
      <c r="N50" s="15"/>
      <c r="O50" s="15"/>
    </row>
    <row r="51" spans="2:15" ht="16.5" thickBot="1" x14ac:dyDescent="0.3">
      <c r="B51" s="31"/>
      <c r="C51" s="151"/>
      <c r="D51" s="152"/>
      <c r="E51" s="153"/>
      <c r="F51" s="151"/>
      <c r="G51" s="152"/>
      <c r="H51" s="152"/>
      <c r="I51" s="153"/>
      <c r="J51" s="158"/>
      <c r="K51" s="159"/>
      <c r="L51" s="15"/>
      <c r="M51" s="15"/>
      <c r="N51" s="15"/>
      <c r="O51" s="15"/>
    </row>
  </sheetData>
  <mergeCells count="83">
    <mergeCell ref="J50:K50"/>
    <mergeCell ref="J51:K51"/>
    <mergeCell ref="D22:E22"/>
    <mergeCell ref="D23:E23"/>
    <mergeCell ref="D27:E27"/>
    <mergeCell ref="D28:E28"/>
    <mergeCell ref="D29:E29"/>
    <mergeCell ref="B24:K24"/>
    <mergeCell ref="B33:K33"/>
    <mergeCell ref="C25:E25"/>
    <mergeCell ref="F25:G25"/>
    <mergeCell ref="I25:K25"/>
    <mergeCell ref="B26:K26"/>
    <mergeCell ref="H27:I27"/>
    <mergeCell ref="H28:I28"/>
    <mergeCell ref="H29:I29"/>
    <mergeCell ref="D8:E8"/>
    <mergeCell ref="D9:E9"/>
    <mergeCell ref="D13:E13"/>
    <mergeCell ref="D14:E14"/>
    <mergeCell ref="D15:E15"/>
    <mergeCell ref="H13:I13"/>
    <mergeCell ref="H4:I4"/>
    <mergeCell ref="H5:I5"/>
    <mergeCell ref="H6:I6"/>
    <mergeCell ref="H7:I7"/>
    <mergeCell ref="H8:I8"/>
    <mergeCell ref="H9:I9"/>
    <mergeCell ref="B10:K10"/>
    <mergeCell ref="C11:E11"/>
    <mergeCell ref="F11:G11"/>
    <mergeCell ref="I11:K11"/>
    <mergeCell ref="B12:K12"/>
    <mergeCell ref="D4:E4"/>
    <mergeCell ref="D5:E5"/>
    <mergeCell ref="D6:E6"/>
    <mergeCell ref="D7:E7"/>
    <mergeCell ref="H14:I14"/>
    <mergeCell ref="H15:I15"/>
    <mergeCell ref="H16:I16"/>
    <mergeCell ref="B17:K17"/>
    <mergeCell ref="C18:E18"/>
    <mergeCell ref="F18:G18"/>
    <mergeCell ref="I18:K18"/>
    <mergeCell ref="D16:E16"/>
    <mergeCell ref="B19:K19"/>
    <mergeCell ref="H20:I20"/>
    <mergeCell ref="H21:I21"/>
    <mergeCell ref="H22:I22"/>
    <mergeCell ref="H23:I23"/>
    <mergeCell ref="D20:E20"/>
    <mergeCell ref="D21:E21"/>
    <mergeCell ref="H30:I30"/>
    <mergeCell ref="C32:E32"/>
    <mergeCell ref="F32:G32"/>
    <mergeCell ref="I32:K32"/>
    <mergeCell ref="D30:E30"/>
    <mergeCell ref="F34:G34"/>
    <mergeCell ref="I34:J34"/>
    <mergeCell ref="H35:K35"/>
    <mergeCell ref="H36:I36"/>
    <mergeCell ref="C35:D35"/>
    <mergeCell ref="C36:D36"/>
    <mergeCell ref="H38:I38"/>
    <mergeCell ref="J38:K38"/>
    <mergeCell ref="B40:K40"/>
    <mergeCell ref="B41:K41"/>
    <mergeCell ref="C42:E42"/>
    <mergeCell ref="F42:K43"/>
    <mergeCell ref="C43:E45"/>
    <mergeCell ref="J49:K49"/>
    <mergeCell ref="F44:I44"/>
    <mergeCell ref="J44:K44"/>
    <mergeCell ref="F45:I45"/>
    <mergeCell ref="J45:K45"/>
    <mergeCell ref="J46:K46"/>
    <mergeCell ref="J47:K47"/>
    <mergeCell ref="J48:K48"/>
    <mergeCell ref="C46:E47"/>
    <mergeCell ref="F46:I46"/>
    <mergeCell ref="F47:I47"/>
    <mergeCell ref="C48:E51"/>
    <mergeCell ref="F48:I5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1"/>
  <sheetViews>
    <sheetView workbookViewId="0">
      <selection sqref="A1:XFD1048576"/>
    </sheetView>
  </sheetViews>
  <sheetFormatPr baseColWidth="10" defaultRowHeight="15" x14ac:dyDescent="0.25"/>
  <cols>
    <col min="2" max="2" width="44.140625" customWidth="1"/>
    <col min="3" max="3" width="12.140625" customWidth="1"/>
    <col min="5" max="5" width="16.28515625" customWidth="1"/>
    <col min="7" max="7" width="13.7109375" customWidth="1"/>
    <col min="11" max="11" width="16.42578125" customWidth="1"/>
  </cols>
  <sheetData>
    <row r="3" spans="2:15" ht="15.75" thickBot="1" x14ac:dyDescent="0.3"/>
    <row r="4" spans="2:15" ht="16.5" thickBot="1" x14ac:dyDescent="0.3">
      <c r="B4" s="93" t="s">
        <v>25</v>
      </c>
      <c r="C4" s="94" t="s">
        <v>129</v>
      </c>
      <c r="D4" s="213" t="s">
        <v>130</v>
      </c>
      <c r="E4" s="214"/>
      <c r="F4" s="94" t="s">
        <v>26</v>
      </c>
      <c r="G4" s="93" t="s">
        <v>27</v>
      </c>
      <c r="H4" s="213" t="s">
        <v>28</v>
      </c>
      <c r="I4" s="214"/>
      <c r="J4" s="94" t="s">
        <v>23</v>
      </c>
      <c r="K4" s="94" t="s">
        <v>29</v>
      </c>
      <c r="L4" s="15"/>
      <c r="M4" s="15"/>
      <c r="N4" s="15"/>
      <c r="O4" s="15"/>
    </row>
    <row r="5" spans="2:15" ht="32.25" thickBot="1" x14ac:dyDescent="0.3">
      <c r="B5" s="95" t="s">
        <v>68</v>
      </c>
      <c r="C5" s="16">
        <f>(D5+E5)/2</f>
        <v>0</v>
      </c>
      <c r="D5" s="205"/>
      <c r="E5" s="206"/>
      <c r="F5" s="17">
        <v>3</v>
      </c>
      <c r="G5" s="18">
        <f>C5*F5</f>
        <v>0</v>
      </c>
      <c r="H5" s="202">
        <v>11.461538461538462</v>
      </c>
      <c r="I5" s="203">
        <v>11.461538461538462</v>
      </c>
      <c r="J5" s="35" t="s">
        <v>114</v>
      </c>
      <c r="K5" s="16" t="str">
        <f>IF(C5&lt;10,"D",IF(C5&lt;12,"C",IF(C5&lt;14,"C+",IF(C5&lt;15,"B",IF(C5&lt;16,"B+",IF(C5&lt;18,"A",IF(C5&lt;20,"A+")))))))</f>
        <v>D</v>
      </c>
      <c r="L5" s="15"/>
      <c r="M5" s="15"/>
      <c r="N5" s="19">
        <f>D5*F5</f>
        <v>0</v>
      </c>
      <c r="O5" s="19">
        <f>E5*F5</f>
        <v>0</v>
      </c>
    </row>
    <row r="6" spans="2:15" ht="32.25" thickBot="1" x14ac:dyDescent="0.3">
      <c r="B6" s="95" t="s">
        <v>115</v>
      </c>
      <c r="C6" s="16">
        <f t="shared" ref="C6:C9" si="0">(D6+E6)/2</f>
        <v>0</v>
      </c>
      <c r="D6" s="205"/>
      <c r="E6" s="206"/>
      <c r="F6" s="17">
        <v>1</v>
      </c>
      <c r="G6" s="18">
        <f t="shared" ref="G6:G9" si="1">C6*F6</f>
        <v>0</v>
      </c>
      <c r="H6" s="202">
        <v>7.1538461538461542</v>
      </c>
      <c r="I6" s="203">
        <v>7.1538461538461542</v>
      </c>
      <c r="J6" s="35" t="s">
        <v>114</v>
      </c>
      <c r="K6" s="16" t="str">
        <f t="shared" ref="K6:K9" si="2">IF(C6&lt;10,"D",IF(C6&lt;12,"C",IF(C6&lt;14,"C+",IF(C6&lt;15,"B",IF(C6&lt;16,"B+",IF(C6&lt;18,"A",IF(C6&lt;20,"A+")))))))</f>
        <v>D</v>
      </c>
      <c r="L6" s="15"/>
      <c r="M6" s="15"/>
      <c r="N6" s="19">
        <f t="shared" ref="N6:N9" si="3">D6*F6</f>
        <v>0</v>
      </c>
      <c r="O6" s="19">
        <f t="shared" ref="O6:O9" si="4">E6*F6</f>
        <v>0</v>
      </c>
    </row>
    <row r="7" spans="2:15" ht="32.25" thickBot="1" x14ac:dyDescent="0.3">
      <c r="B7" s="95" t="s">
        <v>116</v>
      </c>
      <c r="C7" s="16">
        <f t="shared" si="0"/>
        <v>0</v>
      </c>
      <c r="D7" s="205"/>
      <c r="E7" s="206"/>
      <c r="F7" s="17">
        <v>2</v>
      </c>
      <c r="G7" s="18">
        <f t="shared" si="1"/>
        <v>0</v>
      </c>
      <c r="H7" s="202">
        <v>10.423076923076923</v>
      </c>
      <c r="I7" s="203">
        <v>10.423076923076923</v>
      </c>
      <c r="J7" s="35" t="s">
        <v>114</v>
      </c>
      <c r="K7" s="16" t="str">
        <f t="shared" si="2"/>
        <v>D</v>
      </c>
      <c r="L7" s="15"/>
      <c r="M7" s="15"/>
      <c r="N7" s="19">
        <f t="shared" si="3"/>
        <v>0</v>
      </c>
      <c r="O7" s="19">
        <f t="shared" si="4"/>
        <v>0</v>
      </c>
    </row>
    <row r="8" spans="2:15" ht="32.25" thickBot="1" x14ac:dyDescent="0.3">
      <c r="B8" s="95" t="s">
        <v>117</v>
      </c>
      <c r="C8" s="16">
        <f t="shared" si="0"/>
        <v>0</v>
      </c>
      <c r="D8" s="205"/>
      <c r="E8" s="206"/>
      <c r="F8" s="17">
        <v>1</v>
      </c>
      <c r="G8" s="18">
        <f t="shared" si="1"/>
        <v>0</v>
      </c>
      <c r="H8" s="202">
        <v>9.2307692307692299</v>
      </c>
      <c r="I8" s="203">
        <v>9.2307692307692299</v>
      </c>
      <c r="J8" s="35" t="s">
        <v>114</v>
      </c>
      <c r="K8" s="16" t="str">
        <f t="shared" si="2"/>
        <v>D</v>
      </c>
      <c r="L8" s="15"/>
      <c r="M8" s="15"/>
      <c r="N8" s="19">
        <f t="shared" si="3"/>
        <v>0</v>
      </c>
      <c r="O8" s="19">
        <f t="shared" si="4"/>
        <v>0</v>
      </c>
    </row>
    <row r="9" spans="2:15" ht="32.25" thickBot="1" x14ac:dyDescent="0.3">
      <c r="B9" s="95" t="s">
        <v>64</v>
      </c>
      <c r="C9" s="16">
        <f t="shared" si="0"/>
        <v>0</v>
      </c>
      <c r="D9" s="205"/>
      <c r="E9" s="206"/>
      <c r="F9" s="17">
        <v>2</v>
      </c>
      <c r="G9" s="18">
        <f t="shared" si="1"/>
        <v>0</v>
      </c>
      <c r="H9" s="202">
        <v>9.9230769230769234</v>
      </c>
      <c r="I9" s="203">
        <v>9.9230769230769234</v>
      </c>
      <c r="J9" s="35" t="s">
        <v>114</v>
      </c>
      <c r="K9" s="16" t="str">
        <f t="shared" si="2"/>
        <v>D</v>
      </c>
      <c r="L9" s="15"/>
      <c r="M9" s="15"/>
      <c r="N9" s="19">
        <f t="shared" si="3"/>
        <v>0</v>
      </c>
      <c r="O9" s="19">
        <f t="shared" si="4"/>
        <v>0</v>
      </c>
    </row>
    <row r="10" spans="2:15" ht="16.5" thickBot="1" x14ac:dyDescent="0.3">
      <c r="B10" s="207" t="s">
        <v>30</v>
      </c>
      <c r="C10" s="208"/>
      <c r="D10" s="208"/>
      <c r="E10" s="208"/>
      <c r="F10" s="208"/>
      <c r="G10" s="208"/>
      <c r="H10" s="208"/>
      <c r="I10" s="208"/>
      <c r="J10" s="208"/>
      <c r="K10" s="209"/>
      <c r="L10" s="15"/>
      <c r="M10" s="15"/>
      <c r="N10" s="15"/>
      <c r="O10" s="15"/>
    </row>
    <row r="11" spans="2:15" ht="16.5" thickBot="1" x14ac:dyDescent="0.3">
      <c r="B11" s="20" t="s">
        <v>31</v>
      </c>
      <c r="C11" s="195">
        <f>(SUM(G5:G9)/SUM(F5:F9))</f>
        <v>0</v>
      </c>
      <c r="D11" s="195"/>
      <c r="E11" s="195"/>
      <c r="F11" s="196" t="s">
        <v>32</v>
      </c>
      <c r="G11" s="196"/>
      <c r="H11" s="98"/>
      <c r="I11" s="190"/>
      <c r="J11" s="190"/>
      <c r="K11" s="197"/>
      <c r="L11" s="15"/>
      <c r="M11" s="15"/>
      <c r="N11" s="15"/>
      <c r="O11" s="15"/>
    </row>
    <row r="12" spans="2:15" ht="16.5" thickBot="1" x14ac:dyDescent="0.3">
      <c r="B12" s="198"/>
      <c r="C12" s="199"/>
      <c r="D12" s="199"/>
      <c r="E12" s="199"/>
      <c r="F12" s="199"/>
      <c r="G12" s="199"/>
      <c r="H12" s="199"/>
      <c r="I12" s="199"/>
      <c r="J12" s="199"/>
      <c r="K12" s="201"/>
      <c r="L12" s="15"/>
      <c r="M12" s="15"/>
      <c r="N12" s="15"/>
      <c r="O12" s="15"/>
    </row>
    <row r="13" spans="2:15" ht="32.25" thickBot="1" x14ac:dyDescent="0.3">
      <c r="B13" s="95" t="s">
        <v>65</v>
      </c>
      <c r="C13" s="16">
        <f t="shared" ref="C13:C16" si="5">(D13+E13)/2</f>
        <v>0</v>
      </c>
      <c r="D13" s="205"/>
      <c r="E13" s="206"/>
      <c r="F13" s="17">
        <v>2</v>
      </c>
      <c r="G13" s="18">
        <f t="shared" ref="G13:G16" si="6">C13*F13</f>
        <v>0</v>
      </c>
      <c r="H13" s="202">
        <v>11.384615384615385</v>
      </c>
      <c r="I13" s="203">
        <v>11.384615384615385</v>
      </c>
      <c r="J13" s="35" t="s">
        <v>114</v>
      </c>
      <c r="K13" s="16" t="str">
        <f t="shared" ref="K13:K16" si="7">IF(C13&lt;10,"D",IF(C13&lt;12,"C",IF(C13&lt;14,"C+",IF(C13&lt;15,"B",IF(C13&lt;16,"B+",IF(C13&lt;18,"A",IF(C13&lt;20,"A+")))))))</f>
        <v>D</v>
      </c>
      <c r="L13" s="15"/>
      <c r="M13" s="15"/>
      <c r="N13" s="19">
        <f t="shared" ref="N13:N16" si="8">D13*F13</f>
        <v>0</v>
      </c>
      <c r="O13" s="19">
        <f t="shared" ref="O13:O16" si="9">E13*F13</f>
        <v>0</v>
      </c>
    </row>
    <row r="14" spans="2:15" ht="32.25" thickBot="1" x14ac:dyDescent="0.3">
      <c r="B14" s="95" t="s">
        <v>118</v>
      </c>
      <c r="C14" s="16">
        <f t="shared" si="5"/>
        <v>0</v>
      </c>
      <c r="D14" s="205"/>
      <c r="E14" s="206"/>
      <c r="F14" s="17">
        <v>2</v>
      </c>
      <c r="G14" s="18">
        <f t="shared" si="6"/>
        <v>0</v>
      </c>
      <c r="H14" s="202">
        <v>10.692307692307692</v>
      </c>
      <c r="I14" s="203">
        <v>10.692307692307692</v>
      </c>
      <c r="J14" s="35" t="s">
        <v>114</v>
      </c>
      <c r="K14" s="16" t="str">
        <f t="shared" si="7"/>
        <v>D</v>
      </c>
      <c r="L14" s="15"/>
      <c r="M14" s="15"/>
      <c r="N14" s="19">
        <f t="shared" si="8"/>
        <v>0</v>
      </c>
      <c r="O14" s="19">
        <f t="shared" si="9"/>
        <v>0</v>
      </c>
    </row>
    <row r="15" spans="2:15" ht="32.25" thickBot="1" x14ac:dyDescent="0.3">
      <c r="B15" s="95" t="s">
        <v>119</v>
      </c>
      <c r="C15" s="16">
        <f t="shared" si="5"/>
        <v>0</v>
      </c>
      <c r="D15" s="205"/>
      <c r="E15" s="206"/>
      <c r="F15" s="17">
        <v>2</v>
      </c>
      <c r="G15" s="18">
        <f t="shared" si="6"/>
        <v>0</v>
      </c>
      <c r="H15" s="202">
        <v>11.692307692307692</v>
      </c>
      <c r="I15" s="203">
        <v>11.692307692307692</v>
      </c>
      <c r="J15" s="35" t="s">
        <v>114</v>
      </c>
      <c r="K15" s="16" t="str">
        <f t="shared" si="7"/>
        <v>D</v>
      </c>
      <c r="L15" s="15"/>
      <c r="M15" s="15"/>
      <c r="N15" s="19">
        <f t="shared" si="8"/>
        <v>0</v>
      </c>
      <c r="O15" s="19">
        <f t="shared" si="9"/>
        <v>0</v>
      </c>
    </row>
    <row r="16" spans="2:15" ht="32.25" thickBot="1" x14ac:dyDescent="0.3">
      <c r="B16" s="95" t="s">
        <v>66</v>
      </c>
      <c r="C16" s="16">
        <f t="shared" si="5"/>
        <v>0</v>
      </c>
      <c r="D16" s="205"/>
      <c r="E16" s="206"/>
      <c r="F16" s="17">
        <v>1</v>
      </c>
      <c r="G16" s="18">
        <f t="shared" si="6"/>
        <v>0</v>
      </c>
      <c r="H16" s="202">
        <v>16</v>
      </c>
      <c r="I16" s="203"/>
      <c r="J16" s="35" t="s">
        <v>123</v>
      </c>
      <c r="K16" s="16" t="str">
        <f t="shared" si="7"/>
        <v>D</v>
      </c>
      <c r="L16" s="15"/>
      <c r="M16" s="15"/>
      <c r="N16" s="19">
        <f t="shared" si="8"/>
        <v>0</v>
      </c>
      <c r="O16" s="19">
        <f t="shared" si="9"/>
        <v>0</v>
      </c>
    </row>
    <row r="17" spans="2:15" ht="16.5" thickBot="1" x14ac:dyDescent="0.3">
      <c r="B17" s="207" t="s">
        <v>33</v>
      </c>
      <c r="C17" s="208"/>
      <c r="D17" s="208"/>
      <c r="E17" s="208"/>
      <c r="F17" s="208"/>
      <c r="G17" s="208"/>
      <c r="H17" s="208"/>
      <c r="I17" s="208"/>
      <c r="J17" s="208"/>
      <c r="K17" s="209"/>
      <c r="L17" s="15"/>
      <c r="M17" s="15"/>
      <c r="N17" s="15"/>
      <c r="O17" s="15"/>
    </row>
    <row r="18" spans="2:15" ht="16.5" thickBot="1" x14ac:dyDescent="0.3">
      <c r="B18" s="20" t="s">
        <v>34</v>
      </c>
      <c r="C18" s="195">
        <f>(SUM(G13:G16)/SUM(F13:F16))</f>
        <v>0</v>
      </c>
      <c r="D18" s="195"/>
      <c r="E18" s="195"/>
      <c r="F18" s="196" t="s">
        <v>32</v>
      </c>
      <c r="G18" s="196"/>
      <c r="H18" s="98"/>
      <c r="I18" s="190"/>
      <c r="J18" s="190"/>
      <c r="K18" s="197"/>
      <c r="L18" s="15"/>
      <c r="M18" s="15"/>
      <c r="N18" s="15"/>
      <c r="O18" s="15"/>
    </row>
    <row r="19" spans="2:15" ht="16.5" thickBot="1" x14ac:dyDescent="0.3">
      <c r="B19" s="210"/>
      <c r="C19" s="211"/>
      <c r="D19" s="211"/>
      <c r="E19" s="211"/>
      <c r="F19" s="211"/>
      <c r="G19" s="211"/>
      <c r="H19" s="211"/>
      <c r="I19" s="211"/>
      <c r="J19" s="211"/>
      <c r="K19" s="212"/>
      <c r="L19" s="15"/>
      <c r="M19" s="15"/>
      <c r="N19" s="15"/>
      <c r="O19" s="15"/>
    </row>
    <row r="20" spans="2:15" ht="32.25" thickBot="1" x14ac:dyDescent="0.3">
      <c r="B20" s="95" t="s">
        <v>69</v>
      </c>
      <c r="C20" s="16">
        <f t="shared" ref="C20:C23" si="10">(D20+E20)/2</f>
        <v>0</v>
      </c>
      <c r="D20" s="205"/>
      <c r="E20" s="206"/>
      <c r="F20" s="17">
        <v>2</v>
      </c>
      <c r="G20" s="18">
        <f t="shared" ref="G20:G23" si="11">C20*F20</f>
        <v>0</v>
      </c>
      <c r="H20" s="202">
        <v>8.2307692307692299</v>
      </c>
      <c r="I20" s="203">
        <v>8.2307692307692299</v>
      </c>
      <c r="J20" s="35" t="s">
        <v>114</v>
      </c>
      <c r="K20" s="16" t="str">
        <f t="shared" ref="K20:K23" si="12">IF(C20&lt;10,"D",IF(C20&lt;12,"C",IF(C20&lt;14,"C+",IF(C20&lt;15,"B",IF(C20&lt;16,"B+",IF(C20&lt;18,"A",IF(C20&lt;20,"A+")))))))</f>
        <v>D</v>
      </c>
      <c r="L20" s="15"/>
      <c r="M20" s="15"/>
      <c r="N20" s="19">
        <f t="shared" ref="N20:N23" si="13">D20*F20</f>
        <v>0</v>
      </c>
      <c r="O20" s="19">
        <f t="shared" ref="O20:O23" si="14">E20*F20</f>
        <v>0</v>
      </c>
    </row>
    <row r="21" spans="2:15" ht="32.25" thickBot="1" x14ac:dyDescent="0.3">
      <c r="B21" s="95" t="s">
        <v>70</v>
      </c>
      <c r="C21" s="16">
        <f t="shared" si="10"/>
        <v>0</v>
      </c>
      <c r="D21" s="205"/>
      <c r="E21" s="206"/>
      <c r="F21" s="17">
        <v>4</v>
      </c>
      <c r="G21" s="18">
        <f t="shared" si="11"/>
        <v>0</v>
      </c>
      <c r="H21" s="202">
        <v>4.2692307692307692</v>
      </c>
      <c r="I21" s="203">
        <v>4.2692307692307692</v>
      </c>
      <c r="J21" s="35" t="s">
        <v>114</v>
      </c>
      <c r="K21" s="16" t="str">
        <f t="shared" si="12"/>
        <v>D</v>
      </c>
      <c r="L21" s="15"/>
      <c r="M21" s="15"/>
      <c r="N21" s="19">
        <f t="shared" si="13"/>
        <v>0</v>
      </c>
      <c r="O21" s="19">
        <f t="shared" si="14"/>
        <v>0</v>
      </c>
    </row>
    <row r="22" spans="2:15" ht="32.25" thickBot="1" x14ac:dyDescent="0.3">
      <c r="B22" s="95" t="s">
        <v>120</v>
      </c>
      <c r="C22" s="16">
        <f t="shared" si="10"/>
        <v>0</v>
      </c>
      <c r="D22" s="205"/>
      <c r="E22" s="206"/>
      <c r="F22" s="17">
        <v>2</v>
      </c>
      <c r="G22" s="18">
        <f t="shared" si="11"/>
        <v>0</v>
      </c>
      <c r="H22" s="202">
        <v>5.6538461538461542</v>
      </c>
      <c r="I22" s="203">
        <v>5.6538461538461542</v>
      </c>
      <c r="J22" s="35" t="s">
        <v>114</v>
      </c>
      <c r="K22" s="16" t="str">
        <f t="shared" si="12"/>
        <v>D</v>
      </c>
      <c r="L22" s="15"/>
      <c r="M22" s="15"/>
      <c r="N22" s="19">
        <f t="shared" si="13"/>
        <v>0</v>
      </c>
      <c r="O22" s="19">
        <f t="shared" si="14"/>
        <v>0</v>
      </c>
    </row>
    <row r="23" spans="2:15" ht="32.25" thickBot="1" x14ac:dyDescent="0.3">
      <c r="B23" s="95" t="s">
        <v>71</v>
      </c>
      <c r="C23" s="16">
        <f t="shared" si="10"/>
        <v>0</v>
      </c>
      <c r="D23" s="205"/>
      <c r="E23" s="206"/>
      <c r="F23" s="17">
        <v>2</v>
      </c>
      <c r="G23" s="18">
        <f t="shared" si="11"/>
        <v>0</v>
      </c>
      <c r="H23" s="202">
        <v>9.7692307692307701</v>
      </c>
      <c r="I23" s="203">
        <v>9.7692307692307701</v>
      </c>
      <c r="J23" s="35" t="s">
        <v>114</v>
      </c>
      <c r="K23" s="16" t="str">
        <f t="shared" si="12"/>
        <v>D</v>
      </c>
      <c r="L23" s="15"/>
      <c r="M23" s="15"/>
      <c r="N23" s="19">
        <f t="shared" si="13"/>
        <v>0</v>
      </c>
      <c r="O23" s="19">
        <f t="shared" si="14"/>
        <v>0</v>
      </c>
    </row>
    <row r="24" spans="2:15" ht="16.5" thickBot="1" x14ac:dyDescent="0.3">
      <c r="B24" s="207" t="s">
        <v>35</v>
      </c>
      <c r="C24" s="208"/>
      <c r="D24" s="208"/>
      <c r="E24" s="208"/>
      <c r="F24" s="208"/>
      <c r="G24" s="208"/>
      <c r="H24" s="208"/>
      <c r="I24" s="208"/>
      <c r="J24" s="208"/>
      <c r="K24" s="209"/>
      <c r="L24" s="15"/>
      <c r="M24" s="15"/>
      <c r="N24" s="15"/>
      <c r="O24" s="15"/>
    </row>
    <row r="25" spans="2:15" ht="16.5" thickBot="1" x14ac:dyDescent="0.3">
      <c r="B25" s="20" t="s">
        <v>31</v>
      </c>
      <c r="C25" s="195">
        <f>(SUM(G20:G23)/SUM(F20:F23))</f>
        <v>0</v>
      </c>
      <c r="D25" s="195"/>
      <c r="E25" s="195"/>
      <c r="F25" s="196" t="s">
        <v>32</v>
      </c>
      <c r="G25" s="196"/>
      <c r="H25" s="98"/>
      <c r="I25" s="190"/>
      <c r="J25" s="190"/>
      <c r="K25" s="197"/>
      <c r="L25" s="15"/>
      <c r="M25" s="15"/>
      <c r="N25" s="15"/>
      <c r="O25" s="15"/>
    </row>
    <row r="26" spans="2:15" ht="16.5" thickBot="1" x14ac:dyDescent="0.3">
      <c r="B26" s="198"/>
      <c r="C26" s="199"/>
      <c r="D26" s="199"/>
      <c r="E26" s="199"/>
      <c r="F26" s="199"/>
      <c r="G26" s="199"/>
      <c r="H26" s="200"/>
      <c r="I26" s="200"/>
      <c r="J26" s="200"/>
      <c r="K26" s="201"/>
      <c r="L26" s="15"/>
      <c r="M26" s="15"/>
      <c r="N26" s="15"/>
      <c r="O26" s="15"/>
    </row>
    <row r="27" spans="2:15" ht="32.25" thickBot="1" x14ac:dyDescent="0.3">
      <c r="B27" s="95" t="s">
        <v>67</v>
      </c>
      <c r="C27" s="16">
        <f t="shared" ref="C27:C30" si="15">(D27+E27)/2</f>
        <v>0</v>
      </c>
      <c r="D27" s="205"/>
      <c r="E27" s="206"/>
      <c r="F27" s="17">
        <v>1</v>
      </c>
      <c r="G27" s="18">
        <f t="shared" ref="G27:G30" si="16">C27*F27</f>
        <v>0</v>
      </c>
      <c r="H27" s="202">
        <v>16</v>
      </c>
      <c r="I27" s="203">
        <v>16</v>
      </c>
      <c r="J27" s="35" t="s">
        <v>123</v>
      </c>
      <c r="K27" s="16" t="str">
        <f t="shared" ref="K27:K30" si="17">IF(C27&lt;10,"D",IF(C27&lt;12,"C",IF(C27&lt;14,"C+",IF(C27&lt;15,"B",IF(C27&lt;16,"B+",IF(C27&lt;18,"A",IF(C27&lt;20,"A+")))))))</f>
        <v>D</v>
      </c>
      <c r="L27" s="15"/>
      <c r="M27" s="15"/>
      <c r="N27" s="19">
        <f t="shared" ref="N27:N30" si="18">D27*F27</f>
        <v>0</v>
      </c>
      <c r="O27" s="19">
        <f t="shared" ref="O27:O30" si="19">E27*F27</f>
        <v>0</v>
      </c>
    </row>
    <row r="28" spans="2:15" ht="32.25" thickBot="1" x14ac:dyDescent="0.3">
      <c r="B28" s="95" t="s">
        <v>122</v>
      </c>
      <c r="C28" s="16">
        <f t="shared" si="15"/>
        <v>0</v>
      </c>
      <c r="D28" s="205"/>
      <c r="E28" s="206"/>
      <c r="F28" s="17">
        <v>2</v>
      </c>
      <c r="G28" s="18">
        <f t="shared" si="16"/>
        <v>0</v>
      </c>
      <c r="H28" s="202">
        <v>15.846153846153847</v>
      </c>
      <c r="I28" s="203">
        <v>15.846153846153847</v>
      </c>
      <c r="J28" s="35" t="s">
        <v>114</v>
      </c>
      <c r="K28" s="16" t="str">
        <f t="shared" si="17"/>
        <v>D</v>
      </c>
      <c r="L28" s="15"/>
      <c r="M28" s="15"/>
      <c r="N28" s="19">
        <f t="shared" si="18"/>
        <v>0</v>
      </c>
      <c r="O28" s="19">
        <f t="shared" si="19"/>
        <v>0</v>
      </c>
    </row>
    <row r="29" spans="2:15" ht="32.25" thickBot="1" x14ac:dyDescent="0.3">
      <c r="B29" s="95" t="s">
        <v>72</v>
      </c>
      <c r="C29" s="16">
        <f t="shared" si="15"/>
        <v>0</v>
      </c>
      <c r="D29" s="205"/>
      <c r="E29" s="206"/>
      <c r="F29" s="17">
        <v>1</v>
      </c>
      <c r="G29" s="18">
        <f t="shared" si="16"/>
        <v>0</v>
      </c>
      <c r="H29" s="202">
        <v>12.76923076923077</v>
      </c>
      <c r="I29" s="203">
        <v>12.76923076923077</v>
      </c>
      <c r="J29" s="35" t="s">
        <v>114</v>
      </c>
      <c r="K29" s="16" t="str">
        <f t="shared" si="17"/>
        <v>D</v>
      </c>
      <c r="L29" s="15"/>
      <c r="M29" s="15"/>
      <c r="N29" s="19">
        <f t="shared" si="18"/>
        <v>0</v>
      </c>
      <c r="O29" s="19">
        <f t="shared" si="19"/>
        <v>0</v>
      </c>
    </row>
    <row r="30" spans="2:15" ht="32.25" thickBot="1" x14ac:dyDescent="0.3">
      <c r="B30" s="95" t="s">
        <v>121</v>
      </c>
      <c r="C30" s="16">
        <f t="shared" si="15"/>
        <v>0</v>
      </c>
      <c r="D30" s="205"/>
      <c r="E30" s="206"/>
      <c r="F30" s="17">
        <v>1</v>
      </c>
      <c r="G30" s="18">
        <f t="shared" si="16"/>
        <v>0</v>
      </c>
      <c r="H30" s="202">
        <v>17</v>
      </c>
      <c r="I30" s="203"/>
      <c r="J30" s="35" t="s">
        <v>123</v>
      </c>
      <c r="K30" s="16" t="str">
        <f t="shared" si="17"/>
        <v>D</v>
      </c>
      <c r="L30" s="15"/>
      <c r="M30" s="15"/>
      <c r="N30" s="19">
        <f t="shared" si="18"/>
        <v>0</v>
      </c>
      <c r="O30" s="19">
        <f t="shared" si="19"/>
        <v>0</v>
      </c>
    </row>
    <row r="31" spans="2:15" ht="16.5" thickBot="1" x14ac:dyDescent="0.3">
      <c r="B31" s="95" t="s">
        <v>36</v>
      </c>
      <c r="C31" s="96"/>
      <c r="D31" s="96"/>
      <c r="E31" s="96"/>
      <c r="F31" s="96"/>
      <c r="G31" s="96"/>
      <c r="H31" s="96"/>
      <c r="I31" s="96"/>
      <c r="J31" s="96"/>
      <c r="K31" s="97"/>
      <c r="L31" s="15"/>
      <c r="M31" s="15"/>
      <c r="N31" s="15">
        <f>SUM(N5:N30)</f>
        <v>0</v>
      </c>
      <c r="O31" s="15">
        <f>SUM(O5:O30)</f>
        <v>0</v>
      </c>
    </row>
    <row r="32" spans="2:15" ht="16.5" thickBot="1" x14ac:dyDescent="0.3">
      <c r="B32" s="21" t="s">
        <v>34</v>
      </c>
      <c r="C32" s="195">
        <f>(SUM(G27:G30)/SUM(F27:F30))</f>
        <v>0</v>
      </c>
      <c r="D32" s="195"/>
      <c r="E32" s="195"/>
      <c r="F32" s="204" t="s">
        <v>32</v>
      </c>
      <c r="G32" s="204"/>
      <c r="H32" s="99"/>
      <c r="I32" s="163"/>
      <c r="J32" s="163"/>
      <c r="K32" s="164"/>
      <c r="L32" s="15"/>
      <c r="M32" s="15"/>
      <c r="N32" s="15">
        <v>31</v>
      </c>
      <c r="O32" s="15">
        <v>31</v>
      </c>
    </row>
    <row r="33" spans="2:15" ht="16.5" thickBot="1" x14ac:dyDescent="0.3">
      <c r="B33" s="178"/>
      <c r="C33" s="179"/>
      <c r="D33" s="179"/>
      <c r="E33" s="179"/>
      <c r="F33" s="179"/>
      <c r="G33" s="179"/>
      <c r="H33" s="179"/>
      <c r="I33" s="179"/>
      <c r="J33" s="179"/>
      <c r="K33" s="180"/>
      <c r="L33" s="15"/>
      <c r="M33" s="15"/>
      <c r="N33" s="15">
        <f>N31/N32</f>
        <v>0</v>
      </c>
      <c r="O33" s="15">
        <f>O31/O32</f>
        <v>0</v>
      </c>
    </row>
    <row r="34" spans="2:15" ht="48" thickBot="1" x14ac:dyDescent="0.3">
      <c r="B34" s="22" t="s">
        <v>37</v>
      </c>
      <c r="C34" s="23" t="s">
        <v>38</v>
      </c>
      <c r="D34" s="99">
        <v>10.220000000000001</v>
      </c>
      <c r="E34" s="24" t="s">
        <v>39</v>
      </c>
      <c r="F34" s="190">
        <v>11.9</v>
      </c>
      <c r="G34" s="190"/>
      <c r="H34" s="24" t="s">
        <v>40</v>
      </c>
      <c r="I34" s="190">
        <v>8.4499999999999993</v>
      </c>
      <c r="J34" s="190"/>
      <c r="K34" s="25"/>
      <c r="L34" s="26"/>
      <c r="M34" s="26"/>
      <c r="N34" s="26"/>
      <c r="O34" s="26"/>
    </row>
    <row r="35" spans="2:15" ht="15.75" x14ac:dyDescent="0.25">
      <c r="B35" s="74"/>
      <c r="C35" s="193" t="s">
        <v>130</v>
      </c>
      <c r="D35" s="193"/>
      <c r="E35" s="75"/>
      <c r="F35" s="75"/>
      <c r="G35" s="76"/>
      <c r="H35" s="145"/>
      <c r="I35" s="146"/>
      <c r="J35" s="146"/>
      <c r="K35" s="147"/>
      <c r="L35" s="15"/>
      <c r="M35" s="15"/>
      <c r="N35" s="15"/>
      <c r="O35" s="15"/>
    </row>
    <row r="36" spans="2:15" ht="15.75" x14ac:dyDescent="0.25">
      <c r="B36" s="77" t="s">
        <v>41</v>
      </c>
      <c r="C36" s="194">
        <f>N33</f>
        <v>0</v>
      </c>
      <c r="D36" s="194"/>
      <c r="E36" s="79" t="s">
        <v>131</v>
      </c>
      <c r="F36" s="80">
        <f>(G5+G6+G7+G8+G9+G13+G14+G15+G20+G16+G21+G22+G23+G27+G28+G29+G30)/31</f>
        <v>0</v>
      </c>
      <c r="G36" s="81" t="s">
        <v>42</v>
      </c>
      <c r="H36" s="191" t="s">
        <v>43</v>
      </c>
      <c r="I36" s="192"/>
      <c r="J36" s="27" t="s">
        <v>114</v>
      </c>
      <c r="K36" s="28" t="s">
        <v>113</v>
      </c>
      <c r="L36" s="15"/>
      <c r="M36" s="15"/>
      <c r="N36" s="15"/>
      <c r="O36" s="15"/>
    </row>
    <row r="37" spans="2:15" ht="12.75" customHeight="1" x14ac:dyDescent="0.25">
      <c r="B37" s="77"/>
      <c r="C37" s="78"/>
      <c r="D37" s="78"/>
      <c r="E37" s="79"/>
      <c r="F37" s="80"/>
      <c r="G37" s="81"/>
      <c r="H37" s="100"/>
      <c r="I37" s="101"/>
      <c r="J37" s="27"/>
      <c r="K37" s="28"/>
      <c r="L37" s="15"/>
      <c r="M37" s="15"/>
      <c r="N37" s="15"/>
      <c r="O37" s="15"/>
    </row>
    <row r="38" spans="2:15" ht="18" customHeight="1" x14ac:dyDescent="0.25">
      <c r="B38" s="102" t="s">
        <v>132</v>
      </c>
      <c r="C38" s="103" t="s">
        <v>133</v>
      </c>
      <c r="D38" s="103" t="s">
        <v>134</v>
      </c>
      <c r="E38" s="104" t="s">
        <v>135</v>
      </c>
      <c r="F38" s="105">
        <f>AVERAGE(B39:C39:D39)</f>
        <v>0</v>
      </c>
      <c r="G38" s="106" t="s">
        <v>42</v>
      </c>
      <c r="H38" s="171" t="s">
        <v>136</v>
      </c>
      <c r="I38" s="172"/>
      <c r="J38" s="173" t="s">
        <v>137</v>
      </c>
      <c r="K38" s="174"/>
      <c r="L38" s="15"/>
      <c r="M38" s="15"/>
      <c r="N38" s="15"/>
      <c r="O38" s="15"/>
    </row>
    <row r="39" spans="2:15" ht="18" customHeight="1" thickBot="1" x14ac:dyDescent="0.3">
      <c r="B39" s="107"/>
      <c r="C39" s="108"/>
      <c r="D39" s="108">
        <f>F36</f>
        <v>0</v>
      </c>
      <c r="E39" s="109"/>
      <c r="F39" s="110"/>
      <c r="G39" s="111"/>
      <c r="H39" s="101"/>
      <c r="I39" s="101"/>
      <c r="J39" s="27"/>
      <c r="K39" s="28"/>
      <c r="L39" s="15"/>
      <c r="M39" s="15"/>
      <c r="N39" s="15"/>
      <c r="O39" s="15"/>
    </row>
    <row r="40" spans="2:15" ht="16.5" thickBot="1" x14ac:dyDescent="0.3">
      <c r="B40" s="175" t="s">
        <v>44</v>
      </c>
      <c r="C40" s="176"/>
      <c r="D40" s="176"/>
      <c r="E40" s="176"/>
      <c r="F40" s="176"/>
      <c r="G40" s="176"/>
      <c r="H40" s="176"/>
      <c r="I40" s="176"/>
      <c r="J40" s="176"/>
      <c r="K40" s="177"/>
      <c r="L40" s="15"/>
      <c r="M40" s="15"/>
      <c r="N40" s="15"/>
      <c r="O40" s="15"/>
    </row>
    <row r="41" spans="2:15" ht="16.5" thickBot="1" x14ac:dyDescent="0.3">
      <c r="B41" s="162" t="s">
        <v>45</v>
      </c>
      <c r="C41" s="163"/>
      <c r="D41" s="163"/>
      <c r="E41" s="163"/>
      <c r="F41" s="163"/>
      <c r="G41" s="163"/>
      <c r="H41" s="163"/>
      <c r="I41" s="163"/>
      <c r="J41" s="163"/>
      <c r="K41" s="164"/>
      <c r="L41" s="15"/>
      <c r="M41" s="15"/>
      <c r="N41" s="15"/>
      <c r="O41" s="15"/>
    </row>
    <row r="42" spans="2:15" ht="16.5" thickBot="1" x14ac:dyDescent="0.3">
      <c r="B42" s="22" t="s">
        <v>46</v>
      </c>
      <c r="C42" s="178" t="s">
        <v>47</v>
      </c>
      <c r="D42" s="179"/>
      <c r="E42" s="180"/>
      <c r="F42" s="165" t="s">
        <v>48</v>
      </c>
      <c r="G42" s="166"/>
      <c r="H42" s="166"/>
      <c r="I42" s="166"/>
      <c r="J42" s="166"/>
      <c r="K42" s="167"/>
      <c r="L42" s="15"/>
      <c r="M42" s="15"/>
      <c r="N42" s="15"/>
      <c r="O42" s="15"/>
    </row>
    <row r="43" spans="2:15" ht="16.5" thickBot="1" x14ac:dyDescent="0.3">
      <c r="B43" s="29" t="s">
        <v>49</v>
      </c>
      <c r="C43" s="181" t="str">
        <f>IF(F38&lt;10,"CNA",IF(F38&lt;12,"CMA",IF(F38&lt;14,"CA",IF(F38&lt;16,"CBA",IF(F38&lt;20,"CTBA")))))</f>
        <v>CNA</v>
      </c>
      <c r="D43" s="182" t="e">
        <f>IF(#REF!&lt;10,"D",IF(#REF!&lt;12,"C",IF(#REF!&lt;14,"C+",IF(#REF!&lt;15,"B",IF(#REF!&lt;16,"B+",IF(#REF!&lt;18,"A",IF(#REF!&lt;20,"A+")))))))</f>
        <v>#REF!</v>
      </c>
      <c r="E43" s="183" t="e">
        <f>IF(#REF!&lt;10,"D",IF(#REF!&lt;12,"C",IF(#REF!&lt;14,"C+",IF(#REF!&lt;15,"B",IF(#REF!&lt;16,"B+",IF(#REF!&lt;18,"A",IF(#REF!&lt;20,"A+")))))))</f>
        <v>#REF!</v>
      </c>
      <c r="F43" s="168"/>
      <c r="G43" s="169"/>
      <c r="H43" s="169"/>
      <c r="I43" s="169"/>
      <c r="J43" s="169"/>
      <c r="K43" s="170"/>
      <c r="L43" s="15"/>
      <c r="M43" s="15"/>
      <c r="N43" s="15"/>
      <c r="O43" s="15"/>
    </row>
    <row r="44" spans="2:15" ht="16.5" thickBot="1" x14ac:dyDescent="0.3">
      <c r="B44" s="30" t="s">
        <v>50</v>
      </c>
      <c r="C44" s="184" t="e">
        <f>IF(#REF!&lt;10,"D",IF(#REF!&lt;12,"C",IF(#REF!&lt;14,"C+",IF(#REF!&lt;15,"B",IF(#REF!&lt;16,"B+",IF(#REF!&lt;18,"A",IF(#REF!&lt;20,"A+")))))))</f>
        <v>#REF!</v>
      </c>
      <c r="D44" s="185" t="e">
        <f>IF(#REF!&lt;10,"D",IF(#REF!&lt;12,"C",IF(#REF!&lt;14,"C+",IF(#REF!&lt;15,"B",IF(#REF!&lt;16,"B+",IF(#REF!&lt;18,"A",IF(#REF!&lt;20,"A+")))))))</f>
        <v>#REF!</v>
      </c>
      <c r="E44" s="186" t="e">
        <f>IF(#REF!&lt;10,"D",IF(#REF!&lt;12,"C",IF(#REF!&lt;14,"C+",IF(#REF!&lt;15,"B",IF(#REF!&lt;16,"B+",IF(#REF!&lt;18,"A",IF(#REF!&lt;20,"A+")))))))</f>
        <v>#REF!</v>
      </c>
      <c r="F44" s="162" t="s">
        <v>51</v>
      </c>
      <c r="G44" s="163"/>
      <c r="H44" s="163"/>
      <c r="I44" s="164"/>
      <c r="J44" s="165" t="s">
        <v>52</v>
      </c>
      <c r="K44" s="167"/>
      <c r="L44" s="15"/>
      <c r="M44" s="15"/>
      <c r="N44" s="15"/>
      <c r="O44" s="15"/>
    </row>
    <row r="45" spans="2:15" ht="16.5" thickBot="1" x14ac:dyDescent="0.3">
      <c r="B45" s="31" t="s">
        <v>53</v>
      </c>
      <c r="C45" s="187" t="e">
        <f>IF(#REF!&lt;10,"D",IF(#REF!&lt;12,"C",IF(#REF!&lt;14,"C+",IF(#REF!&lt;15,"B",IF(#REF!&lt;16,"B+",IF(#REF!&lt;18,"A",IF(#REF!&lt;20,"A+")))))))</f>
        <v>#REF!</v>
      </c>
      <c r="D45" s="188" t="e">
        <f>IF(#REF!&lt;10,"D",IF(#REF!&lt;12,"C",IF(#REF!&lt;14,"C+",IF(#REF!&lt;15,"B",IF(#REF!&lt;16,"B+",IF(#REF!&lt;18,"A",IF(#REF!&lt;20,"A+")))))))</f>
        <v>#REF!</v>
      </c>
      <c r="E45" s="189" t="e">
        <f>IF(#REF!&lt;10,"D",IF(#REF!&lt;12,"C",IF(#REF!&lt;14,"C+",IF(#REF!&lt;15,"B",IF(#REF!&lt;16,"B+",IF(#REF!&lt;18,"A",IF(#REF!&lt;20,"A+")))))))</f>
        <v>#REF!</v>
      </c>
      <c r="F45" s="162" t="s">
        <v>54</v>
      </c>
      <c r="G45" s="163"/>
      <c r="H45" s="163"/>
      <c r="I45" s="164"/>
      <c r="J45" s="160" t="s">
        <v>55</v>
      </c>
      <c r="K45" s="161"/>
      <c r="L45" s="15"/>
      <c r="M45" s="15"/>
      <c r="N45" s="15"/>
      <c r="O45" s="15"/>
    </row>
    <row r="46" spans="2:15" ht="16.5" thickBot="1" x14ac:dyDescent="0.3">
      <c r="B46" s="23" t="s">
        <v>56</v>
      </c>
      <c r="C46" s="165" t="s">
        <v>57</v>
      </c>
      <c r="D46" s="166"/>
      <c r="E46" s="167"/>
      <c r="F46" s="162" t="s">
        <v>58</v>
      </c>
      <c r="G46" s="163"/>
      <c r="H46" s="163"/>
      <c r="I46" s="164"/>
      <c r="J46" s="160"/>
      <c r="K46" s="161"/>
      <c r="L46" s="15"/>
      <c r="M46" s="15"/>
      <c r="N46" s="15"/>
      <c r="O46" s="15"/>
    </row>
    <row r="47" spans="2:15" ht="16.5" thickBot="1" x14ac:dyDescent="0.3">
      <c r="B47" s="23" t="s">
        <v>59</v>
      </c>
      <c r="C47" s="168"/>
      <c r="D47" s="169"/>
      <c r="E47" s="170"/>
      <c r="F47" s="162" t="s">
        <v>60</v>
      </c>
      <c r="G47" s="163"/>
      <c r="H47" s="163"/>
      <c r="I47" s="164"/>
      <c r="J47" s="154" t="s">
        <v>61</v>
      </c>
      <c r="K47" s="155"/>
      <c r="L47" s="15"/>
      <c r="M47" s="15"/>
      <c r="N47" s="15"/>
      <c r="O47" s="15"/>
    </row>
    <row r="48" spans="2:15" ht="31.5" x14ac:dyDescent="0.25">
      <c r="B48" s="22" t="s">
        <v>62</v>
      </c>
      <c r="C48" s="145"/>
      <c r="D48" s="146"/>
      <c r="E48" s="147"/>
      <c r="F48" s="145"/>
      <c r="G48" s="146"/>
      <c r="H48" s="146"/>
      <c r="I48" s="147"/>
      <c r="J48" s="154" t="s">
        <v>63</v>
      </c>
      <c r="K48" s="155"/>
      <c r="L48" s="15"/>
      <c r="M48" s="15"/>
      <c r="N48" s="15"/>
      <c r="O48" s="15"/>
    </row>
    <row r="49" spans="2:15" ht="15.75" x14ac:dyDescent="0.25">
      <c r="B49" s="32"/>
      <c r="C49" s="148"/>
      <c r="D49" s="149"/>
      <c r="E49" s="150"/>
      <c r="F49" s="148"/>
      <c r="G49" s="149"/>
      <c r="H49" s="149"/>
      <c r="I49" s="150"/>
      <c r="J49" s="156"/>
      <c r="K49" s="157"/>
      <c r="L49" s="15"/>
      <c r="M49" s="15"/>
      <c r="N49" s="15"/>
      <c r="O49" s="15"/>
    </row>
    <row r="50" spans="2:15" ht="15.75" x14ac:dyDescent="0.25">
      <c r="B50" s="32"/>
      <c r="C50" s="148"/>
      <c r="D50" s="149"/>
      <c r="E50" s="150"/>
      <c r="F50" s="148"/>
      <c r="G50" s="149"/>
      <c r="H50" s="149"/>
      <c r="I50" s="150"/>
      <c r="J50" s="156"/>
      <c r="K50" s="157"/>
      <c r="L50" s="15"/>
      <c r="M50" s="15"/>
      <c r="N50" s="15"/>
      <c r="O50" s="15"/>
    </row>
    <row r="51" spans="2:15" ht="16.5" thickBot="1" x14ac:dyDescent="0.3">
      <c r="B51" s="31"/>
      <c r="C51" s="151"/>
      <c r="D51" s="152"/>
      <c r="E51" s="153"/>
      <c r="F51" s="151"/>
      <c r="G51" s="152"/>
      <c r="H51" s="152"/>
      <c r="I51" s="153"/>
      <c r="J51" s="158"/>
      <c r="K51" s="159"/>
      <c r="L51" s="15"/>
      <c r="M51" s="15"/>
      <c r="N51" s="15"/>
      <c r="O51" s="15"/>
    </row>
  </sheetData>
  <mergeCells count="83">
    <mergeCell ref="J50:K50"/>
    <mergeCell ref="J51:K51"/>
    <mergeCell ref="D22:E22"/>
    <mergeCell ref="D23:E23"/>
    <mergeCell ref="D27:E27"/>
    <mergeCell ref="D28:E28"/>
    <mergeCell ref="D29:E29"/>
    <mergeCell ref="B24:K24"/>
    <mergeCell ref="B33:K33"/>
    <mergeCell ref="C25:E25"/>
    <mergeCell ref="F25:G25"/>
    <mergeCell ref="I25:K25"/>
    <mergeCell ref="B26:K26"/>
    <mergeCell ref="H27:I27"/>
    <mergeCell ref="H28:I28"/>
    <mergeCell ref="H29:I29"/>
    <mergeCell ref="D8:E8"/>
    <mergeCell ref="D9:E9"/>
    <mergeCell ref="D13:E13"/>
    <mergeCell ref="D14:E14"/>
    <mergeCell ref="D15:E15"/>
    <mergeCell ref="H13:I13"/>
    <mergeCell ref="H4:I4"/>
    <mergeCell ref="H5:I5"/>
    <mergeCell ref="H6:I6"/>
    <mergeCell ref="H7:I7"/>
    <mergeCell ref="H8:I8"/>
    <mergeCell ref="H9:I9"/>
    <mergeCell ref="B10:K10"/>
    <mergeCell ref="C11:E11"/>
    <mergeCell ref="F11:G11"/>
    <mergeCell ref="I11:K11"/>
    <mergeCell ref="B12:K12"/>
    <mergeCell ref="D4:E4"/>
    <mergeCell ref="D5:E5"/>
    <mergeCell ref="D6:E6"/>
    <mergeCell ref="D7:E7"/>
    <mergeCell ref="H14:I14"/>
    <mergeCell ref="H15:I15"/>
    <mergeCell ref="H16:I16"/>
    <mergeCell ref="B17:K17"/>
    <mergeCell ref="C18:E18"/>
    <mergeCell ref="F18:G18"/>
    <mergeCell ref="I18:K18"/>
    <mergeCell ref="D16:E16"/>
    <mergeCell ref="B19:K19"/>
    <mergeCell ref="H20:I20"/>
    <mergeCell ref="H21:I21"/>
    <mergeCell ref="H22:I22"/>
    <mergeCell ref="H23:I23"/>
    <mergeCell ref="D20:E20"/>
    <mergeCell ref="D21:E21"/>
    <mergeCell ref="H30:I30"/>
    <mergeCell ref="C32:E32"/>
    <mergeCell ref="F32:G32"/>
    <mergeCell ref="I32:K32"/>
    <mergeCell ref="D30:E30"/>
    <mergeCell ref="F34:G34"/>
    <mergeCell ref="I34:J34"/>
    <mergeCell ref="H35:K35"/>
    <mergeCell ref="H36:I36"/>
    <mergeCell ref="C35:D35"/>
    <mergeCell ref="C36:D36"/>
    <mergeCell ref="H38:I38"/>
    <mergeCell ref="J38:K38"/>
    <mergeCell ref="B40:K40"/>
    <mergeCell ref="B41:K41"/>
    <mergeCell ref="C42:E42"/>
    <mergeCell ref="F42:K43"/>
    <mergeCell ref="C43:E45"/>
    <mergeCell ref="J49:K49"/>
    <mergeCell ref="F44:I44"/>
    <mergeCell ref="J44:K44"/>
    <mergeCell ref="F45:I45"/>
    <mergeCell ref="J45:K45"/>
    <mergeCell ref="J46:K46"/>
    <mergeCell ref="J47:K47"/>
    <mergeCell ref="J48:K48"/>
    <mergeCell ref="C46:E47"/>
    <mergeCell ref="F46:I46"/>
    <mergeCell ref="F47:I47"/>
    <mergeCell ref="C48:E51"/>
    <mergeCell ref="F48:I5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1"/>
  <sheetViews>
    <sheetView topLeftCell="A37" zoomScale="90" zoomScaleNormal="90" workbookViewId="0">
      <selection activeCell="B4" sqref="B4:K51"/>
    </sheetView>
  </sheetViews>
  <sheetFormatPr baseColWidth="10" defaultRowHeight="15" x14ac:dyDescent="0.25"/>
  <cols>
    <col min="2" max="2" width="44.140625" customWidth="1"/>
    <col min="3" max="3" width="12.140625" customWidth="1"/>
    <col min="5" max="5" width="16.28515625" customWidth="1"/>
    <col min="7" max="7" width="13.7109375" customWidth="1"/>
    <col min="10" max="10" width="12.5703125" customWidth="1"/>
    <col min="11" max="11" width="16.42578125" customWidth="1"/>
  </cols>
  <sheetData>
    <row r="3" spans="2:15" ht="15.75" thickBot="1" x14ac:dyDescent="0.3"/>
    <row r="4" spans="2:15" ht="16.5" thickBot="1" x14ac:dyDescent="0.3">
      <c r="B4" s="93" t="s">
        <v>25</v>
      </c>
      <c r="C4" s="94" t="s">
        <v>129</v>
      </c>
      <c r="D4" s="213" t="s">
        <v>130</v>
      </c>
      <c r="E4" s="214"/>
      <c r="F4" s="94" t="s">
        <v>26</v>
      </c>
      <c r="G4" s="93" t="s">
        <v>27</v>
      </c>
      <c r="H4" s="213" t="s">
        <v>28</v>
      </c>
      <c r="I4" s="214"/>
      <c r="J4" s="94" t="s">
        <v>23</v>
      </c>
      <c r="K4" s="94" t="s">
        <v>29</v>
      </c>
      <c r="L4" s="15"/>
      <c r="M4" s="15"/>
      <c r="N4" s="15"/>
      <c r="O4" s="15"/>
    </row>
    <row r="5" spans="2:15" ht="32.25" thickBot="1" x14ac:dyDescent="0.3">
      <c r="B5" s="95" t="s">
        <v>68</v>
      </c>
      <c r="C5" s="16">
        <f>(D5+E5)/2</f>
        <v>11</v>
      </c>
      <c r="D5" s="205">
        <v>11</v>
      </c>
      <c r="E5" s="206">
        <v>11</v>
      </c>
      <c r="F5" s="17">
        <v>3</v>
      </c>
      <c r="G5" s="18">
        <f>C5*F5</f>
        <v>33</v>
      </c>
      <c r="H5" s="202">
        <v>11.461538461538462</v>
      </c>
      <c r="I5" s="203">
        <v>11.461538461538462</v>
      </c>
      <c r="J5" s="35"/>
      <c r="K5" s="16" t="str">
        <f>IF(C5&lt;10,"D",IF(C5&lt;12,"C",IF(C5&lt;14,"C+",IF(C5&lt;15,"B",IF(C5&lt;16,"B+",IF(C5&lt;18,"A",IF(C5&lt;20,"A+")))))))</f>
        <v>C</v>
      </c>
      <c r="L5" s="15"/>
      <c r="M5" s="15"/>
      <c r="N5" s="19">
        <f>D5*F5</f>
        <v>33</v>
      </c>
      <c r="O5" s="19">
        <f>E5*F5</f>
        <v>33</v>
      </c>
    </row>
    <row r="6" spans="2:15" ht="32.25" thickBot="1" x14ac:dyDescent="0.3">
      <c r="B6" s="95" t="s">
        <v>115</v>
      </c>
      <c r="C6" s="16">
        <f t="shared" ref="C6:C9" si="0">(D6+E6)/2</f>
        <v>6</v>
      </c>
      <c r="D6" s="205">
        <v>6</v>
      </c>
      <c r="E6" s="206">
        <v>6</v>
      </c>
      <c r="F6" s="17">
        <v>1</v>
      </c>
      <c r="G6" s="18">
        <f t="shared" ref="G6:G9" si="1">C6*F6</f>
        <v>6</v>
      </c>
      <c r="H6" s="202">
        <v>7.1538461538461542</v>
      </c>
      <c r="I6" s="203">
        <v>7.1538461538461542</v>
      </c>
      <c r="J6" s="35"/>
      <c r="K6" s="16" t="str">
        <f t="shared" ref="K6:K9" si="2">IF(C6&lt;10,"D",IF(C6&lt;12,"C",IF(C6&lt;14,"C+",IF(C6&lt;15,"B",IF(C6&lt;16,"B+",IF(C6&lt;18,"A",IF(C6&lt;20,"A+")))))))</f>
        <v>D</v>
      </c>
      <c r="L6" s="15"/>
      <c r="M6" s="15"/>
      <c r="N6" s="19">
        <f t="shared" ref="N6:N9" si="3">D6*F6</f>
        <v>6</v>
      </c>
      <c r="O6" s="19">
        <f t="shared" ref="O6:O9" si="4">E6*F6</f>
        <v>6</v>
      </c>
    </row>
    <row r="7" spans="2:15" ht="32.25" thickBot="1" x14ac:dyDescent="0.3">
      <c r="B7" s="95" t="s">
        <v>116</v>
      </c>
      <c r="C7" s="16">
        <f t="shared" si="0"/>
        <v>11</v>
      </c>
      <c r="D7" s="205">
        <v>11</v>
      </c>
      <c r="E7" s="206">
        <v>11</v>
      </c>
      <c r="F7" s="17">
        <v>2</v>
      </c>
      <c r="G7" s="18">
        <f t="shared" si="1"/>
        <v>22</v>
      </c>
      <c r="H7" s="202">
        <v>10.423076923076923</v>
      </c>
      <c r="I7" s="203">
        <v>10.423076923076923</v>
      </c>
      <c r="J7" s="35"/>
      <c r="K7" s="16" t="str">
        <f t="shared" si="2"/>
        <v>C</v>
      </c>
      <c r="L7" s="15"/>
      <c r="M7" s="15"/>
      <c r="N7" s="19">
        <f t="shared" si="3"/>
        <v>22</v>
      </c>
      <c r="O7" s="19">
        <f t="shared" si="4"/>
        <v>22</v>
      </c>
    </row>
    <row r="8" spans="2:15" ht="32.25" thickBot="1" x14ac:dyDescent="0.3">
      <c r="B8" s="95" t="s">
        <v>117</v>
      </c>
      <c r="C8" s="16">
        <f t="shared" si="0"/>
        <v>11</v>
      </c>
      <c r="D8" s="205">
        <v>11</v>
      </c>
      <c r="E8" s="206">
        <v>11</v>
      </c>
      <c r="F8" s="17">
        <v>1</v>
      </c>
      <c r="G8" s="18">
        <f t="shared" si="1"/>
        <v>11</v>
      </c>
      <c r="H8" s="202">
        <v>9.2307692307692299</v>
      </c>
      <c r="I8" s="203">
        <v>9.2307692307692299</v>
      </c>
      <c r="J8" s="35"/>
      <c r="K8" s="16" t="str">
        <f t="shared" si="2"/>
        <v>C</v>
      </c>
      <c r="L8" s="15"/>
      <c r="M8" s="15"/>
      <c r="N8" s="19">
        <f t="shared" si="3"/>
        <v>11</v>
      </c>
      <c r="O8" s="19">
        <f t="shared" si="4"/>
        <v>11</v>
      </c>
    </row>
    <row r="9" spans="2:15" ht="32.25" thickBot="1" x14ac:dyDescent="0.3">
      <c r="B9" s="95" t="s">
        <v>64</v>
      </c>
      <c r="C9" s="16">
        <f t="shared" si="0"/>
        <v>10</v>
      </c>
      <c r="D9" s="205">
        <v>10</v>
      </c>
      <c r="E9" s="206">
        <v>10</v>
      </c>
      <c r="F9" s="17">
        <v>2</v>
      </c>
      <c r="G9" s="18">
        <f t="shared" si="1"/>
        <v>20</v>
      </c>
      <c r="H9" s="202">
        <v>9.9230769230769234</v>
      </c>
      <c r="I9" s="203">
        <v>9.9230769230769234</v>
      </c>
      <c r="J9" s="35"/>
      <c r="K9" s="16" t="str">
        <f t="shared" si="2"/>
        <v>C</v>
      </c>
      <c r="L9" s="15"/>
      <c r="M9" s="15"/>
      <c r="N9" s="19">
        <f t="shared" si="3"/>
        <v>20</v>
      </c>
      <c r="O9" s="19">
        <f t="shared" si="4"/>
        <v>20</v>
      </c>
    </row>
    <row r="10" spans="2:15" ht="16.5" thickBot="1" x14ac:dyDescent="0.3">
      <c r="B10" s="207" t="s">
        <v>30</v>
      </c>
      <c r="C10" s="208"/>
      <c r="D10" s="208"/>
      <c r="E10" s="208"/>
      <c r="F10" s="208"/>
      <c r="G10" s="208"/>
      <c r="H10" s="208"/>
      <c r="I10" s="208"/>
      <c r="J10" s="208"/>
      <c r="K10" s="209"/>
      <c r="L10" s="15"/>
      <c r="M10" s="15"/>
      <c r="N10" s="15"/>
      <c r="O10" s="15"/>
    </row>
    <row r="11" spans="2:15" ht="16.5" thickBot="1" x14ac:dyDescent="0.3">
      <c r="B11" s="20" t="s">
        <v>31</v>
      </c>
      <c r="C11" s="195">
        <f>(SUM(G5:G9)/SUM(F5:F9))</f>
        <v>10.222222222222221</v>
      </c>
      <c r="D11" s="195"/>
      <c r="E11" s="195"/>
      <c r="F11" s="196" t="s">
        <v>32</v>
      </c>
      <c r="G11" s="196"/>
      <c r="H11" s="98"/>
      <c r="I11" s="190"/>
      <c r="J11" s="190"/>
      <c r="K11" s="197"/>
      <c r="L11" s="15"/>
      <c r="M11" s="15"/>
      <c r="N11" s="15"/>
      <c r="O11" s="15"/>
    </row>
    <row r="12" spans="2:15" ht="16.5" thickBot="1" x14ac:dyDescent="0.3">
      <c r="B12" s="198"/>
      <c r="C12" s="199"/>
      <c r="D12" s="199"/>
      <c r="E12" s="199"/>
      <c r="F12" s="199"/>
      <c r="G12" s="199"/>
      <c r="H12" s="199"/>
      <c r="I12" s="199"/>
      <c r="J12" s="199"/>
      <c r="K12" s="201"/>
      <c r="L12" s="15"/>
      <c r="M12" s="15"/>
      <c r="N12" s="15"/>
      <c r="O12" s="15"/>
    </row>
    <row r="13" spans="2:15" ht="32.25" thickBot="1" x14ac:dyDescent="0.3">
      <c r="B13" s="95" t="s">
        <v>65</v>
      </c>
      <c r="C13" s="16">
        <f t="shared" ref="C13:C16" si="5">(D13+E13)/2</f>
        <v>10</v>
      </c>
      <c r="D13" s="205">
        <v>10</v>
      </c>
      <c r="E13" s="206">
        <v>10</v>
      </c>
      <c r="F13" s="17">
        <v>2</v>
      </c>
      <c r="G13" s="18">
        <f t="shared" ref="G13:G16" si="6">C13*F13</f>
        <v>20</v>
      </c>
      <c r="H13" s="202">
        <v>11.384615384615385</v>
      </c>
      <c r="I13" s="203">
        <v>11.384615384615385</v>
      </c>
      <c r="J13" s="35"/>
      <c r="K13" s="16" t="str">
        <f t="shared" ref="K13:K16" si="7">IF(C13&lt;10,"D",IF(C13&lt;12,"C",IF(C13&lt;14,"C+",IF(C13&lt;15,"B",IF(C13&lt;16,"B+",IF(C13&lt;18,"A",IF(C13&lt;20,"A+")))))))</f>
        <v>C</v>
      </c>
      <c r="L13" s="15"/>
      <c r="M13" s="15"/>
      <c r="N13" s="19">
        <f t="shared" ref="N13:N16" si="8">D13*F13</f>
        <v>20</v>
      </c>
      <c r="O13" s="19">
        <f t="shared" ref="O13:O16" si="9">E13*F13</f>
        <v>20</v>
      </c>
    </row>
    <row r="14" spans="2:15" ht="32.25" thickBot="1" x14ac:dyDescent="0.3">
      <c r="B14" s="95" t="s">
        <v>118</v>
      </c>
      <c r="C14" s="16">
        <f t="shared" si="5"/>
        <v>11</v>
      </c>
      <c r="D14" s="205">
        <v>11</v>
      </c>
      <c r="E14" s="206">
        <v>11</v>
      </c>
      <c r="F14" s="17">
        <v>2</v>
      </c>
      <c r="G14" s="18">
        <f t="shared" si="6"/>
        <v>22</v>
      </c>
      <c r="H14" s="202">
        <v>10.692307692307692</v>
      </c>
      <c r="I14" s="203">
        <v>10.692307692307692</v>
      </c>
      <c r="J14" s="35"/>
      <c r="K14" s="16" t="str">
        <f t="shared" si="7"/>
        <v>C</v>
      </c>
      <c r="L14" s="15"/>
      <c r="M14" s="15"/>
      <c r="N14" s="19">
        <f t="shared" si="8"/>
        <v>22</v>
      </c>
      <c r="O14" s="19">
        <f t="shared" si="9"/>
        <v>22</v>
      </c>
    </row>
    <row r="15" spans="2:15" ht="32.25" thickBot="1" x14ac:dyDescent="0.3">
      <c r="B15" s="95" t="s">
        <v>119</v>
      </c>
      <c r="C15" s="16">
        <f t="shared" si="5"/>
        <v>10</v>
      </c>
      <c r="D15" s="205">
        <v>10</v>
      </c>
      <c r="E15" s="206">
        <v>10</v>
      </c>
      <c r="F15" s="17">
        <v>2</v>
      </c>
      <c r="G15" s="18">
        <f t="shared" si="6"/>
        <v>20</v>
      </c>
      <c r="H15" s="202">
        <v>11.692307692307692</v>
      </c>
      <c r="I15" s="203">
        <v>11.692307692307692</v>
      </c>
      <c r="J15" s="35"/>
      <c r="K15" s="16" t="str">
        <f t="shared" si="7"/>
        <v>C</v>
      </c>
      <c r="L15" s="15"/>
      <c r="M15" s="15"/>
      <c r="N15" s="19">
        <f t="shared" si="8"/>
        <v>20</v>
      </c>
      <c r="O15" s="19">
        <f t="shared" si="9"/>
        <v>20</v>
      </c>
    </row>
    <row r="16" spans="2:15" ht="32.25" thickBot="1" x14ac:dyDescent="0.3">
      <c r="B16" s="95" t="s">
        <v>66</v>
      </c>
      <c r="C16" s="16">
        <f t="shared" si="5"/>
        <v>16</v>
      </c>
      <c r="D16" s="205">
        <v>16</v>
      </c>
      <c r="E16" s="206">
        <v>16</v>
      </c>
      <c r="F16" s="17">
        <v>1</v>
      </c>
      <c r="G16" s="18">
        <f t="shared" si="6"/>
        <v>16</v>
      </c>
      <c r="H16" s="202">
        <v>16</v>
      </c>
      <c r="I16" s="203"/>
      <c r="J16" s="35"/>
      <c r="K16" s="16" t="str">
        <f t="shared" si="7"/>
        <v>A</v>
      </c>
      <c r="L16" s="15"/>
      <c r="M16" s="15"/>
      <c r="N16" s="19">
        <f t="shared" si="8"/>
        <v>16</v>
      </c>
      <c r="O16" s="19">
        <f t="shared" si="9"/>
        <v>16</v>
      </c>
    </row>
    <row r="17" spans="2:15" ht="16.5" thickBot="1" x14ac:dyDescent="0.3">
      <c r="B17" s="207" t="s">
        <v>33</v>
      </c>
      <c r="C17" s="208"/>
      <c r="D17" s="208"/>
      <c r="E17" s="208"/>
      <c r="F17" s="208"/>
      <c r="G17" s="208"/>
      <c r="H17" s="208"/>
      <c r="I17" s="208"/>
      <c r="J17" s="208"/>
      <c r="K17" s="209"/>
      <c r="L17" s="15"/>
      <c r="M17" s="15"/>
      <c r="N17" s="15"/>
      <c r="O17" s="15"/>
    </row>
    <row r="18" spans="2:15" ht="16.5" thickBot="1" x14ac:dyDescent="0.3">
      <c r="B18" s="20" t="s">
        <v>34</v>
      </c>
      <c r="C18" s="195">
        <f>(SUM(G13:G16)/SUM(F13:F16))</f>
        <v>11.142857142857142</v>
      </c>
      <c r="D18" s="195"/>
      <c r="E18" s="195"/>
      <c r="F18" s="196" t="s">
        <v>32</v>
      </c>
      <c r="G18" s="196"/>
      <c r="H18" s="98"/>
      <c r="I18" s="190"/>
      <c r="J18" s="190"/>
      <c r="K18" s="197"/>
      <c r="L18" s="15"/>
      <c r="M18" s="15"/>
      <c r="N18" s="15"/>
      <c r="O18" s="15"/>
    </row>
    <row r="19" spans="2:15" ht="16.5" thickBot="1" x14ac:dyDescent="0.3">
      <c r="B19" s="210"/>
      <c r="C19" s="211"/>
      <c r="D19" s="211"/>
      <c r="E19" s="211"/>
      <c r="F19" s="211"/>
      <c r="G19" s="211"/>
      <c r="H19" s="211"/>
      <c r="I19" s="211"/>
      <c r="J19" s="211"/>
      <c r="K19" s="212"/>
      <c r="L19" s="15"/>
      <c r="M19" s="15"/>
      <c r="N19" s="15"/>
      <c r="O19" s="15"/>
    </row>
    <row r="20" spans="2:15" ht="32.25" thickBot="1" x14ac:dyDescent="0.3">
      <c r="B20" s="95" t="s">
        <v>69</v>
      </c>
      <c r="C20" s="16">
        <f t="shared" ref="C20:C23" si="10">(D20+E20)/2</f>
        <v>7</v>
      </c>
      <c r="D20" s="205">
        <v>7</v>
      </c>
      <c r="E20" s="206">
        <v>7</v>
      </c>
      <c r="F20" s="17">
        <v>2</v>
      </c>
      <c r="G20" s="18">
        <f t="shared" ref="G20:G23" si="11">C20*F20</f>
        <v>14</v>
      </c>
      <c r="H20" s="202">
        <v>8.2307692307692299</v>
      </c>
      <c r="I20" s="203">
        <v>8.2307692307692299</v>
      </c>
      <c r="J20" s="35"/>
      <c r="K20" s="16" t="str">
        <f t="shared" ref="K20:K23" si="12">IF(C20&lt;10,"D",IF(C20&lt;12,"C",IF(C20&lt;14,"C+",IF(C20&lt;15,"B",IF(C20&lt;16,"B+",IF(C20&lt;18,"A",IF(C20&lt;20,"A+")))))))</f>
        <v>D</v>
      </c>
      <c r="L20" s="15"/>
      <c r="M20" s="15"/>
      <c r="N20" s="19">
        <f t="shared" ref="N20:N23" si="13">D20*F20</f>
        <v>14</v>
      </c>
      <c r="O20" s="19">
        <f t="shared" ref="O20:O23" si="14">E20*F20</f>
        <v>14</v>
      </c>
    </row>
    <row r="21" spans="2:15" ht="32.25" thickBot="1" x14ac:dyDescent="0.3">
      <c r="B21" s="95" t="s">
        <v>70</v>
      </c>
      <c r="C21" s="16">
        <f t="shared" si="10"/>
        <v>4.5</v>
      </c>
      <c r="D21" s="205">
        <v>4.5</v>
      </c>
      <c r="E21" s="206">
        <v>4.5</v>
      </c>
      <c r="F21" s="17">
        <v>4</v>
      </c>
      <c r="G21" s="18">
        <f t="shared" si="11"/>
        <v>18</v>
      </c>
      <c r="H21" s="202">
        <v>4.2692307692307692</v>
      </c>
      <c r="I21" s="203">
        <v>4.2692307692307692</v>
      </c>
      <c r="J21" s="35"/>
      <c r="K21" s="16" t="str">
        <f t="shared" si="12"/>
        <v>D</v>
      </c>
      <c r="L21" s="15"/>
      <c r="M21" s="15"/>
      <c r="N21" s="19">
        <f t="shared" si="13"/>
        <v>18</v>
      </c>
      <c r="O21" s="19">
        <f t="shared" si="14"/>
        <v>18</v>
      </c>
    </row>
    <row r="22" spans="2:15" ht="32.25" thickBot="1" x14ac:dyDescent="0.3">
      <c r="B22" s="95" t="s">
        <v>120</v>
      </c>
      <c r="C22" s="16">
        <f t="shared" si="10"/>
        <v>4</v>
      </c>
      <c r="D22" s="205">
        <v>4</v>
      </c>
      <c r="E22" s="206">
        <v>4</v>
      </c>
      <c r="F22" s="17">
        <v>2</v>
      </c>
      <c r="G22" s="18">
        <f t="shared" si="11"/>
        <v>8</v>
      </c>
      <c r="H22" s="202">
        <v>5.6538461538461542</v>
      </c>
      <c r="I22" s="203">
        <v>5.6538461538461542</v>
      </c>
      <c r="J22" s="35"/>
      <c r="K22" s="16" t="str">
        <f t="shared" si="12"/>
        <v>D</v>
      </c>
      <c r="L22" s="15"/>
      <c r="M22" s="15"/>
      <c r="N22" s="19">
        <f t="shared" si="13"/>
        <v>8</v>
      </c>
      <c r="O22" s="19">
        <f t="shared" si="14"/>
        <v>8</v>
      </c>
    </row>
    <row r="23" spans="2:15" ht="32.25" thickBot="1" x14ac:dyDescent="0.3">
      <c r="B23" s="95" t="s">
        <v>71</v>
      </c>
      <c r="C23" s="16">
        <f t="shared" si="10"/>
        <v>10</v>
      </c>
      <c r="D23" s="205">
        <v>10</v>
      </c>
      <c r="E23" s="206">
        <v>10</v>
      </c>
      <c r="F23" s="17">
        <v>2</v>
      </c>
      <c r="G23" s="18">
        <f t="shared" si="11"/>
        <v>20</v>
      </c>
      <c r="H23" s="202">
        <v>9.7692307692307701</v>
      </c>
      <c r="I23" s="203">
        <v>9.7692307692307701</v>
      </c>
      <c r="J23" s="35"/>
      <c r="K23" s="16" t="str">
        <f t="shared" si="12"/>
        <v>C</v>
      </c>
      <c r="L23" s="15"/>
      <c r="M23" s="15"/>
      <c r="N23" s="19">
        <f t="shared" si="13"/>
        <v>20</v>
      </c>
      <c r="O23" s="19">
        <f t="shared" si="14"/>
        <v>20</v>
      </c>
    </row>
    <row r="24" spans="2:15" ht="16.5" thickBot="1" x14ac:dyDescent="0.3">
      <c r="B24" s="207" t="s">
        <v>35</v>
      </c>
      <c r="C24" s="208"/>
      <c r="D24" s="208"/>
      <c r="E24" s="208"/>
      <c r="F24" s="208"/>
      <c r="G24" s="208"/>
      <c r="H24" s="208"/>
      <c r="I24" s="208"/>
      <c r="J24" s="208"/>
      <c r="K24" s="209"/>
      <c r="L24" s="15"/>
      <c r="M24" s="15"/>
      <c r="N24" s="15"/>
      <c r="O24" s="15"/>
    </row>
    <row r="25" spans="2:15" ht="16.5" thickBot="1" x14ac:dyDescent="0.3">
      <c r="B25" s="20" t="s">
        <v>31</v>
      </c>
      <c r="C25" s="195">
        <f>(SUM(G20:G23)/SUM(F20:F23))</f>
        <v>6</v>
      </c>
      <c r="D25" s="195"/>
      <c r="E25" s="195"/>
      <c r="F25" s="196" t="s">
        <v>32</v>
      </c>
      <c r="G25" s="196"/>
      <c r="H25" s="98"/>
      <c r="I25" s="190"/>
      <c r="J25" s="190"/>
      <c r="K25" s="197"/>
      <c r="L25" s="15"/>
      <c r="M25" s="15"/>
      <c r="N25" s="15"/>
      <c r="O25" s="15"/>
    </row>
    <row r="26" spans="2:15" ht="16.5" thickBot="1" x14ac:dyDescent="0.3">
      <c r="B26" s="198"/>
      <c r="C26" s="199"/>
      <c r="D26" s="199"/>
      <c r="E26" s="199"/>
      <c r="F26" s="199"/>
      <c r="G26" s="199"/>
      <c r="H26" s="200"/>
      <c r="I26" s="200"/>
      <c r="J26" s="200"/>
      <c r="K26" s="201"/>
      <c r="L26" s="15"/>
      <c r="M26" s="15"/>
      <c r="N26" s="15"/>
      <c r="O26" s="15"/>
    </row>
    <row r="27" spans="2:15" ht="32.25" thickBot="1" x14ac:dyDescent="0.3">
      <c r="B27" s="95" t="s">
        <v>67</v>
      </c>
      <c r="C27" s="16">
        <f t="shared" ref="C27:C30" si="15">(D27+E27)/2</f>
        <v>16</v>
      </c>
      <c r="D27" s="205">
        <v>16</v>
      </c>
      <c r="E27" s="206">
        <v>16</v>
      </c>
      <c r="F27" s="17">
        <v>1</v>
      </c>
      <c r="G27" s="18">
        <f t="shared" ref="G27:G30" si="16">C27*F27</f>
        <v>16</v>
      </c>
      <c r="H27" s="202">
        <v>16</v>
      </c>
      <c r="I27" s="203">
        <v>16</v>
      </c>
      <c r="J27" s="35"/>
      <c r="K27" s="16" t="str">
        <f t="shared" ref="K27:K30" si="17">IF(C27&lt;10,"D",IF(C27&lt;12,"C",IF(C27&lt;14,"C+",IF(C27&lt;15,"B",IF(C27&lt;16,"B+",IF(C27&lt;18,"A",IF(C27&lt;20,"A+")))))))</f>
        <v>A</v>
      </c>
      <c r="L27" s="15"/>
      <c r="M27" s="15"/>
      <c r="N27" s="19">
        <f t="shared" ref="N27:N30" si="18">D27*F27</f>
        <v>16</v>
      </c>
      <c r="O27" s="19">
        <f t="shared" ref="O27:O30" si="19">E27*F27</f>
        <v>16</v>
      </c>
    </row>
    <row r="28" spans="2:15" ht="32.25" thickBot="1" x14ac:dyDescent="0.3">
      <c r="B28" s="95" t="s">
        <v>122</v>
      </c>
      <c r="C28" s="16">
        <f t="shared" si="15"/>
        <v>17</v>
      </c>
      <c r="D28" s="205">
        <v>17</v>
      </c>
      <c r="E28" s="206">
        <v>17</v>
      </c>
      <c r="F28" s="17">
        <v>2</v>
      </c>
      <c r="G28" s="18">
        <f t="shared" si="16"/>
        <v>34</v>
      </c>
      <c r="H28" s="202">
        <v>15.846153846153847</v>
      </c>
      <c r="I28" s="203">
        <v>15.846153846153847</v>
      </c>
      <c r="J28" s="35"/>
      <c r="K28" s="16" t="str">
        <f t="shared" si="17"/>
        <v>A</v>
      </c>
      <c r="L28" s="15"/>
      <c r="M28" s="15"/>
      <c r="N28" s="19">
        <f t="shared" si="18"/>
        <v>34</v>
      </c>
      <c r="O28" s="19">
        <f t="shared" si="19"/>
        <v>34</v>
      </c>
    </row>
    <row r="29" spans="2:15" ht="32.25" thickBot="1" x14ac:dyDescent="0.3">
      <c r="B29" s="95" t="s">
        <v>72</v>
      </c>
      <c r="C29" s="16">
        <f t="shared" si="15"/>
        <v>15</v>
      </c>
      <c r="D29" s="205">
        <v>15</v>
      </c>
      <c r="E29" s="206">
        <v>15</v>
      </c>
      <c r="F29" s="17">
        <v>1</v>
      </c>
      <c r="G29" s="18">
        <f t="shared" si="16"/>
        <v>15</v>
      </c>
      <c r="H29" s="202">
        <v>12.76923076923077</v>
      </c>
      <c r="I29" s="203">
        <v>12.76923076923077</v>
      </c>
      <c r="J29" s="35"/>
      <c r="K29" s="16" t="str">
        <f t="shared" si="17"/>
        <v>B+</v>
      </c>
      <c r="L29" s="15"/>
      <c r="M29" s="15"/>
      <c r="N29" s="19">
        <f t="shared" si="18"/>
        <v>15</v>
      </c>
      <c r="O29" s="19">
        <f t="shared" si="19"/>
        <v>15</v>
      </c>
    </row>
    <row r="30" spans="2:15" ht="32.25" thickBot="1" x14ac:dyDescent="0.3">
      <c r="B30" s="95" t="s">
        <v>121</v>
      </c>
      <c r="C30" s="16">
        <f>D30</f>
        <v>17</v>
      </c>
      <c r="D30" s="205">
        <v>17</v>
      </c>
      <c r="E30" s="206"/>
      <c r="F30" s="17">
        <v>1</v>
      </c>
      <c r="G30" s="18">
        <f t="shared" si="16"/>
        <v>17</v>
      </c>
      <c r="H30" s="202">
        <v>17</v>
      </c>
      <c r="I30" s="203"/>
      <c r="J30" s="35"/>
      <c r="K30" s="16" t="str">
        <f t="shared" si="17"/>
        <v>A</v>
      </c>
      <c r="L30" s="15"/>
      <c r="M30" s="15"/>
      <c r="N30" s="19">
        <f t="shared" si="18"/>
        <v>17</v>
      </c>
      <c r="O30" s="19">
        <f t="shared" si="19"/>
        <v>0</v>
      </c>
    </row>
    <row r="31" spans="2:15" ht="16.5" thickBot="1" x14ac:dyDescent="0.3">
      <c r="B31" s="95" t="s">
        <v>36</v>
      </c>
      <c r="C31" s="96"/>
      <c r="D31" s="96"/>
      <c r="E31" s="96"/>
      <c r="F31" s="96"/>
      <c r="G31" s="96"/>
      <c r="H31" s="96"/>
      <c r="I31" s="96"/>
      <c r="J31" s="96"/>
      <c r="K31" s="97"/>
      <c r="L31" s="15"/>
      <c r="M31" s="15"/>
      <c r="N31" s="15">
        <f>SUM(N5:N30)</f>
        <v>312</v>
      </c>
      <c r="O31" s="15">
        <f>SUM(O5:O30)</f>
        <v>295</v>
      </c>
    </row>
    <row r="32" spans="2:15" ht="16.5" thickBot="1" x14ac:dyDescent="0.3">
      <c r="B32" s="21" t="s">
        <v>34</v>
      </c>
      <c r="C32" s="195">
        <f>(SUM(G27:G30)/SUM(F27:F30))</f>
        <v>16.399999999999999</v>
      </c>
      <c r="D32" s="195"/>
      <c r="E32" s="195"/>
      <c r="F32" s="204" t="s">
        <v>32</v>
      </c>
      <c r="G32" s="204"/>
      <c r="H32" s="99"/>
      <c r="I32" s="163"/>
      <c r="J32" s="163"/>
      <c r="K32" s="164"/>
      <c r="L32" s="15"/>
      <c r="M32" s="15"/>
      <c r="N32" s="15">
        <v>31</v>
      </c>
      <c r="O32" s="15">
        <v>31</v>
      </c>
    </row>
    <row r="33" spans="2:15" ht="16.5" thickBot="1" x14ac:dyDescent="0.3">
      <c r="B33" s="178"/>
      <c r="C33" s="179"/>
      <c r="D33" s="179"/>
      <c r="E33" s="179"/>
      <c r="F33" s="179"/>
      <c r="G33" s="179"/>
      <c r="H33" s="179"/>
      <c r="I33" s="179"/>
      <c r="J33" s="179"/>
      <c r="K33" s="180"/>
      <c r="L33" s="15"/>
      <c r="M33" s="15"/>
      <c r="N33" s="15">
        <f>N31/N32</f>
        <v>10.064516129032258</v>
      </c>
      <c r="O33" s="15">
        <f>O31/O32</f>
        <v>9.5161290322580641</v>
      </c>
    </row>
    <row r="34" spans="2:15" ht="48" thickBot="1" x14ac:dyDescent="0.3">
      <c r="B34" s="22" t="s">
        <v>37</v>
      </c>
      <c r="C34" s="23" t="s">
        <v>38</v>
      </c>
      <c r="D34" s="99">
        <v>10.220000000000001</v>
      </c>
      <c r="E34" s="24" t="s">
        <v>39</v>
      </c>
      <c r="F34" s="190">
        <v>11.9</v>
      </c>
      <c r="G34" s="190"/>
      <c r="H34" s="24" t="s">
        <v>40</v>
      </c>
      <c r="I34" s="190">
        <v>8.4499999999999993</v>
      </c>
      <c r="J34" s="190"/>
      <c r="K34" s="25"/>
      <c r="L34" s="26"/>
      <c r="M34" s="26"/>
      <c r="N34" s="26"/>
      <c r="O34" s="26"/>
    </row>
    <row r="35" spans="2:15" ht="15.75" x14ac:dyDescent="0.25">
      <c r="B35" s="74"/>
      <c r="C35" s="193" t="s">
        <v>130</v>
      </c>
      <c r="D35" s="193"/>
      <c r="E35" s="75"/>
      <c r="F35" s="75"/>
      <c r="G35" s="76"/>
      <c r="H35" s="145"/>
      <c r="I35" s="146"/>
      <c r="J35" s="146"/>
      <c r="K35" s="147"/>
      <c r="L35" s="15"/>
      <c r="M35" s="15"/>
      <c r="N35" s="15"/>
      <c r="O35" s="15"/>
    </row>
    <row r="36" spans="2:15" ht="15.75" x14ac:dyDescent="0.25">
      <c r="B36" s="77" t="s">
        <v>41</v>
      </c>
      <c r="C36" s="194">
        <f>N33</f>
        <v>10.064516129032258</v>
      </c>
      <c r="D36" s="194"/>
      <c r="E36" s="79" t="s">
        <v>131</v>
      </c>
      <c r="F36" s="80">
        <f>(G5+G6+G7+G8+G9+G13+G14+G15+G20+G16+G21+G22+G23+G27+G28+G29+G30)/31</f>
        <v>10.064516129032258</v>
      </c>
      <c r="G36" s="81" t="s">
        <v>42</v>
      </c>
      <c r="H36" s="191" t="s">
        <v>43</v>
      </c>
      <c r="I36" s="192"/>
      <c r="J36" s="27" t="s">
        <v>145</v>
      </c>
      <c r="K36" s="28" t="s">
        <v>113</v>
      </c>
      <c r="L36" s="15"/>
      <c r="M36" s="15"/>
      <c r="N36" s="15"/>
      <c r="O36" s="15"/>
    </row>
    <row r="37" spans="2:15" ht="12.75" customHeight="1" x14ac:dyDescent="0.25">
      <c r="B37" s="77"/>
      <c r="C37" s="78"/>
      <c r="D37" s="78"/>
      <c r="E37" s="79"/>
      <c r="F37" s="80"/>
      <c r="G37" s="81"/>
      <c r="H37" s="100"/>
      <c r="I37" s="101"/>
      <c r="J37" s="27"/>
      <c r="K37" s="28"/>
      <c r="L37" s="15"/>
      <c r="M37" s="15"/>
      <c r="N37" s="15"/>
      <c r="O37" s="15"/>
    </row>
    <row r="38" spans="2:15" ht="18" customHeight="1" x14ac:dyDescent="0.25">
      <c r="B38" s="102" t="s">
        <v>132</v>
      </c>
      <c r="C38" s="103" t="s">
        <v>133</v>
      </c>
      <c r="D38" s="103" t="s">
        <v>134</v>
      </c>
      <c r="E38" s="104" t="s">
        <v>135</v>
      </c>
      <c r="F38" s="105">
        <f>AVERAGE(B39:C39:D39)</f>
        <v>9.2348387096774189</v>
      </c>
      <c r="G38" s="106" t="s">
        <v>42</v>
      </c>
      <c r="H38" s="171" t="s">
        <v>136</v>
      </c>
      <c r="I38" s="172"/>
      <c r="J38" s="173" t="s">
        <v>158</v>
      </c>
      <c r="K38" s="174"/>
      <c r="L38" s="15"/>
      <c r="M38" s="15"/>
      <c r="N38" s="15"/>
      <c r="O38" s="15"/>
    </row>
    <row r="39" spans="2:15" ht="18" customHeight="1" thickBot="1" x14ac:dyDescent="0.3">
      <c r="B39" s="107">
        <v>8.68</v>
      </c>
      <c r="C39" s="108">
        <v>8.9600000000000009</v>
      </c>
      <c r="D39" s="108">
        <f>F36</f>
        <v>10.064516129032258</v>
      </c>
      <c r="E39" s="109"/>
      <c r="F39" s="110"/>
      <c r="G39" s="111"/>
      <c r="H39" s="101"/>
      <c r="I39" s="101"/>
      <c r="J39" s="27"/>
      <c r="K39" s="28"/>
      <c r="L39" s="15"/>
      <c r="M39" s="15"/>
      <c r="N39" s="15"/>
      <c r="O39" s="15"/>
    </row>
    <row r="40" spans="2:15" ht="16.5" thickBot="1" x14ac:dyDescent="0.3">
      <c r="B40" s="175" t="s">
        <v>44</v>
      </c>
      <c r="C40" s="176"/>
      <c r="D40" s="176"/>
      <c r="E40" s="176"/>
      <c r="F40" s="176"/>
      <c r="G40" s="176"/>
      <c r="H40" s="176"/>
      <c r="I40" s="176"/>
      <c r="J40" s="176"/>
      <c r="K40" s="177"/>
      <c r="L40" s="15"/>
      <c r="M40" s="15"/>
      <c r="N40" s="15"/>
      <c r="O40" s="15"/>
    </row>
    <row r="41" spans="2:15" ht="16.5" thickBot="1" x14ac:dyDescent="0.3">
      <c r="B41" s="162" t="s">
        <v>45</v>
      </c>
      <c r="C41" s="163"/>
      <c r="D41" s="163"/>
      <c r="E41" s="163"/>
      <c r="F41" s="163"/>
      <c r="G41" s="163"/>
      <c r="H41" s="163"/>
      <c r="I41" s="163"/>
      <c r="J41" s="163"/>
      <c r="K41" s="164"/>
      <c r="L41" s="15"/>
      <c r="M41" s="15"/>
      <c r="N41" s="15"/>
      <c r="O41" s="15"/>
    </row>
    <row r="42" spans="2:15" ht="16.5" thickBot="1" x14ac:dyDescent="0.3">
      <c r="B42" s="22" t="s">
        <v>46</v>
      </c>
      <c r="C42" s="178" t="s">
        <v>47</v>
      </c>
      <c r="D42" s="179"/>
      <c r="E42" s="180"/>
      <c r="F42" s="165" t="s">
        <v>48</v>
      </c>
      <c r="G42" s="166"/>
      <c r="H42" s="166"/>
      <c r="I42" s="166"/>
      <c r="J42" s="166"/>
      <c r="K42" s="167"/>
      <c r="L42" s="15"/>
      <c r="M42" s="15"/>
      <c r="N42" s="15"/>
      <c r="O42" s="15"/>
    </row>
    <row r="43" spans="2:15" ht="16.5" thickBot="1" x14ac:dyDescent="0.3">
      <c r="B43" s="29" t="s">
        <v>49</v>
      </c>
      <c r="C43" s="181" t="str">
        <f>IF(F38&lt;10,"CNA",IF(F38&lt;12,"CMA",IF(F38&lt;14,"CA",IF(F38&lt;16,"CBA",IF(F38&lt;20,"CTBA")))))</f>
        <v>CNA</v>
      </c>
      <c r="D43" s="182" t="e">
        <f>IF(#REF!&lt;10,"D",IF(#REF!&lt;12,"C",IF(#REF!&lt;14,"C+",IF(#REF!&lt;15,"B",IF(#REF!&lt;16,"B+",IF(#REF!&lt;18,"A",IF(#REF!&lt;20,"A+")))))))</f>
        <v>#REF!</v>
      </c>
      <c r="E43" s="183" t="e">
        <f>IF(#REF!&lt;10,"D",IF(#REF!&lt;12,"C",IF(#REF!&lt;14,"C+",IF(#REF!&lt;15,"B",IF(#REF!&lt;16,"B+",IF(#REF!&lt;18,"A",IF(#REF!&lt;20,"A+")))))))</f>
        <v>#REF!</v>
      </c>
      <c r="F43" s="168"/>
      <c r="G43" s="169"/>
      <c r="H43" s="169"/>
      <c r="I43" s="169"/>
      <c r="J43" s="169"/>
      <c r="K43" s="170"/>
      <c r="L43" s="15"/>
      <c r="M43" s="15"/>
      <c r="N43" s="15"/>
      <c r="O43" s="15"/>
    </row>
    <row r="44" spans="2:15" ht="16.5" thickBot="1" x14ac:dyDescent="0.3">
      <c r="B44" s="30" t="s">
        <v>50</v>
      </c>
      <c r="C44" s="184" t="e">
        <f>IF(#REF!&lt;10,"D",IF(#REF!&lt;12,"C",IF(#REF!&lt;14,"C+",IF(#REF!&lt;15,"B",IF(#REF!&lt;16,"B+",IF(#REF!&lt;18,"A",IF(#REF!&lt;20,"A+")))))))</f>
        <v>#REF!</v>
      </c>
      <c r="D44" s="185" t="e">
        <f>IF(#REF!&lt;10,"D",IF(#REF!&lt;12,"C",IF(#REF!&lt;14,"C+",IF(#REF!&lt;15,"B",IF(#REF!&lt;16,"B+",IF(#REF!&lt;18,"A",IF(#REF!&lt;20,"A+")))))))</f>
        <v>#REF!</v>
      </c>
      <c r="E44" s="186" t="e">
        <f>IF(#REF!&lt;10,"D",IF(#REF!&lt;12,"C",IF(#REF!&lt;14,"C+",IF(#REF!&lt;15,"B",IF(#REF!&lt;16,"B+",IF(#REF!&lt;18,"A",IF(#REF!&lt;20,"A+")))))))</f>
        <v>#REF!</v>
      </c>
      <c r="F44" s="162" t="s">
        <v>51</v>
      </c>
      <c r="G44" s="163"/>
      <c r="H44" s="163"/>
      <c r="I44" s="164"/>
      <c r="J44" s="165" t="s">
        <v>52</v>
      </c>
      <c r="K44" s="167"/>
      <c r="L44" s="15"/>
      <c r="M44" s="15"/>
      <c r="N44" s="15"/>
      <c r="O44" s="15"/>
    </row>
    <row r="45" spans="2:15" ht="16.5" thickBot="1" x14ac:dyDescent="0.3">
      <c r="B45" s="31" t="s">
        <v>53</v>
      </c>
      <c r="C45" s="187" t="e">
        <f>IF(#REF!&lt;10,"D",IF(#REF!&lt;12,"C",IF(#REF!&lt;14,"C+",IF(#REF!&lt;15,"B",IF(#REF!&lt;16,"B+",IF(#REF!&lt;18,"A",IF(#REF!&lt;20,"A+")))))))</f>
        <v>#REF!</v>
      </c>
      <c r="D45" s="188" t="e">
        <f>IF(#REF!&lt;10,"D",IF(#REF!&lt;12,"C",IF(#REF!&lt;14,"C+",IF(#REF!&lt;15,"B",IF(#REF!&lt;16,"B+",IF(#REF!&lt;18,"A",IF(#REF!&lt;20,"A+")))))))</f>
        <v>#REF!</v>
      </c>
      <c r="E45" s="189" t="e">
        <f>IF(#REF!&lt;10,"D",IF(#REF!&lt;12,"C",IF(#REF!&lt;14,"C+",IF(#REF!&lt;15,"B",IF(#REF!&lt;16,"B+",IF(#REF!&lt;18,"A",IF(#REF!&lt;20,"A+")))))))</f>
        <v>#REF!</v>
      </c>
      <c r="F45" s="162" t="s">
        <v>54</v>
      </c>
      <c r="G45" s="163"/>
      <c r="H45" s="163"/>
      <c r="I45" s="164"/>
      <c r="J45" s="160" t="s">
        <v>55</v>
      </c>
      <c r="K45" s="161"/>
      <c r="L45" s="15"/>
      <c r="M45" s="15"/>
      <c r="N45" s="15"/>
      <c r="O45" s="15"/>
    </row>
    <row r="46" spans="2:15" ht="16.5" thickBot="1" x14ac:dyDescent="0.3">
      <c r="B46" s="23" t="s">
        <v>56</v>
      </c>
      <c r="C46" s="165" t="s">
        <v>57</v>
      </c>
      <c r="D46" s="166"/>
      <c r="E46" s="167"/>
      <c r="F46" s="162" t="s">
        <v>58</v>
      </c>
      <c r="G46" s="163"/>
      <c r="H46" s="163"/>
      <c r="I46" s="164"/>
      <c r="J46" s="160"/>
      <c r="K46" s="161"/>
      <c r="L46" s="15"/>
      <c r="M46" s="15"/>
      <c r="N46" s="15"/>
      <c r="O46" s="15"/>
    </row>
    <row r="47" spans="2:15" ht="16.5" thickBot="1" x14ac:dyDescent="0.3">
      <c r="B47" s="23" t="s">
        <v>59</v>
      </c>
      <c r="C47" s="168"/>
      <c r="D47" s="169"/>
      <c r="E47" s="170"/>
      <c r="F47" s="162" t="s">
        <v>60</v>
      </c>
      <c r="G47" s="163"/>
      <c r="H47" s="163"/>
      <c r="I47" s="164"/>
      <c r="J47" s="154" t="s">
        <v>61</v>
      </c>
      <c r="K47" s="155"/>
      <c r="L47" s="15"/>
      <c r="M47" s="15"/>
      <c r="N47" s="15"/>
      <c r="O47" s="15"/>
    </row>
    <row r="48" spans="2:15" ht="31.5" x14ac:dyDescent="0.25">
      <c r="B48" s="22" t="s">
        <v>62</v>
      </c>
      <c r="C48" s="145"/>
      <c r="D48" s="146"/>
      <c r="E48" s="147"/>
      <c r="F48" s="145"/>
      <c r="G48" s="146"/>
      <c r="H48" s="146"/>
      <c r="I48" s="147"/>
      <c r="J48" s="154" t="s">
        <v>63</v>
      </c>
      <c r="K48" s="155"/>
      <c r="L48" s="15"/>
      <c r="M48" s="15"/>
      <c r="N48" s="15"/>
      <c r="O48" s="15"/>
    </row>
    <row r="49" spans="2:15" ht="15.75" x14ac:dyDescent="0.25">
      <c r="B49" s="32"/>
      <c r="C49" s="148"/>
      <c r="D49" s="149"/>
      <c r="E49" s="150"/>
      <c r="F49" s="148"/>
      <c r="G49" s="149"/>
      <c r="H49" s="149"/>
      <c r="I49" s="150"/>
      <c r="J49" s="156"/>
      <c r="K49" s="157"/>
      <c r="L49" s="15"/>
      <c r="M49" s="15"/>
      <c r="N49" s="15"/>
      <c r="O49" s="15"/>
    </row>
    <row r="50" spans="2:15" ht="15.75" x14ac:dyDescent="0.25">
      <c r="B50" s="32"/>
      <c r="C50" s="148"/>
      <c r="D50" s="149"/>
      <c r="E50" s="150"/>
      <c r="F50" s="148"/>
      <c r="G50" s="149"/>
      <c r="H50" s="149"/>
      <c r="I50" s="150"/>
      <c r="J50" s="156"/>
      <c r="K50" s="157"/>
      <c r="L50" s="15"/>
      <c r="M50" s="15"/>
      <c r="N50" s="15"/>
      <c r="O50" s="15"/>
    </row>
    <row r="51" spans="2:15" ht="16.5" thickBot="1" x14ac:dyDescent="0.3">
      <c r="B51" s="31"/>
      <c r="C51" s="151"/>
      <c r="D51" s="152"/>
      <c r="E51" s="153"/>
      <c r="F51" s="151"/>
      <c r="G51" s="152"/>
      <c r="H51" s="152"/>
      <c r="I51" s="153"/>
      <c r="J51" s="158"/>
      <c r="K51" s="159"/>
      <c r="L51" s="15"/>
      <c r="M51" s="15"/>
      <c r="N51" s="15"/>
      <c r="O51" s="15"/>
    </row>
  </sheetData>
  <mergeCells count="83">
    <mergeCell ref="J50:K50"/>
    <mergeCell ref="J51:K51"/>
    <mergeCell ref="D22:E22"/>
    <mergeCell ref="D23:E23"/>
    <mergeCell ref="D27:E27"/>
    <mergeCell ref="D28:E28"/>
    <mergeCell ref="D29:E29"/>
    <mergeCell ref="B24:K24"/>
    <mergeCell ref="B33:K33"/>
    <mergeCell ref="C25:E25"/>
    <mergeCell ref="F25:G25"/>
    <mergeCell ref="I25:K25"/>
    <mergeCell ref="B26:K26"/>
    <mergeCell ref="H27:I27"/>
    <mergeCell ref="H28:I28"/>
    <mergeCell ref="H29:I29"/>
    <mergeCell ref="D8:E8"/>
    <mergeCell ref="D9:E9"/>
    <mergeCell ref="D13:E13"/>
    <mergeCell ref="D14:E14"/>
    <mergeCell ref="D15:E15"/>
    <mergeCell ref="H13:I13"/>
    <mergeCell ref="H4:I4"/>
    <mergeCell ref="H5:I5"/>
    <mergeCell ref="H6:I6"/>
    <mergeCell ref="H7:I7"/>
    <mergeCell ref="H8:I8"/>
    <mergeCell ref="H9:I9"/>
    <mergeCell ref="B10:K10"/>
    <mergeCell ref="C11:E11"/>
    <mergeCell ref="F11:G11"/>
    <mergeCell ref="I11:K11"/>
    <mergeCell ref="B12:K12"/>
    <mergeCell ref="D4:E4"/>
    <mergeCell ref="D5:E5"/>
    <mergeCell ref="D6:E6"/>
    <mergeCell ref="D7:E7"/>
    <mergeCell ref="H14:I14"/>
    <mergeCell ref="H15:I15"/>
    <mergeCell ref="H16:I16"/>
    <mergeCell ref="B17:K17"/>
    <mergeCell ref="C18:E18"/>
    <mergeCell ref="F18:G18"/>
    <mergeCell ref="I18:K18"/>
    <mergeCell ref="D16:E16"/>
    <mergeCell ref="B19:K19"/>
    <mergeCell ref="H20:I20"/>
    <mergeCell ref="H21:I21"/>
    <mergeCell ref="H22:I22"/>
    <mergeCell ref="H23:I23"/>
    <mergeCell ref="D20:E20"/>
    <mergeCell ref="D21:E21"/>
    <mergeCell ref="H30:I30"/>
    <mergeCell ref="C32:E32"/>
    <mergeCell ref="F32:G32"/>
    <mergeCell ref="I32:K32"/>
    <mergeCell ref="D30:E30"/>
    <mergeCell ref="F34:G34"/>
    <mergeCell ref="I34:J34"/>
    <mergeCell ref="H35:K35"/>
    <mergeCell ref="H36:I36"/>
    <mergeCell ref="C35:D35"/>
    <mergeCell ref="C36:D36"/>
    <mergeCell ref="H38:I38"/>
    <mergeCell ref="J38:K38"/>
    <mergeCell ref="B40:K40"/>
    <mergeCell ref="B41:K41"/>
    <mergeCell ref="C42:E42"/>
    <mergeCell ref="F42:K43"/>
    <mergeCell ref="C43:E45"/>
    <mergeCell ref="J49:K49"/>
    <mergeCell ref="F44:I44"/>
    <mergeCell ref="J44:K44"/>
    <mergeCell ref="F45:I45"/>
    <mergeCell ref="J45:K45"/>
    <mergeCell ref="J46:K46"/>
    <mergeCell ref="J47:K47"/>
    <mergeCell ref="J48:K48"/>
    <mergeCell ref="C46:E47"/>
    <mergeCell ref="F46:I46"/>
    <mergeCell ref="F47:I47"/>
    <mergeCell ref="C48:E51"/>
    <mergeCell ref="F48:I5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1"/>
  <sheetViews>
    <sheetView topLeftCell="A35" zoomScale="90" zoomScaleNormal="90" workbookViewId="0">
      <selection activeCell="B4" sqref="B4:K51"/>
    </sheetView>
  </sheetViews>
  <sheetFormatPr baseColWidth="10" defaultRowHeight="15" x14ac:dyDescent="0.25"/>
  <cols>
    <col min="2" max="2" width="44.140625" customWidth="1"/>
    <col min="3" max="3" width="12.140625" customWidth="1"/>
    <col min="5" max="5" width="16.28515625" customWidth="1"/>
    <col min="7" max="7" width="13.7109375" customWidth="1"/>
    <col min="11" max="11" width="16.42578125" customWidth="1"/>
  </cols>
  <sheetData>
    <row r="3" spans="2:15" ht="15.75" thickBot="1" x14ac:dyDescent="0.3"/>
    <row r="4" spans="2:15" ht="16.5" thickBot="1" x14ac:dyDescent="0.3">
      <c r="B4" s="93" t="s">
        <v>25</v>
      </c>
      <c r="C4" s="94" t="s">
        <v>129</v>
      </c>
      <c r="D4" s="213" t="s">
        <v>130</v>
      </c>
      <c r="E4" s="214"/>
      <c r="F4" s="94" t="s">
        <v>26</v>
      </c>
      <c r="G4" s="93" t="s">
        <v>27</v>
      </c>
      <c r="H4" s="213" t="s">
        <v>28</v>
      </c>
      <c r="I4" s="214"/>
      <c r="J4" s="94" t="s">
        <v>23</v>
      </c>
      <c r="K4" s="94" t="s">
        <v>29</v>
      </c>
      <c r="L4" s="15"/>
      <c r="M4" s="15"/>
      <c r="N4" s="15"/>
      <c r="O4" s="15"/>
    </row>
    <row r="5" spans="2:15" ht="32.25" thickBot="1" x14ac:dyDescent="0.3">
      <c r="B5" s="95" t="s">
        <v>68</v>
      </c>
      <c r="C5" s="16">
        <f>(D5+E5)/2</f>
        <v>7</v>
      </c>
      <c r="D5" s="205">
        <v>7</v>
      </c>
      <c r="E5" s="206">
        <v>7</v>
      </c>
      <c r="F5" s="17">
        <v>3</v>
      </c>
      <c r="G5" s="18">
        <f>C5*F5</f>
        <v>21</v>
      </c>
      <c r="H5" s="202">
        <v>11.461538461538462</v>
      </c>
      <c r="I5" s="203">
        <v>11.461538461538462</v>
      </c>
      <c r="J5" s="35"/>
      <c r="K5" s="16" t="str">
        <f>IF(C5&lt;10,"D",IF(C5&lt;12,"C",IF(C5&lt;14,"C+",IF(C5&lt;15,"B",IF(C5&lt;16,"B+",IF(C5&lt;18,"A",IF(C5&lt;20,"A+")))))))</f>
        <v>D</v>
      </c>
      <c r="L5" s="15"/>
      <c r="M5" s="15"/>
      <c r="N5" s="19">
        <f>D5*F5</f>
        <v>21</v>
      </c>
      <c r="O5" s="19">
        <f>E5*F5</f>
        <v>21</v>
      </c>
    </row>
    <row r="6" spans="2:15" ht="32.25" thickBot="1" x14ac:dyDescent="0.3">
      <c r="B6" s="95" t="s">
        <v>115</v>
      </c>
      <c r="C6" s="16">
        <f t="shared" ref="C6:C9" si="0">(D6+E6)/2</f>
        <v>7</v>
      </c>
      <c r="D6" s="205">
        <v>7</v>
      </c>
      <c r="E6" s="206">
        <v>7</v>
      </c>
      <c r="F6" s="17">
        <v>1</v>
      </c>
      <c r="G6" s="18">
        <f t="shared" ref="G6:G9" si="1">C6*F6</f>
        <v>7</v>
      </c>
      <c r="H6" s="202">
        <v>7.1538461538461542</v>
      </c>
      <c r="I6" s="203">
        <v>7.1538461538461542</v>
      </c>
      <c r="J6" s="35"/>
      <c r="K6" s="16" t="str">
        <f t="shared" ref="K6:K9" si="2">IF(C6&lt;10,"D",IF(C6&lt;12,"C",IF(C6&lt;14,"C+",IF(C6&lt;15,"B",IF(C6&lt;16,"B+",IF(C6&lt;18,"A",IF(C6&lt;20,"A+")))))))</f>
        <v>D</v>
      </c>
      <c r="L6" s="15"/>
      <c r="M6" s="15"/>
      <c r="N6" s="19">
        <f t="shared" ref="N6:N9" si="3">D6*F6</f>
        <v>7</v>
      </c>
      <c r="O6" s="19">
        <f t="shared" ref="O6:O9" si="4">E6*F6</f>
        <v>7</v>
      </c>
    </row>
    <row r="7" spans="2:15" ht="32.25" thickBot="1" x14ac:dyDescent="0.3">
      <c r="B7" s="95" t="s">
        <v>116</v>
      </c>
      <c r="C7" s="16">
        <f t="shared" si="0"/>
        <v>10.5</v>
      </c>
      <c r="D7" s="205">
        <v>10.5</v>
      </c>
      <c r="E7" s="206">
        <v>10.5</v>
      </c>
      <c r="F7" s="17">
        <v>2</v>
      </c>
      <c r="G7" s="18">
        <f t="shared" si="1"/>
        <v>21</v>
      </c>
      <c r="H7" s="202">
        <v>10.423076923076923</v>
      </c>
      <c r="I7" s="203">
        <v>10.423076923076923</v>
      </c>
      <c r="J7" s="35"/>
      <c r="K7" s="16" t="str">
        <f t="shared" si="2"/>
        <v>C</v>
      </c>
      <c r="L7" s="15"/>
      <c r="M7" s="15"/>
      <c r="N7" s="19">
        <f t="shared" si="3"/>
        <v>21</v>
      </c>
      <c r="O7" s="19">
        <f t="shared" si="4"/>
        <v>21</v>
      </c>
    </row>
    <row r="8" spans="2:15" ht="32.25" thickBot="1" x14ac:dyDescent="0.3">
      <c r="B8" s="95" t="s">
        <v>117</v>
      </c>
      <c r="C8" s="16">
        <f t="shared" si="0"/>
        <v>9</v>
      </c>
      <c r="D8" s="205">
        <v>9</v>
      </c>
      <c r="E8" s="206">
        <v>9</v>
      </c>
      <c r="F8" s="17">
        <v>1</v>
      </c>
      <c r="G8" s="18">
        <f t="shared" si="1"/>
        <v>9</v>
      </c>
      <c r="H8" s="202">
        <v>9.2307692307692299</v>
      </c>
      <c r="I8" s="203">
        <v>9.2307692307692299</v>
      </c>
      <c r="J8" s="35"/>
      <c r="K8" s="16" t="str">
        <f t="shared" si="2"/>
        <v>D</v>
      </c>
      <c r="L8" s="15"/>
      <c r="M8" s="15"/>
      <c r="N8" s="19">
        <f t="shared" si="3"/>
        <v>9</v>
      </c>
      <c r="O8" s="19">
        <f t="shared" si="4"/>
        <v>9</v>
      </c>
    </row>
    <row r="9" spans="2:15" ht="32.25" thickBot="1" x14ac:dyDescent="0.3">
      <c r="B9" s="95" t="s">
        <v>64</v>
      </c>
      <c r="C9" s="16">
        <f t="shared" si="0"/>
        <v>11</v>
      </c>
      <c r="D9" s="205">
        <v>11</v>
      </c>
      <c r="E9" s="206">
        <v>11</v>
      </c>
      <c r="F9" s="17">
        <v>2</v>
      </c>
      <c r="G9" s="18">
        <f t="shared" si="1"/>
        <v>22</v>
      </c>
      <c r="H9" s="202">
        <v>9.9230769230769234</v>
      </c>
      <c r="I9" s="203">
        <v>9.9230769230769234</v>
      </c>
      <c r="J9" s="35"/>
      <c r="K9" s="16" t="str">
        <f t="shared" si="2"/>
        <v>C</v>
      </c>
      <c r="L9" s="15"/>
      <c r="M9" s="15"/>
      <c r="N9" s="19">
        <f t="shared" si="3"/>
        <v>22</v>
      </c>
      <c r="O9" s="19">
        <f t="shared" si="4"/>
        <v>22</v>
      </c>
    </row>
    <row r="10" spans="2:15" ht="16.5" thickBot="1" x14ac:dyDescent="0.3">
      <c r="B10" s="207" t="s">
        <v>30</v>
      </c>
      <c r="C10" s="208"/>
      <c r="D10" s="208"/>
      <c r="E10" s="208"/>
      <c r="F10" s="208"/>
      <c r="G10" s="208"/>
      <c r="H10" s="208"/>
      <c r="I10" s="208"/>
      <c r="J10" s="208"/>
      <c r="K10" s="209"/>
      <c r="L10" s="15"/>
      <c r="M10" s="15"/>
      <c r="N10" s="15"/>
      <c r="O10" s="15"/>
    </row>
    <row r="11" spans="2:15" ht="16.5" thickBot="1" x14ac:dyDescent="0.3">
      <c r="B11" s="20" t="s">
        <v>31</v>
      </c>
      <c r="C11" s="195">
        <f>(SUM(G5:G9)/SUM(F5:F9))</f>
        <v>8.8888888888888893</v>
      </c>
      <c r="D11" s="195"/>
      <c r="E11" s="195"/>
      <c r="F11" s="196" t="s">
        <v>32</v>
      </c>
      <c r="G11" s="196"/>
      <c r="H11" s="98"/>
      <c r="I11" s="190"/>
      <c r="J11" s="190"/>
      <c r="K11" s="197"/>
      <c r="L11" s="15"/>
      <c r="M11" s="15"/>
      <c r="N11" s="15"/>
      <c r="O11" s="15"/>
    </row>
    <row r="12" spans="2:15" ht="16.5" thickBot="1" x14ac:dyDescent="0.3">
      <c r="B12" s="198"/>
      <c r="C12" s="199"/>
      <c r="D12" s="199"/>
      <c r="E12" s="199"/>
      <c r="F12" s="199"/>
      <c r="G12" s="199"/>
      <c r="H12" s="199"/>
      <c r="I12" s="199"/>
      <c r="J12" s="199"/>
      <c r="K12" s="201"/>
      <c r="L12" s="15"/>
      <c r="M12" s="15"/>
      <c r="N12" s="15"/>
      <c r="O12" s="15"/>
    </row>
    <row r="13" spans="2:15" ht="32.25" thickBot="1" x14ac:dyDescent="0.3">
      <c r="B13" s="95" t="s">
        <v>65</v>
      </c>
      <c r="C13" s="16">
        <f t="shared" ref="C13:C16" si="5">(D13+E13)/2</f>
        <v>15</v>
      </c>
      <c r="D13" s="205">
        <v>15</v>
      </c>
      <c r="E13" s="206">
        <v>15</v>
      </c>
      <c r="F13" s="17">
        <v>2</v>
      </c>
      <c r="G13" s="18">
        <f t="shared" ref="G13:G16" si="6">C13*F13</f>
        <v>30</v>
      </c>
      <c r="H13" s="202">
        <v>11.384615384615385</v>
      </c>
      <c r="I13" s="203">
        <v>11.384615384615385</v>
      </c>
      <c r="J13" s="35"/>
      <c r="K13" s="16" t="str">
        <f t="shared" ref="K13:K16" si="7">IF(C13&lt;10,"D",IF(C13&lt;12,"C",IF(C13&lt;14,"C+",IF(C13&lt;15,"B",IF(C13&lt;16,"B+",IF(C13&lt;18,"A",IF(C13&lt;20,"A+")))))))</f>
        <v>B+</v>
      </c>
      <c r="L13" s="15"/>
      <c r="M13" s="15"/>
      <c r="N13" s="19">
        <f t="shared" ref="N13:N16" si="8">D13*F13</f>
        <v>30</v>
      </c>
      <c r="O13" s="19">
        <f t="shared" ref="O13:O16" si="9">E13*F13</f>
        <v>30</v>
      </c>
    </row>
    <row r="14" spans="2:15" ht="32.25" thickBot="1" x14ac:dyDescent="0.3">
      <c r="B14" s="95" t="s">
        <v>118</v>
      </c>
      <c r="C14" s="16">
        <f t="shared" si="5"/>
        <v>13</v>
      </c>
      <c r="D14" s="205">
        <v>13</v>
      </c>
      <c r="E14" s="206">
        <v>13</v>
      </c>
      <c r="F14" s="17">
        <v>2</v>
      </c>
      <c r="G14" s="18">
        <f t="shared" si="6"/>
        <v>26</v>
      </c>
      <c r="H14" s="202">
        <v>10.692307692307692</v>
      </c>
      <c r="I14" s="203">
        <v>10.692307692307692</v>
      </c>
      <c r="J14" s="35"/>
      <c r="K14" s="16" t="str">
        <f t="shared" si="7"/>
        <v>C+</v>
      </c>
      <c r="L14" s="15"/>
      <c r="M14" s="15"/>
      <c r="N14" s="19">
        <f t="shared" si="8"/>
        <v>26</v>
      </c>
      <c r="O14" s="19">
        <f t="shared" si="9"/>
        <v>26</v>
      </c>
    </row>
    <row r="15" spans="2:15" ht="32.25" thickBot="1" x14ac:dyDescent="0.3">
      <c r="B15" s="95" t="s">
        <v>119</v>
      </c>
      <c r="C15" s="16">
        <f t="shared" si="5"/>
        <v>13</v>
      </c>
      <c r="D15" s="205">
        <v>13</v>
      </c>
      <c r="E15" s="206">
        <v>13</v>
      </c>
      <c r="F15" s="17">
        <v>2</v>
      </c>
      <c r="G15" s="18">
        <f t="shared" si="6"/>
        <v>26</v>
      </c>
      <c r="H15" s="202">
        <v>11.692307692307692</v>
      </c>
      <c r="I15" s="203">
        <v>11.692307692307692</v>
      </c>
      <c r="J15" s="35"/>
      <c r="K15" s="16" t="str">
        <f t="shared" si="7"/>
        <v>C+</v>
      </c>
      <c r="L15" s="15"/>
      <c r="M15" s="15"/>
      <c r="N15" s="19">
        <f t="shared" si="8"/>
        <v>26</v>
      </c>
      <c r="O15" s="19">
        <f t="shared" si="9"/>
        <v>26</v>
      </c>
    </row>
    <row r="16" spans="2:15" ht="32.25" thickBot="1" x14ac:dyDescent="0.3">
      <c r="B16" s="95" t="s">
        <v>66</v>
      </c>
      <c r="C16" s="16">
        <f t="shared" si="5"/>
        <v>16</v>
      </c>
      <c r="D16" s="205">
        <v>16</v>
      </c>
      <c r="E16" s="206">
        <v>16</v>
      </c>
      <c r="F16" s="17">
        <v>1</v>
      </c>
      <c r="G16" s="18">
        <f t="shared" si="6"/>
        <v>16</v>
      </c>
      <c r="H16" s="202">
        <v>16</v>
      </c>
      <c r="I16" s="203"/>
      <c r="J16" s="35"/>
      <c r="K16" s="16" t="str">
        <f t="shared" si="7"/>
        <v>A</v>
      </c>
      <c r="L16" s="15"/>
      <c r="M16" s="15"/>
      <c r="N16" s="19">
        <f t="shared" si="8"/>
        <v>16</v>
      </c>
      <c r="O16" s="19">
        <f t="shared" si="9"/>
        <v>16</v>
      </c>
    </row>
    <row r="17" spans="2:15" ht="16.5" thickBot="1" x14ac:dyDescent="0.3">
      <c r="B17" s="207" t="s">
        <v>33</v>
      </c>
      <c r="C17" s="208"/>
      <c r="D17" s="208"/>
      <c r="E17" s="208"/>
      <c r="F17" s="208"/>
      <c r="G17" s="208"/>
      <c r="H17" s="208"/>
      <c r="I17" s="208"/>
      <c r="J17" s="208"/>
      <c r="K17" s="209"/>
      <c r="L17" s="15"/>
      <c r="M17" s="15"/>
      <c r="N17" s="15"/>
      <c r="O17" s="15"/>
    </row>
    <row r="18" spans="2:15" ht="16.5" thickBot="1" x14ac:dyDescent="0.3">
      <c r="B18" s="20" t="s">
        <v>34</v>
      </c>
      <c r="C18" s="195">
        <f>(SUM(G13:G16)/SUM(F13:F16))</f>
        <v>14</v>
      </c>
      <c r="D18" s="195"/>
      <c r="E18" s="195"/>
      <c r="F18" s="196" t="s">
        <v>32</v>
      </c>
      <c r="G18" s="196"/>
      <c r="H18" s="98"/>
      <c r="I18" s="190"/>
      <c r="J18" s="190"/>
      <c r="K18" s="197"/>
      <c r="L18" s="15"/>
      <c r="M18" s="15"/>
      <c r="N18" s="15"/>
      <c r="O18" s="15"/>
    </row>
    <row r="19" spans="2:15" ht="16.5" thickBot="1" x14ac:dyDescent="0.3">
      <c r="B19" s="210"/>
      <c r="C19" s="211"/>
      <c r="D19" s="211"/>
      <c r="E19" s="211"/>
      <c r="F19" s="211"/>
      <c r="G19" s="211"/>
      <c r="H19" s="211"/>
      <c r="I19" s="211"/>
      <c r="J19" s="211"/>
      <c r="K19" s="212"/>
      <c r="L19" s="15"/>
      <c r="M19" s="15"/>
      <c r="N19" s="15"/>
      <c r="O19" s="15"/>
    </row>
    <row r="20" spans="2:15" ht="32.25" thickBot="1" x14ac:dyDescent="0.3">
      <c r="B20" s="95" t="s">
        <v>69</v>
      </c>
      <c r="C20" s="16">
        <f t="shared" ref="C20:C23" si="10">(D20+E20)/2</f>
        <v>13</v>
      </c>
      <c r="D20" s="205">
        <v>13</v>
      </c>
      <c r="E20" s="206">
        <v>13</v>
      </c>
      <c r="F20" s="17">
        <v>2</v>
      </c>
      <c r="G20" s="18">
        <f t="shared" ref="G20:G23" si="11">C20*F20</f>
        <v>26</v>
      </c>
      <c r="H20" s="202">
        <v>8.2307692307692299</v>
      </c>
      <c r="I20" s="203">
        <v>8.2307692307692299</v>
      </c>
      <c r="J20" s="35"/>
      <c r="K20" s="16" t="str">
        <f t="shared" ref="K20:K23" si="12">IF(C20&lt;10,"D",IF(C20&lt;12,"C",IF(C20&lt;14,"C+",IF(C20&lt;15,"B",IF(C20&lt;16,"B+",IF(C20&lt;18,"A",IF(C20&lt;20,"A+")))))))</f>
        <v>C+</v>
      </c>
      <c r="L20" s="15"/>
      <c r="M20" s="15"/>
      <c r="N20" s="19">
        <f t="shared" ref="N20:N23" si="13">D20*F20</f>
        <v>26</v>
      </c>
      <c r="O20" s="19">
        <f t="shared" ref="O20:O23" si="14">E20*F20</f>
        <v>26</v>
      </c>
    </row>
    <row r="21" spans="2:15" ht="32.25" thickBot="1" x14ac:dyDescent="0.3">
      <c r="B21" s="95" t="s">
        <v>70</v>
      </c>
      <c r="C21" s="16">
        <f t="shared" si="10"/>
        <v>5</v>
      </c>
      <c r="D21" s="205">
        <v>5</v>
      </c>
      <c r="E21" s="206">
        <v>5</v>
      </c>
      <c r="F21" s="17">
        <v>4</v>
      </c>
      <c r="G21" s="18">
        <f t="shared" si="11"/>
        <v>20</v>
      </c>
      <c r="H21" s="202">
        <v>4.2692307692307692</v>
      </c>
      <c r="I21" s="203">
        <v>4.2692307692307692</v>
      </c>
      <c r="J21" s="35"/>
      <c r="K21" s="16" t="str">
        <f t="shared" si="12"/>
        <v>D</v>
      </c>
      <c r="L21" s="15"/>
      <c r="M21" s="15"/>
      <c r="N21" s="19">
        <f t="shared" si="13"/>
        <v>20</v>
      </c>
      <c r="O21" s="19">
        <f t="shared" si="14"/>
        <v>20</v>
      </c>
    </row>
    <row r="22" spans="2:15" ht="32.25" thickBot="1" x14ac:dyDescent="0.3">
      <c r="B22" s="95" t="s">
        <v>120</v>
      </c>
      <c r="C22" s="16">
        <f t="shared" si="10"/>
        <v>5</v>
      </c>
      <c r="D22" s="205">
        <v>5</v>
      </c>
      <c r="E22" s="206">
        <v>5</v>
      </c>
      <c r="F22" s="17">
        <v>2</v>
      </c>
      <c r="G22" s="18">
        <f t="shared" si="11"/>
        <v>10</v>
      </c>
      <c r="H22" s="202">
        <v>5.6538461538461542</v>
      </c>
      <c r="I22" s="203">
        <v>5.6538461538461542</v>
      </c>
      <c r="J22" s="35"/>
      <c r="K22" s="16" t="str">
        <f t="shared" si="12"/>
        <v>D</v>
      </c>
      <c r="L22" s="15"/>
      <c r="M22" s="15"/>
      <c r="N22" s="19">
        <f t="shared" si="13"/>
        <v>10</v>
      </c>
      <c r="O22" s="19">
        <f t="shared" si="14"/>
        <v>10</v>
      </c>
    </row>
    <row r="23" spans="2:15" ht="32.25" thickBot="1" x14ac:dyDescent="0.3">
      <c r="B23" s="95" t="s">
        <v>71</v>
      </c>
      <c r="C23" s="16">
        <f t="shared" si="10"/>
        <v>12</v>
      </c>
      <c r="D23" s="205">
        <v>12</v>
      </c>
      <c r="E23" s="206">
        <v>12</v>
      </c>
      <c r="F23" s="17">
        <v>2</v>
      </c>
      <c r="G23" s="18">
        <f t="shared" si="11"/>
        <v>24</v>
      </c>
      <c r="H23" s="202">
        <v>9.7692307692307701</v>
      </c>
      <c r="I23" s="203">
        <v>9.7692307692307701</v>
      </c>
      <c r="J23" s="35"/>
      <c r="K23" s="16" t="str">
        <f t="shared" si="12"/>
        <v>C+</v>
      </c>
      <c r="L23" s="15"/>
      <c r="M23" s="15"/>
      <c r="N23" s="19">
        <f t="shared" si="13"/>
        <v>24</v>
      </c>
      <c r="O23" s="19">
        <f t="shared" si="14"/>
        <v>24</v>
      </c>
    </row>
    <row r="24" spans="2:15" ht="16.5" thickBot="1" x14ac:dyDescent="0.3">
      <c r="B24" s="207" t="s">
        <v>35</v>
      </c>
      <c r="C24" s="208"/>
      <c r="D24" s="208"/>
      <c r="E24" s="208"/>
      <c r="F24" s="208"/>
      <c r="G24" s="208"/>
      <c r="H24" s="208"/>
      <c r="I24" s="208"/>
      <c r="J24" s="208"/>
      <c r="K24" s="209"/>
      <c r="L24" s="15"/>
      <c r="M24" s="15"/>
      <c r="N24" s="15"/>
      <c r="O24" s="15"/>
    </row>
    <row r="25" spans="2:15" ht="16.5" thickBot="1" x14ac:dyDescent="0.3">
      <c r="B25" s="20" t="s">
        <v>31</v>
      </c>
      <c r="C25" s="195">
        <f>(SUM(G20:G23)/SUM(F20:F23))</f>
        <v>8</v>
      </c>
      <c r="D25" s="195"/>
      <c r="E25" s="195"/>
      <c r="F25" s="196" t="s">
        <v>32</v>
      </c>
      <c r="G25" s="196"/>
      <c r="H25" s="98"/>
      <c r="I25" s="190"/>
      <c r="J25" s="190"/>
      <c r="K25" s="197"/>
      <c r="L25" s="15"/>
      <c r="M25" s="15"/>
      <c r="N25" s="15"/>
      <c r="O25" s="15"/>
    </row>
    <row r="26" spans="2:15" ht="16.5" thickBot="1" x14ac:dyDescent="0.3">
      <c r="B26" s="198"/>
      <c r="C26" s="199"/>
      <c r="D26" s="199"/>
      <c r="E26" s="199"/>
      <c r="F26" s="199"/>
      <c r="G26" s="199"/>
      <c r="H26" s="200"/>
      <c r="I26" s="200"/>
      <c r="J26" s="200"/>
      <c r="K26" s="201"/>
      <c r="L26" s="15"/>
      <c r="M26" s="15"/>
      <c r="N26" s="15"/>
      <c r="O26" s="15"/>
    </row>
    <row r="27" spans="2:15" ht="32.25" thickBot="1" x14ac:dyDescent="0.3">
      <c r="B27" s="95" t="s">
        <v>67</v>
      </c>
      <c r="C27" s="16">
        <f t="shared" ref="C27:C30" si="15">(D27+E27)/2</f>
        <v>16</v>
      </c>
      <c r="D27" s="205">
        <v>16</v>
      </c>
      <c r="E27" s="206">
        <v>16</v>
      </c>
      <c r="F27" s="17">
        <v>1</v>
      </c>
      <c r="G27" s="18">
        <f t="shared" ref="G27:G30" si="16">C27*F27</f>
        <v>16</v>
      </c>
      <c r="H27" s="202">
        <v>16</v>
      </c>
      <c r="I27" s="203">
        <v>16</v>
      </c>
      <c r="J27" s="35"/>
      <c r="K27" s="16" t="str">
        <f t="shared" ref="K27:K30" si="17">IF(C27&lt;10,"D",IF(C27&lt;12,"C",IF(C27&lt;14,"C+",IF(C27&lt;15,"B",IF(C27&lt;16,"B+",IF(C27&lt;18,"A",IF(C27&lt;20,"A+")))))))</f>
        <v>A</v>
      </c>
      <c r="L27" s="15"/>
      <c r="M27" s="15"/>
      <c r="N27" s="19">
        <f t="shared" ref="N27:N30" si="18">D27*F27</f>
        <v>16</v>
      </c>
      <c r="O27" s="19">
        <f t="shared" ref="O27:O30" si="19">E27*F27</f>
        <v>16</v>
      </c>
    </row>
    <row r="28" spans="2:15" ht="32.25" thickBot="1" x14ac:dyDescent="0.3">
      <c r="B28" s="95" t="s">
        <v>122</v>
      </c>
      <c r="C28" s="16">
        <f t="shared" si="15"/>
        <v>16</v>
      </c>
      <c r="D28" s="205">
        <v>16</v>
      </c>
      <c r="E28" s="206">
        <v>16</v>
      </c>
      <c r="F28" s="17">
        <v>2</v>
      </c>
      <c r="G28" s="18">
        <f t="shared" si="16"/>
        <v>32</v>
      </c>
      <c r="H28" s="202">
        <v>15.846153846153847</v>
      </c>
      <c r="I28" s="203">
        <v>15.846153846153847</v>
      </c>
      <c r="J28" s="35"/>
      <c r="K28" s="16" t="str">
        <f t="shared" si="17"/>
        <v>A</v>
      </c>
      <c r="L28" s="15"/>
      <c r="M28" s="15"/>
      <c r="N28" s="19">
        <f t="shared" si="18"/>
        <v>32</v>
      </c>
      <c r="O28" s="19">
        <f t="shared" si="19"/>
        <v>32</v>
      </c>
    </row>
    <row r="29" spans="2:15" ht="32.25" thickBot="1" x14ac:dyDescent="0.3">
      <c r="B29" s="95" t="s">
        <v>72</v>
      </c>
      <c r="C29" s="16">
        <f t="shared" si="15"/>
        <v>12</v>
      </c>
      <c r="D29" s="205">
        <v>12</v>
      </c>
      <c r="E29" s="206">
        <v>12</v>
      </c>
      <c r="F29" s="17">
        <v>1</v>
      </c>
      <c r="G29" s="18">
        <f t="shared" si="16"/>
        <v>12</v>
      </c>
      <c r="H29" s="202">
        <v>12.76923076923077</v>
      </c>
      <c r="I29" s="203">
        <v>12.76923076923077</v>
      </c>
      <c r="J29" s="35"/>
      <c r="K29" s="16" t="str">
        <f t="shared" si="17"/>
        <v>C+</v>
      </c>
      <c r="L29" s="15"/>
      <c r="M29" s="15"/>
      <c r="N29" s="19">
        <f t="shared" si="18"/>
        <v>12</v>
      </c>
      <c r="O29" s="19">
        <f t="shared" si="19"/>
        <v>12</v>
      </c>
    </row>
    <row r="30" spans="2:15" ht="32.25" thickBot="1" x14ac:dyDescent="0.3">
      <c r="B30" s="95" t="s">
        <v>121</v>
      </c>
      <c r="C30" s="16">
        <f>D30</f>
        <v>17</v>
      </c>
      <c r="D30" s="205">
        <v>17</v>
      </c>
      <c r="E30" s="206"/>
      <c r="F30" s="17">
        <v>1</v>
      </c>
      <c r="G30" s="18">
        <f t="shared" si="16"/>
        <v>17</v>
      </c>
      <c r="H30" s="202">
        <v>17</v>
      </c>
      <c r="I30" s="203"/>
      <c r="J30" s="35"/>
      <c r="K30" s="16" t="str">
        <f t="shared" si="17"/>
        <v>A</v>
      </c>
      <c r="L30" s="15"/>
      <c r="M30" s="15"/>
      <c r="N30" s="19">
        <f t="shared" si="18"/>
        <v>17</v>
      </c>
      <c r="O30" s="19">
        <f t="shared" si="19"/>
        <v>0</v>
      </c>
    </row>
    <row r="31" spans="2:15" ht="16.5" thickBot="1" x14ac:dyDescent="0.3">
      <c r="B31" s="95" t="s">
        <v>36</v>
      </c>
      <c r="C31" s="96"/>
      <c r="D31" s="96"/>
      <c r="E31" s="96"/>
      <c r="F31" s="96"/>
      <c r="G31" s="96"/>
      <c r="H31" s="96"/>
      <c r="I31" s="96"/>
      <c r="J31" s="96"/>
      <c r="K31" s="97"/>
      <c r="L31" s="15"/>
      <c r="M31" s="15"/>
      <c r="N31" s="15">
        <f>SUM(N5:N30)</f>
        <v>335</v>
      </c>
      <c r="O31" s="15">
        <f>SUM(O5:O30)</f>
        <v>318</v>
      </c>
    </row>
    <row r="32" spans="2:15" ht="16.5" thickBot="1" x14ac:dyDescent="0.3">
      <c r="B32" s="21" t="s">
        <v>34</v>
      </c>
      <c r="C32" s="195">
        <f>(SUM(G27:G30)/SUM(F27:F30))</f>
        <v>15.4</v>
      </c>
      <c r="D32" s="195"/>
      <c r="E32" s="195"/>
      <c r="F32" s="204" t="s">
        <v>32</v>
      </c>
      <c r="G32" s="204"/>
      <c r="H32" s="99"/>
      <c r="I32" s="163"/>
      <c r="J32" s="163"/>
      <c r="K32" s="164"/>
      <c r="L32" s="15"/>
      <c r="M32" s="15"/>
      <c r="N32" s="15">
        <v>31</v>
      </c>
      <c r="O32" s="15">
        <v>31</v>
      </c>
    </row>
    <row r="33" spans="2:15" ht="16.5" thickBot="1" x14ac:dyDescent="0.3">
      <c r="B33" s="178"/>
      <c r="C33" s="179"/>
      <c r="D33" s="179"/>
      <c r="E33" s="179"/>
      <c r="F33" s="179"/>
      <c r="G33" s="179"/>
      <c r="H33" s="179"/>
      <c r="I33" s="179"/>
      <c r="J33" s="179"/>
      <c r="K33" s="180"/>
      <c r="L33" s="15"/>
      <c r="M33" s="15"/>
      <c r="N33" s="15">
        <f>N31/N32</f>
        <v>10.806451612903226</v>
      </c>
      <c r="O33" s="15">
        <f>O31/O32</f>
        <v>10.258064516129032</v>
      </c>
    </row>
    <row r="34" spans="2:15" ht="48" thickBot="1" x14ac:dyDescent="0.3">
      <c r="B34" s="22" t="s">
        <v>37</v>
      </c>
      <c r="C34" s="23" t="s">
        <v>38</v>
      </c>
      <c r="D34" s="99">
        <v>10.220000000000001</v>
      </c>
      <c r="E34" s="24" t="s">
        <v>39</v>
      </c>
      <c r="F34" s="190">
        <v>11.9</v>
      </c>
      <c r="G34" s="190"/>
      <c r="H34" s="24" t="s">
        <v>40</v>
      </c>
      <c r="I34" s="190">
        <v>8.4499999999999993</v>
      </c>
      <c r="J34" s="190"/>
      <c r="K34" s="25"/>
      <c r="L34" s="26"/>
      <c r="M34" s="26"/>
      <c r="N34" s="26"/>
      <c r="O34" s="26"/>
    </row>
    <row r="35" spans="2:15" ht="15.75" x14ac:dyDescent="0.25">
      <c r="B35" s="74"/>
      <c r="C35" s="193" t="s">
        <v>130</v>
      </c>
      <c r="D35" s="193"/>
      <c r="E35" s="75"/>
      <c r="F35" s="75"/>
      <c r="G35" s="76"/>
      <c r="H35" s="145"/>
      <c r="I35" s="146"/>
      <c r="J35" s="146"/>
      <c r="K35" s="147"/>
      <c r="L35" s="15"/>
      <c r="M35" s="15"/>
      <c r="N35" s="15"/>
      <c r="O35" s="15"/>
    </row>
    <row r="36" spans="2:15" ht="15.75" x14ac:dyDescent="0.25">
      <c r="B36" s="77" t="s">
        <v>41</v>
      </c>
      <c r="C36" s="194">
        <f>N33</f>
        <v>10.806451612903226</v>
      </c>
      <c r="D36" s="194"/>
      <c r="E36" s="79" t="s">
        <v>131</v>
      </c>
      <c r="F36" s="80">
        <f>(G5+G6+G7+G8+G9+G13+G14+G15+G20+G16+G21+G22+G23+G27+G28+G29+G30)/31</f>
        <v>10.806451612903226</v>
      </c>
      <c r="G36" s="81" t="s">
        <v>42</v>
      </c>
      <c r="H36" s="191" t="s">
        <v>43</v>
      </c>
      <c r="I36" s="192"/>
      <c r="J36" s="27" t="s">
        <v>146</v>
      </c>
      <c r="K36" s="28" t="s">
        <v>113</v>
      </c>
      <c r="L36" s="15"/>
      <c r="M36" s="15"/>
      <c r="N36" s="15"/>
      <c r="O36" s="15"/>
    </row>
    <row r="37" spans="2:15" ht="12.75" customHeight="1" x14ac:dyDescent="0.25">
      <c r="B37" s="77"/>
      <c r="C37" s="78"/>
      <c r="D37" s="78"/>
      <c r="E37" s="79"/>
      <c r="F37" s="80"/>
      <c r="G37" s="81"/>
      <c r="H37" s="100"/>
      <c r="I37" s="101"/>
      <c r="J37" s="27"/>
      <c r="K37" s="28"/>
      <c r="L37" s="15"/>
      <c r="M37" s="15"/>
      <c r="N37" s="15"/>
      <c r="O37" s="15"/>
    </row>
    <row r="38" spans="2:15" ht="18" customHeight="1" x14ac:dyDescent="0.25">
      <c r="B38" s="102" t="s">
        <v>132</v>
      </c>
      <c r="C38" s="103" t="s">
        <v>133</v>
      </c>
      <c r="D38" s="103" t="s">
        <v>134</v>
      </c>
      <c r="E38" s="104" t="s">
        <v>135</v>
      </c>
      <c r="F38" s="105">
        <f>AVERAGE(B39:C39:D39)</f>
        <v>11.112150537634408</v>
      </c>
      <c r="G38" s="106" t="s">
        <v>42</v>
      </c>
      <c r="H38" s="171" t="s">
        <v>136</v>
      </c>
      <c r="I38" s="172"/>
      <c r="J38" s="173" t="s">
        <v>147</v>
      </c>
      <c r="K38" s="174"/>
      <c r="L38" s="15"/>
      <c r="M38" s="15"/>
      <c r="N38" s="15"/>
      <c r="O38" s="15"/>
    </row>
    <row r="39" spans="2:15" ht="27" customHeight="1" thickBot="1" x14ac:dyDescent="0.3">
      <c r="B39" s="107">
        <v>11.73</v>
      </c>
      <c r="C39" s="108">
        <v>10.8</v>
      </c>
      <c r="D39" s="108">
        <f>F36</f>
        <v>10.806451612903226</v>
      </c>
      <c r="E39" s="109"/>
      <c r="F39" s="110"/>
      <c r="G39" s="111"/>
      <c r="H39" s="101"/>
      <c r="I39" s="101"/>
      <c r="J39" s="27"/>
      <c r="K39" s="28"/>
      <c r="L39" s="15"/>
      <c r="M39" s="15"/>
      <c r="N39" s="15"/>
      <c r="O39" s="15"/>
    </row>
    <row r="40" spans="2:15" ht="16.5" thickBot="1" x14ac:dyDescent="0.3">
      <c r="B40" s="175" t="s">
        <v>44</v>
      </c>
      <c r="C40" s="176"/>
      <c r="D40" s="176"/>
      <c r="E40" s="176"/>
      <c r="F40" s="176"/>
      <c r="G40" s="176"/>
      <c r="H40" s="176"/>
      <c r="I40" s="176"/>
      <c r="J40" s="176"/>
      <c r="K40" s="177"/>
      <c r="L40" s="15"/>
      <c r="M40" s="15"/>
      <c r="N40" s="15"/>
      <c r="O40" s="15"/>
    </row>
    <row r="41" spans="2:15" ht="16.5" thickBot="1" x14ac:dyDescent="0.3">
      <c r="B41" s="162" t="s">
        <v>45</v>
      </c>
      <c r="C41" s="163"/>
      <c r="D41" s="163"/>
      <c r="E41" s="163"/>
      <c r="F41" s="163"/>
      <c r="G41" s="163"/>
      <c r="H41" s="163"/>
      <c r="I41" s="163"/>
      <c r="J41" s="163"/>
      <c r="K41" s="164"/>
      <c r="L41" s="15"/>
      <c r="M41" s="15"/>
      <c r="N41" s="15"/>
      <c r="O41" s="15"/>
    </row>
    <row r="42" spans="2:15" ht="16.5" thickBot="1" x14ac:dyDescent="0.3">
      <c r="B42" s="22" t="s">
        <v>46</v>
      </c>
      <c r="C42" s="178" t="s">
        <v>47</v>
      </c>
      <c r="D42" s="179"/>
      <c r="E42" s="180"/>
      <c r="F42" s="165" t="s">
        <v>48</v>
      </c>
      <c r="G42" s="166"/>
      <c r="H42" s="166"/>
      <c r="I42" s="166"/>
      <c r="J42" s="166"/>
      <c r="K42" s="167"/>
      <c r="L42" s="15"/>
      <c r="M42" s="15"/>
      <c r="N42" s="15"/>
      <c r="O42" s="15"/>
    </row>
    <row r="43" spans="2:15" ht="16.5" thickBot="1" x14ac:dyDescent="0.3">
      <c r="B43" s="29" t="s">
        <v>49</v>
      </c>
      <c r="C43" s="181" t="str">
        <f>IF(F38&lt;10,"CNA",IF(F38&lt;12,"CMA",IF(F38&lt;14,"CA",IF(F38&lt;16,"CBA",IF(F38&lt;20,"CTBA")))))</f>
        <v>CMA</v>
      </c>
      <c r="D43" s="182" t="e">
        <f>IF(#REF!&lt;10,"D",IF(#REF!&lt;12,"C",IF(#REF!&lt;14,"C+",IF(#REF!&lt;15,"B",IF(#REF!&lt;16,"B+",IF(#REF!&lt;18,"A",IF(#REF!&lt;20,"A+")))))))</f>
        <v>#REF!</v>
      </c>
      <c r="E43" s="183" t="e">
        <f>IF(#REF!&lt;10,"D",IF(#REF!&lt;12,"C",IF(#REF!&lt;14,"C+",IF(#REF!&lt;15,"B",IF(#REF!&lt;16,"B+",IF(#REF!&lt;18,"A",IF(#REF!&lt;20,"A+")))))))</f>
        <v>#REF!</v>
      </c>
      <c r="F43" s="168"/>
      <c r="G43" s="169"/>
      <c r="H43" s="169"/>
      <c r="I43" s="169"/>
      <c r="J43" s="169"/>
      <c r="K43" s="170"/>
      <c r="L43" s="15"/>
      <c r="M43" s="15"/>
      <c r="N43" s="15"/>
      <c r="O43" s="15"/>
    </row>
    <row r="44" spans="2:15" ht="16.5" thickBot="1" x14ac:dyDescent="0.3">
      <c r="B44" s="30" t="s">
        <v>50</v>
      </c>
      <c r="C44" s="184" t="e">
        <f>IF(#REF!&lt;10,"D",IF(#REF!&lt;12,"C",IF(#REF!&lt;14,"C+",IF(#REF!&lt;15,"B",IF(#REF!&lt;16,"B+",IF(#REF!&lt;18,"A",IF(#REF!&lt;20,"A+")))))))</f>
        <v>#REF!</v>
      </c>
      <c r="D44" s="185" t="e">
        <f>IF(#REF!&lt;10,"D",IF(#REF!&lt;12,"C",IF(#REF!&lt;14,"C+",IF(#REF!&lt;15,"B",IF(#REF!&lt;16,"B+",IF(#REF!&lt;18,"A",IF(#REF!&lt;20,"A+")))))))</f>
        <v>#REF!</v>
      </c>
      <c r="E44" s="186" t="e">
        <f>IF(#REF!&lt;10,"D",IF(#REF!&lt;12,"C",IF(#REF!&lt;14,"C+",IF(#REF!&lt;15,"B",IF(#REF!&lt;16,"B+",IF(#REF!&lt;18,"A",IF(#REF!&lt;20,"A+")))))))</f>
        <v>#REF!</v>
      </c>
      <c r="F44" s="162" t="s">
        <v>51</v>
      </c>
      <c r="G44" s="163"/>
      <c r="H44" s="163"/>
      <c r="I44" s="164"/>
      <c r="J44" s="165" t="s">
        <v>52</v>
      </c>
      <c r="K44" s="167"/>
      <c r="L44" s="15"/>
      <c r="M44" s="15"/>
      <c r="N44" s="15"/>
      <c r="O44" s="15"/>
    </row>
    <row r="45" spans="2:15" ht="16.5" thickBot="1" x14ac:dyDescent="0.3">
      <c r="B45" s="31" t="s">
        <v>53</v>
      </c>
      <c r="C45" s="187" t="e">
        <f>IF(#REF!&lt;10,"D",IF(#REF!&lt;12,"C",IF(#REF!&lt;14,"C+",IF(#REF!&lt;15,"B",IF(#REF!&lt;16,"B+",IF(#REF!&lt;18,"A",IF(#REF!&lt;20,"A+")))))))</f>
        <v>#REF!</v>
      </c>
      <c r="D45" s="188" t="e">
        <f>IF(#REF!&lt;10,"D",IF(#REF!&lt;12,"C",IF(#REF!&lt;14,"C+",IF(#REF!&lt;15,"B",IF(#REF!&lt;16,"B+",IF(#REF!&lt;18,"A",IF(#REF!&lt;20,"A+")))))))</f>
        <v>#REF!</v>
      </c>
      <c r="E45" s="189" t="e">
        <f>IF(#REF!&lt;10,"D",IF(#REF!&lt;12,"C",IF(#REF!&lt;14,"C+",IF(#REF!&lt;15,"B",IF(#REF!&lt;16,"B+",IF(#REF!&lt;18,"A",IF(#REF!&lt;20,"A+")))))))</f>
        <v>#REF!</v>
      </c>
      <c r="F45" s="162" t="s">
        <v>54</v>
      </c>
      <c r="G45" s="163"/>
      <c r="H45" s="163"/>
      <c r="I45" s="164"/>
      <c r="J45" s="160" t="s">
        <v>55</v>
      </c>
      <c r="K45" s="161"/>
      <c r="L45" s="15"/>
      <c r="M45" s="15"/>
      <c r="N45" s="15"/>
      <c r="O45" s="15"/>
    </row>
    <row r="46" spans="2:15" ht="16.5" thickBot="1" x14ac:dyDescent="0.3">
      <c r="B46" s="23" t="s">
        <v>56</v>
      </c>
      <c r="C46" s="165" t="s">
        <v>57</v>
      </c>
      <c r="D46" s="166"/>
      <c r="E46" s="167"/>
      <c r="F46" s="162" t="s">
        <v>58</v>
      </c>
      <c r="G46" s="163"/>
      <c r="H46" s="163"/>
      <c r="I46" s="164"/>
      <c r="J46" s="160"/>
      <c r="K46" s="161"/>
      <c r="L46" s="15"/>
      <c r="M46" s="15"/>
      <c r="N46" s="15"/>
      <c r="O46" s="15"/>
    </row>
    <row r="47" spans="2:15" ht="16.5" thickBot="1" x14ac:dyDescent="0.3">
      <c r="B47" s="23" t="s">
        <v>59</v>
      </c>
      <c r="C47" s="168"/>
      <c r="D47" s="169"/>
      <c r="E47" s="170"/>
      <c r="F47" s="162" t="s">
        <v>60</v>
      </c>
      <c r="G47" s="163"/>
      <c r="H47" s="163"/>
      <c r="I47" s="164"/>
      <c r="J47" s="154" t="s">
        <v>61</v>
      </c>
      <c r="K47" s="155"/>
      <c r="L47" s="15"/>
      <c r="M47" s="15"/>
      <c r="N47" s="15"/>
      <c r="O47" s="15"/>
    </row>
    <row r="48" spans="2:15" ht="31.5" x14ac:dyDescent="0.25">
      <c r="B48" s="22" t="s">
        <v>62</v>
      </c>
      <c r="C48" s="145"/>
      <c r="D48" s="146"/>
      <c r="E48" s="147"/>
      <c r="F48" s="145"/>
      <c r="G48" s="146"/>
      <c r="H48" s="146"/>
      <c r="I48" s="147"/>
      <c r="J48" s="154" t="s">
        <v>63</v>
      </c>
      <c r="K48" s="155"/>
      <c r="L48" s="15"/>
      <c r="M48" s="15"/>
      <c r="N48" s="15"/>
      <c r="O48" s="15"/>
    </row>
    <row r="49" spans="2:15" ht="15.75" x14ac:dyDescent="0.25">
      <c r="B49" s="32"/>
      <c r="C49" s="148"/>
      <c r="D49" s="149"/>
      <c r="E49" s="150"/>
      <c r="F49" s="148"/>
      <c r="G49" s="149"/>
      <c r="H49" s="149"/>
      <c r="I49" s="150"/>
      <c r="J49" s="156"/>
      <c r="K49" s="157"/>
      <c r="L49" s="15"/>
      <c r="M49" s="15"/>
      <c r="N49" s="15"/>
      <c r="O49" s="15"/>
    </row>
    <row r="50" spans="2:15" ht="15.75" x14ac:dyDescent="0.25">
      <c r="B50" s="32"/>
      <c r="C50" s="148"/>
      <c r="D50" s="149"/>
      <c r="E50" s="150"/>
      <c r="F50" s="148"/>
      <c r="G50" s="149"/>
      <c r="H50" s="149"/>
      <c r="I50" s="150"/>
      <c r="J50" s="156"/>
      <c r="K50" s="157"/>
      <c r="L50" s="15"/>
      <c r="M50" s="15"/>
      <c r="N50" s="15"/>
      <c r="O50" s="15"/>
    </row>
    <row r="51" spans="2:15" ht="16.5" thickBot="1" x14ac:dyDescent="0.3">
      <c r="B51" s="31"/>
      <c r="C51" s="151"/>
      <c r="D51" s="152"/>
      <c r="E51" s="153"/>
      <c r="F51" s="151"/>
      <c r="G51" s="152"/>
      <c r="H51" s="152"/>
      <c r="I51" s="153"/>
      <c r="J51" s="158"/>
      <c r="K51" s="159"/>
      <c r="L51" s="15"/>
      <c r="M51" s="15"/>
      <c r="N51" s="15"/>
      <c r="O51" s="15"/>
    </row>
  </sheetData>
  <mergeCells count="83">
    <mergeCell ref="J50:K50"/>
    <mergeCell ref="J51:K51"/>
    <mergeCell ref="D22:E22"/>
    <mergeCell ref="D23:E23"/>
    <mergeCell ref="D27:E27"/>
    <mergeCell ref="D28:E28"/>
    <mergeCell ref="D29:E29"/>
    <mergeCell ref="B24:K24"/>
    <mergeCell ref="B33:K33"/>
    <mergeCell ref="C25:E25"/>
    <mergeCell ref="F25:G25"/>
    <mergeCell ref="I25:K25"/>
    <mergeCell ref="B26:K26"/>
    <mergeCell ref="H27:I27"/>
    <mergeCell ref="H28:I28"/>
    <mergeCell ref="H29:I29"/>
    <mergeCell ref="D8:E8"/>
    <mergeCell ref="D9:E9"/>
    <mergeCell ref="D13:E13"/>
    <mergeCell ref="D14:E14"/>
    <mergeCell ref="D15:E15"/>
    <mergeCell ref="H13:I13"/>
    <mergeCell ref="H4:I4"/>
    <mergeCell ref="H5:I5"/>
    <mergeCell ref="H6:I6"/>
    <mergeCell ref="H7:I7"/>
    <mergeCell ref="H8:I8"/>
    <mergeCell ref="H9:I9"/>
    <mergeCell ref="B10:K10"/>
    <mergeCell ref="C11:E11"/>
    <mergeCell ref="F11:G11"/>
    <mergeCell ref="I11:K11"/>
    <mergeCell ref="B12:K12"/>
    <mergeCell ref="D4:E4"/>
    <mergeCell ref="D5:E5"/>
    <mergeCell ref="D6:E6"/>
    <mergeCell ref="D7:E7"/>
    <mergeCell ref="H14:I14"/>
    <mergeCell ref="H15:I15"/>
    <mergeCell ref="H16:I16"/>
    <mergeCell ref="B17:K17"/>
    <mergeCell ref="C18:E18"/>
    <mergeCell ref="F18:G18"/>
    <mergeCell ref="I18:K18"/>
    <mergeCell ref="D16:E16"/>
    <mergeCell ref="B19:K19"/>
    <mergeCell ref="H20:I20"/>
    <mergeCell ref="H21:I21"/>
    <mergeCell ref="H22:I22"/>
    <mergeCell ref="H23:I23"/>
    <mergeCell ref="D20:E20"/>
    <mergeCell ref="D21:E21"/>
    <mergeCell ref="H30:I30"/>
    <mergeCell ref="C32:E32"/>
    <mergeCell ref="F32:G32"/>
    <mergeCell ref="I32:K32"/>
    <mergeCell ref="D30:E30"/>
    <mergeCell ref="F34:G34"/>
    <mergeCell ref="I34:J34"/>
    <mergeCell ref="H35:K35"/>
    <mergeCell ref="H36:I36"/>
    <mergeCell ref="C35:D35"/>
    <mergeCell ref="C36:D36"/>
    <mergeCell ref="H38:I38"/>
    <mergeCell ref="J38:K38"/>
    <mergeCell ref="B40:K40"/>
    <mergeCell ref="B41:K41"/>
    <mergeCell ref="C42:E42"/>
    <mergeCell ref="F42:K43"/>
    <mergeCell ref="C43:E45"/>
    <mergeCell ref="J49:K49"/>
    <mergeCell ref="F44:I44"/>
    <mergeCell ref="J44:K44"/>
    <mergeCell ref="F45:I45"/>
    <mergeCell ref="J45:K45"/>
    <mergeCell ref="J46:K46"/>
    <mergeCell ref="J47:K47"/>
    <mergeCell ref="J48:K48"/>
    <mergeCell ref="C46:E47"/>
    <mergeCell ref="F46:I46"/>
    <mergeCell ref="F47:I47"/>
    <mergeCell ref="C48:E51"/>
    <mergeCell ref="F48:I5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1"/>
  <sheetViews>
    <sheetView zoomScale="50" zoomScaleNormal="50" workbookViewId="0">
      <selection sqref="A1:XFD1048576"/>
    </sheetView>
  </sheetViews>
  <sheetFormatPr baseColWidth="10" defaultRowHeight="15" x14ac:dyDescent="0.25"/>
  <cols>
    <col min="2" max="2" width="44.140625" customWidth="1"/>
    <col min="3" max="3" width="12.140625" customWidth="1"/>
    <col min="5" max="5" width="16.28515625" customWidth="1"/>
    <col min="7" max="7" width="13.7109375" customWidth="1"/>
    <col min="11" max="11" width="16.42578125" customWidth="1"/>
  </cols>
  <sheetData>
    <row r="3" spans="2:15" ht="15.75" thickBot="1" x14ac:dyDescent="0.3"/>
    <row r="4" spans="2:15" ht="16.5" thickBot="1" x14ac:dyDescent="0.3">
      <c r="B4" s="93" t="s">
        <v>25</v>
      </c>
      <c r="C4" s="94" t="s">
        <v>129</v>
      </c>
      <c r="D4" s="213" t="s">
        <v>130</v>
      </c>
      <c r="E4" s="214"/>
      <c r="F4" s="94" t="s">
        <v>26</v>
      </c>
      <c r="G4" s="93" t="s">
        <v>27</v>
      </c>
      <c r="H4" s="213" t="s">
        <v>28</v>
      </c>
      <c r="I4" s="214"/>
      <c r="J4" s="94" t="s">
        <v>23</v>
      </c>
      <c r="K4" s="94" t="s">
        <v>29</v>
      </c>
      <c r="L4" s="15"/>
      <c r="M4" s="15"/>
      <c r="N4" s="15"/>
      <c r="O4" s="15"/>
    </row>
    <row r="5" spans="2:15" ht="32.25" thickBot="1" x14ac:dyDescent="0.3">
      <c r="B5" s="95" t="s">
        <v>68</v>
      </c>
      <c r="C5" s="16">
        <f>(D5+E5)/2</f>
        <v>0</v>
      </c>
      <c r="D5" s="205"/>
      <c r="E5" s="206"/>
      <c r="F5" s="17">
        <v>3</v>
      </c>
      <c r="G5" s="18">
        <f>C5*F5</f>
        <v>0</v>
      </c>
      <c r="H5" s="202">
        <v>11.461538461538462</v>
      </c>
      <c r="I5" s="203">
        <v>11.461538461538462</v>
      </c>
      <c r="J5" s="35" t="s">
        <v>114</v>
      </c>
      <c r="K5" s="16" t="str">
        <f>IF(C5&lt;10,"D",IF(C5&lt;12,"C",IF(C5&lt;14,"C+",IF(C5&lt;15,"B",IF(C5&lt;16,"B+",IF(C5&lt;18,"A",IF(C5&lt;20,"A+")))))))</f>
        <v>D</v>
      </c>
      <c r="L5" s="15"/>
      <c r="M5" s="15"/>
      <c r="N5" s="19">
        <f>D5*F5</f>
        <v>0</v>
      </c>
      <c r="O5" s="19">
        <f>E5*F5</f>
        <v>0</v>
      </c>
    </row>
    <row r="6" spans="2:15" ht="32.25" thickBot="1" x14ac:dyDescent="0.3">
      <c r="B6" s="95" t="s">
        <v>115</v>
      </c>
      <c r="C6" s="16">
        <f t="shared" ref="C6:C9" si="0">(D6+E6)/2</f>
        <v>0</v>
      </c>
      <c r="D6" s="205"/>
      <c r="E6" s="206"/>
      <c r="F6" s="17">
        <v>1</v>
      </c>
      <c r="G6" s="18">
        <f t="shared" ref="G6:G9" si="1">C6*F6</f>
        <v>0</v>
      </c>
      <c r="H6" s="202">
        <v>7.1538461538461542</v>
      </c>
      <c r="I6" s="203">
        <v>7.1538461538461542</v>
      </c>
      <c r="J6" s="35" t="s">
        <v>114</v>
      </c>
      <c r="K6" s="16" t="str">
        <f t="shared" ref="K6:K9" si="2">IF(C6&lt;10,"D",IF(C6&lt;12,"C",IF(C6&lt;14,"C+",IF(C6&lt;15,"B",IF(C6&lt;16,"B+",IF(C6&lt;18,"A",IF(C6&lt;20,"A+")))))))</f>
        <v>D</v>
      </c>
      <c r="L6" s="15"/>
      <c r="M6" s="15"/>
      <c r="N6" s="19">
        <f t="shared" ref="N6:N9" si="3">D6*F6</f>
        <v>0</v>
      </c>
      <c r="O6" s="19">
        <f t="shared" ref="O6:O9" si="4">E6*F6</f>
        <v>0</v>
      </c>
    </row>
    <row r="7" spans="2:15" ht="32.25" thickBot="1" x14ac:dyDescent="0.3">
      <c r="B7" s="95" t="s">
        <v>116</v>
      </c>
      <c r="C7" s="16">
        <f t="shared" si="0"/>
        <v>0</v>
      </c>
      <c r="D7" s="205"/>
      <c r="E7" s="206"/>
      <c r="F7" s="17">
        <v>2</v>
      </c>
      <c r="G7" s="18">
        <f t="shared" si="1"/>
        <v>0</v>
      </c>
      <c r="H7" s="202">
        <v>10.423076923076923</v>
      </c>
      <c r="I7" s="203">
        <v>10.423076923076923</v>
      </c>
      <c r="J7" s="35" t="s">
        <v>114</v>
      </c>
      <c r="K7" s="16" t="str">
        <f t="shared" si="2"/>
        <v>D</v>
      </c>
      <c r="L7" s="15"/>
      <c r="M7" s="15"/>
      <c r="N7" s="19">
        <f t="shared" si="3"/>
        <v>0</v>
      </c>
      <c r="O7" s="19">
        <f t="shared" si="4"/>
        <v>0</v>
      </c>
    </row>
    <row r="8" spans="2:15" ht="32.25" thickBot="1" x14ac:dyDescent="0.3">
      <c r="B8" s="95" t="s">
        <v>117</v>
      </c>
      <c r="C8" s="16">
        <f t="shared" si="0"/>
        <v>0</v>
      </c>
      <c r="D8" s="205"/>
      <c r="E8" s="206"/>
      <c r="F8" s="17">
        <v>1</v>
      </c>
      <c r="G8" s="18">
        <f t="shared" si="1"/>
        <v>0</v>
      </c>
      <c r="H8" s="202">
        <v>9.2307692307692299</v>
      </c>
      <c r="I8" s="203">
        <v>9.2307692307692299</v>
      </c>
      <c r="J8" s="35" t="s">
        <v>114</v>
      </c>
      <c r="K8" s="16" t="str">
        <f t="shared" si="2"/>
        <v>D</v>
      </c>
      <c r="L8" s="15"/>
      <c r="M8" s="15"/>
      <c r="N8" s="19">
        <f t="shared" si="3"/>
        <v>0</v>
      </c>
      <c r="O8" s="19">
        <f t="shared" si="4"/>
        <v>0</v>
      </c>
    </row>
    <row r="9" spans="2:15" ht="32.25" thickBot="1" x14ac:dyDescent="0.3">
      <c r="B9" s="95" t="s">
        <v>64</v>
      </c>
      <c r="C9" s="16">
        <f t="shared" si="0"/>
        <v>0</v>
      </c>
      <c r="D9" s="205"/>
      <c r="E9" s="206"/>
      <c r="F9" s="17">
        <v>2</v>
      </c>
      <c r="G9" s="18">
        <f t="shared" si="1"/>
        <v>0</v>
      </c>
      <c r="H9" s="202">
        <v>9.9230769230769234</v>
      </c>
      <c r="I9" s="203">
        <v>9.9230769230769234</v>
      </c>
      <c r="J9" s="35" t="s">
        <v>114</v>
      </c>
      <c r="K9" s="16" t="str">
        <f t="shared" si="2"/>
        <v>D</v>
      </c>
      <c r="L9" s="15"/>
      <c r="M9" s="15"/>
      <c r="N9" s="19">
        <f t="shared" si="3"/>
        <v>0</v>
      </c>
      <c r="O9" s="19">
        <f t="shared" si="4"/>
        <v>0</v>
      </c>
    </row>
    <row r="10" spans="2:15" ht="16.5" thickBot="1" x14ac:dyDescent="0.3">
      <c r="B10" s="207" t="s">
        <v>30</v>
      </c>
      <c r="C10" s="208"/>
      <c r="D10" s="208"/>
      <c r="E10" s="208"/>
      <c r="F10" s="208"/>
      <c r="G10" s="208"/>
      <c r="H10" s="208"/>
      <c r="I10" s="208"/>
      <c r="J10" s="208"/>
      <c r="K10" s="209"/>
      <c r="L10" s="15"/>
      <c r="M10" s="15"/>
      <c r="N10" s="15"/>
      <c r="O10" s="15"/>
    </row>
    <row r="11" spans="2:15" ht="16.5" thickBot="1" x14ac:dyDescent="0.3">
      <c r="B11" s="20" t="s">
        <v>31</v>
      </c>
      <c r="C11" s="195">
        <f>(SUM(G5:G9)/SUM(F5:F9))</f>
        <v>0</v>
      </c>
      <c r="D11" s="195"/>
      <c r="E11" s="195"/>
      <c r="F11" s="196" t="s">
        <v>32</v>
      </c>
      <c r="G11" s="196"/>
      <c r="H11" s="98"/>
      <c r="I11" s="190"/>
      <c r="J11" s="190"/>
      <c r="K11" s="197"/>
      <c r="L11" s="15"/>
      <c r="M11" s="15"/>
      <c r="N11" s="15"/>
      <c r="O11" s="15"/>
    </row>
    <row r="12" spans="2:15" ht="16.5" thickBot="1" x14ac:dyDescent="0.3">
      <c r="B12" s="198"/>
      <c r="C12" s="199"/>
      <c r="D12" s="199"/>
      <c r="E12" s="199"/>
      <c r="F12" s="199"/>
      <c r="G12" s="199"/>
      <c r="H12" s="199"/>
      <c r="I12" s="199"/>
      <c r="J12" s="199"/>
      <c r="K12" s="201"/>
      <c r="L12" s="15"/>
      <c r="M12" s="15"/>
      <c r="N12" s="15"/>
      <c r="O12" s="15"/>
    </row>
    <row r="13" spans="2:15" ht="32.25" thickBot="1" x14ac:dyDescent="0.3">
      <c r="B13" s="95" t="s">
        <v>65</v>
      </c>
      <c r="C13" s="16">
        <f t="shared" ref="C13:C16" si="5">(D13+E13)/2</f>
        <v>0</v>
      </c>
      <c r="D13" s="205"/>
      <c r="E13" s="206"/>
      <c r="F13" s="17">
        <v>2</v>
      </c>
      <c r="G13" s="18">
        <f t="shared" ref="G13:G16" si="6">C13*F13</f>
        <v>0</v>
      </c>
      <c r="H13" s="202">
        <v>11.384615384615385</v>
      </c>
      <c r="I13" s="203">
        <v>11.384615384615385</v>
      </c>
      <c r="J13" s="35" t="s">
        <v>114</v>
      </c>
      <c r="K13" s="16" t="str">
        <f t="shared" ref="K13:K16" si="7">IF(C13&lt;10,"D",IF(C13&lt;12,"C",IF(C13&lt;14,"C+",IF(C13&lt;15,"B",IF(C13&lt;16,"B+",IF(C13&lt;18,"A",IF(C13&lt;20,"A+")))))))</f>
        <v>D</v>
      </c>
      <c r="L13" s="15"/>
      <c r="M13" s="15"/>
      <c r="N13" s="19">
        <f t="shared" ref="N13:N16" si="8">D13*F13</f>
        <v>0</v>
      </c>
      <c r="O13" s="19">
        <f t="shared" ref="O13:O16" si="9">E13*F13</f>
        <v>0</v>
      </c>
    </row>
    <row r="14" spans="2:15" ht="32.25" thickBot="1" x14ac:dyDescent="0.3">
      <c r="B14" s="95" t="s">
        <v>118</v>
      </c>
      <c r="C14" s="16">
        <f t="shared" si="5"/>
        <v>0</v>
      </c>
      <c r="D14" s="205"/>
      <c r="E14" s="206"/>
      <c r="F14" s="17">
        <v>2</v>
      </c>
      <c r="G14" s="18">
        <f t="shared" si="6"/>
        <v>0</v>
      </c>
      <c r="H14" s="202">
        <v>10.692307692307692</v>
      </c>
      <c r="I14" s="203">
        <v>10.692307692307692</v>
      </c>
      <c r="J14" s="35" t="s">
        <v>114</v>
      </c>
      <c r="K14" s="16" t="str">
        <f t="shared" si="7"/>
        <v>D</v>
      </c>
      <c r="L14" s="15"/>
      <c r="M14" s="15"/>
      <c r="N14" s="19">
        <f t="shared" si="8"/>
        <v>0</v>
      </c>
      <c r="O14" s="19">
        <f t="shared" si="9"/>
        <v>0</v>
      </c>
    </row>
    <row r="15" spans="2:15" ht="32.25" thickBot="1" x14ac:dyDescent="0.3">
      <c r="B15" s="95" t="s">
        <v>119</v>
      </c>
      <c r="C15" s="16">
        <f t="shared" si="5"/>
        <v>0</v>
      </c>
      <c r="D15" s="205"/>
      <c r="E15" s="206"/>
      <c r="F15" s="17">
        <v>2</v>
      </c>
      <c r="G15" s="18">
        <f t="shared" si="6"/>
        <v>0</v>
      </c>
      <c r="H15" s="202">
        <v>11.692307692307692</v>
      </c>
      <c r="I15" s="203">
        <v>11.692307692307692</v>
      </c>
      <c r="J15" s="35" t="s">
        <v>114</v>
      </c>
      <c r="K15" s="16" t="str">
        <f t="shared" si="7"/>
        <v>D</v>
      </c>
      <c r="L15" s="15"/>
      <c r="M15" s="15"/>
      <c r="N15" s="19">
        <f t="shared" si="8"/>
        <v>0</v>
      </c>
      <c r="O15" s="19">
        <f t="shared" si="9"/>
        <v>0</v>
      </c>
    </row>
    <row r="16" spans="2:15" ht="32.25" thickBot="1" x14ac:dyDescent="0.3">
      <c r="B16" s="95" t="s">
        <v>66</v>
      </c>
      <c r="C16" s="16">
        <f t="shared" si="5"/>
        <v>0</v>
      </c>
      <c r="D16" s="205"/>
      <c r="E16" s="206"/>
      <c r="F16" s="17">
        <v>1</v>
      </c>
      <c r="G16" s="18">
        <f t="shared" si="6"/>
        <v>0</v>
      </c>
      <c r="H16" s="202">
        <v>16</v>
      </c>
      <c r="I16" s="203"/>
      <c r="J16" s="35" t="s">
        <v>123</v>
      </c>
      <c r="K16" s="16" t="str">
        <f t="shared" si="7"/>
        <v>D</v>
      </c>
      <c r="L16" s="15"/>
      <c r="M16" s="15"/>
      <c r="N16" s="19">
        <f t="shared" si="8"/>
        <v>0</v>
      </c>
      <c r="O16" s="19">
        <f t="shared" si="9"/>
        <v>0</v>
      </c>
    </row>
    <row r="17" spans="2:15" ht="16.5" thickBot="1" x14ac:dyDescent="0.3">
      <c r="B17" s="207" t="s">
        <v>33</v>
      </c>
      <c r="C17" s="208"/>
      <c r="D17" s="208"/>
      <c r="E17" s="208"/>
      <c r="F17" s="208"/>
      <c r="G17" s="208"/>
      <c r="H17" s="208"/>
      <c r="I17" s="208"/>
      <c r="J17" s="208"/>
      <c r="K17" s="209"/>
      <c r="L17" s="15"/>
      <c r="M17" s="15"/>
      <c r="N17" s="15"/>
      <c r="O17" s="15"/>
    </row>
    <row r="18" spans="2:15" ht="16.5" thickBot="1" x14ac:dyDescent="0.3">
      <c r="B18" s="20" t="s">
        <v>34</v>
      </c>
      <c r="C18" s="195">
        <f>(SUM(G13:G16)/SUM(F13:F16))</f>
        <v>0</v>
      </c>
      <c r="D18" s="195"/>
      <c r="E18" s="195"/>
      <c r="F18" s="196" t="s">
        <v>32</v>
      </c>
      <c r="G18" s="196"/>
      <c r="H18" s="98"/>
      <c r="I18" s="190"/>
      <c r="J18" s="190"/>
      <c r="K18" s="197"/>
      <c r="L18" s="15"/>
      <c r="M18" s="15"/>
      <c r="N18" s="15"/>
      <c r="O18" s="15"/>
    </row>
    <row r="19" spans="2:15" ht="16.5" thickBot="1" x14ac:dyDescent="0.3">
      <c r="B19" s="210"/>
      <c r="C19" s="211"/>
      <c r="D19" s="211"/>
      <c r="E19" s="211"/>
      <c r="F19" s="211"/>
      <c r="G19" s="211"/>
      <c r="H19" s="211"/>
      <c r="I19" s="211"/>
      <c r="J19" s="211"/>
      <c r="K19" s="212"/>
      <c r="L19" s="15"/>
      <c r="M19" s="15"/>
      <c r="N19" s="15"/>
      <c r="O19" s="15"/>
    </row>
    <row r="20" spans="2:15" ht="32.25" thickBot="1" x14ac:dyDescent="0.3">
      <c r="B20" s="95" t="s">
        <v>69</v>
      </c>
      <c r="C20" s="16">
        <f t="shared" ref="C20:C23" si="10">(D20+E20)/2</f>
        <v>0</v>
      </c>
      <c r="D20" s="205"/>
      <c r="E20" s="206"/>
      <c r="F20" s="17">
        <v>2</v>
      </c>
      <c r="G20" s="18">
        <f t="shared" ref="G20:G23" si="11">C20*F20</f>
        <v>0</v>
      </c>
      <c r="H20" s="202">
        <v>8.2307692307692299</v>
      </c>
      <c r="I20" s="203">
        <v>8.2307692307692299</v>
      </c>
      <c r="J20" s="35" t="s">
        <v>114</v>
      </c>
      <c r="K20" s="16" t="str">
        <f t="shared" ref="K20:K23" si="12">IF(C20&lt;10,"D",IF(C20&lt;12,"C",IF(C20&lt;14,"C+",IF(C20&lt;15,"B",IF(C20&lt;16,"B+",IF(C20&lt;18,"A",IF(C20&lt;20,"A+")))))))</f>
        <v>D</v>
      </c>
      <c r="L20" s="15"/>
      <c r="M20" s="15"/>
      <c r="N20" s="19">
        <f t="shared" ref="N20:N23" si="13">D20*F20</f>
        <v>0</v>
      </c>
      <c r="O20" s="19">
        <f t="shared" ref="O20:O23" si="14">E20*F20</f>
        <v>0</v>
      </c>
    </row>
    <row r="21" spans="2:15" ht="32.25" thickBot="1" x14ac:dyDescent="0.3">
      <c r="B21" s="95" t="s">
        <v>70</v>
      </c>
      <c r="C21" s="16">
        <f t="shared" si="10"/>
        <v>0</v>
      </c>
      <c r="D21" s="205"/>
      <c r="E21" s="206"/>
      <c r="F21" s="17">
        <v>4</v>
      </c>
      <c r="G21" s="18">
        <f t="shared" si="11"/>
        <v>0</v>
      </c>
      <c r="H21" s="202">
        <v>4.2692307692307692</v>
      </c>
      <c r="I21" s="203">
        <v>4.2692307692307692</v>
      </c>
      <c r="J21" s="35" t="s">
        <v>114</v>
      </c>
      <c r="K21" s="16" t="str">
        <f t="shared" si="12"/>
        <v>D</v>
      </c>
      <c r="L21" s="15"/>
      <c r="M21" s="15"/>
      <c r="N21" s="19">
        <f t="shared" si="13"/>
        <v>0</v>
      </c>
      <c r="O21" s="19">
        <f t="shared" si="14"/>
        <v>0</v>
      </c>
    </row>
    <row r="22" spans="2:15" ht="32.25" thickBot="1" x14ac:dyDescent="0.3">
      <c r="B22" s="95" t="s">
        <v>120</v>
      </c>
      <c r="C22" s="16">
        <f t="shared" si="10"/>
        <v>0</v>
      </c>
      <c r="D22" s="205"/>
      <c r="E22" s="206"/>
      <c r="F22" s="17">
        <v>2</v>
      </c>
      <c r="G22" s="18">
        <f t="shared" si="11"/>
        <v>0</v>
      </c>
      <c r="H22" s="202">
        <v>5.6538461538461542</v>
      </c>
      <c r="I22" s="203">
        <v>5.6538461538461542</v>
      </c>
      <c r="J22" s="35" t="s">
        <v>114</v>
      </c>
      <c r="K22" s="16" t="str">
        <f t="shared" si="12"/>
        <v>D</v>
      </c>
      <c r="L22" s="15"/>
      <c r="M22" s="15"/>
      <c r="N22" s="19">
        <f t="shared" si="13"/>
        <v>0</v>
      </c>
      <c r="O22" s="19">
        <f t="shared" si="14"/>
        <v>0</v>
      </c>
    </row>
    <row r="23" spans="2:15" ht="32.25" thickBot="1" x14ac:dyDescent="0.3">
      <c r="B23" s="95" t="s">
        <v>71</v>
      </c>
      <c r="C23" s="16">
        <f t="shared" si="10"/>
        <v>0</v>
      </c>
      <c r="D23" s="205"/>
      <c r="E23" s="206"/>
      <c r="F23" s="17">
        <v>2</v>
      </c>
      <c r="G23" s="18">
        <f t="shared" si="11"/>
        <v>0</v>
      </c>
      <c r="H23" s="202">
        <v>9.7692307692307701</v>
      </c>
      <c r="I23" s="203">
        <v>9.7692307692307701</v>
      </c>
      <c r="J23" s="35" t="s">
        <v>114</v>
      </c>
      <c r="K23" s="16" t="str">
        <f t="shared" si="12"/>
        <v>D</v>
      </c>
      <c r="L23" s="15"/>
      <c r="M23" s="15"/>
      <c r="N23" s="19">
        <f t="shared" si="13"/>
        <v>0</v>
      </c>
      <c r="O23" s="19">
        <f t="shared" si="14"/>
        <v>0</v>
      </c>
    </row>
    <row r="24" spans="2:15" ht="16.5" thickBot="1" x14ac:dyDescent="0.3">
      <c r="B24" s="207" t="s">
        <v>35</v>
      </c>
      <c r="C24" s="208"/>
      <c r="D24" s="208"/>
      <c r="E24" s="208"/>
      <c r="F24" s="208"/>
      <c r="G24" s="208"/>
      <c r="H24" s="208"/>
      <c r="I24" s="208"/>
      <c r="J24" s="208"/>
      <c r="K24" s="209"/>
      <c r="L24" s="15"/>
      <c r="M24" s="15"/>
      <c r="N24" s="15"/>
      <c r="O24" s="15"/>
    </row>
    <row r="25" spans="2:15" ht="16.5" thickBot="1" x14ac:dyDescent="0.3">
      <c r="B25" s="20" t="s">
        <v>31</v>
      </c>
      <c r="C25" s="195">
        <f>(SUM(G20:G23)/SUM(F20:F23))</f>
        <v>0</v>
      </c>
      <c r="D25" s="195"/>
      <c r="E25" s="195"/>
      <c r="F25" s="196" t="s">
        <v>32</v>
      </c>
      <c r="G25" s="196"/>
      <c r="H25" s="98"/>
      <c r="I25" s="190"/>
      <c r="J25" s="190"/>
      <c r="K25" s="197"/>
      <c r="L25" s="15"/>
      <c r="M25" s="15"/>
      <c r="N25" s="15"/>
      <c r="O25" s="15"/>
    </row>
    <row r="26" spans="2:15" ht="16.5" thickBot="1" x14ac:dyDescent="0.3">
      <c r="B26" s="198"/>
      <c r="C26" s="199"/>
      <c r="D26" s="199"/>
      <c r="E26" s="199"/>
      <c r="F26" s="199"/>
      <c r="G26" s="199"/>
      <c r="H26" s="200"/>
      <c r="I26" s="200"/>
      <c r="J26" s="200"/>
      <c r="K26" s="201"/>
      <c r="L26" s="15"/>
      <c r="M26" s="15"/>
      <c r="N26" s="15"/>
      <c r="O26" s="15"/>
    </row>
    <row r="27" spans="2:15" ht="32.25" thickBot="1" x14ac:dyDescent="0.3">
      <c r="B27" s="95" t="s">
        <v>67</v>
      </c>
      <c r="C27" s="16">
        <f t="shared" ref="C27:C30" si="15">(D27+E27)/2</f>
        <v>0</v>
      </c>
      <c r="D27" s="205"/>
      <c r="E27" s="206"/>
      <c r="F27" s="17">
        <v>1</v>
      </c>
      <c r="G27" s="18">
        <f t="shared" ref="G27:G30" si="16">C27*F27</f>
        <v>0</v>
      </c>
      <c r="H27" s="202">
        <v>16</v>
      </c>
      <c r="I27" s="203">
        <v>16</v>
      </c>
      <c r="J27" s="35" t="s">
        <v>123</v>
      </c>
      <c r="K27" s="16" t="str">
        <f t="shared" ref="K27:K30" si="17">IF(C27&lt;10,"D",IF(C27&lt;12,"C",IF(C27&lt;14,"C+",IF(C27&lt;15,"B",IF(C27&lt;16,"B+",IF(C27&lt;18,"A",IF(C27&lt;20,"A+")))))))</f>
        <v>D</v>
      </c>
      <c r="L27" s="15"/>
      <c r="M27" s="15"/>
      <c r="N27" s="19">
        <f t="shared" ref="N27:N30" si="18">D27*F27</f>
        <v>0</v>
      </c>
      <c r="O27" s="19">
        <f t="shared" ref="O27:O30" si="19">E27*F27</f>
        <v>0</v>
      </c>
    </row>
    <row r="28" spans="2:15" ht="32.25" thickBot="1" x14ac:dyDescent="0.3">
      <c r="B28" s="95" t="s">
        <v>122</v>
      </c>
      <c r="C28" s="16">
        <f t="shared" si="15"/>
        <v>0</v>
      </c>
      <c r="D28" s="205"/>
      <c r="E28" s="206"/>
      <c r="F28" s="17">
        <v>2</v>
      </c>
      <c r="G28" s="18">
        <f t="shared" si="16"/>
        <v>0</v>
      </c>
      <c r="H28" s="202">
        <v>15.846153846153847</v>
      </c>
      <c r="I28" s="203">
        <v>15.846153846153847</v>
      </c>
      <c r="J28" s="35" t="s">
        <v>114</v>
      </c>
      <c r="K28" s="16" t="str">
        <f t="shared" si="17"/>
        <v>D</v>
      </c>
      <c r="L28" s="15"/>
      <c r="M28" s="15"/>
      <c r="N28" s="19">
        <f t="shared" si="18"/>
        <v>0</v>
      </c>
      <c r="O28" s="19">
        <f t="shared" si="19"/>
        <v>0</v>
      </c>
    </row>
    <row r="29" spans="2:15" ht="32.25" thickBot="1" x14ac:dyDescent="0.3">
      <c r="B29" s="95" t="s">
        <v>72</v>
      </c>
      <c r="C29" s="16">
        <f t="shared" si="15"/>
        <v>0</v>
      </c>
      <c r="D29" s="205"/>
      <c r="E29" s="206"/>
      <c r="F29" s="17">
        <v>1</v>
      </c>
      <c r="G29" s="18">
        <f t="shared" si="16"/>
        <v>0</v>
      </c>
      <c r="H29" s="202">
        <v>12.76923076923077</v>
      </c>
      <c r="I29" s="203">
        <v>12.76923076923077</v>
      </c>
      <c r="J29" s="35" t="s">
        <v>114</v>
      </c>
      <c r="K29" s="16" t="str">
        <f t="shared" si="17"/>
        <v>D</v>
      </c>
      <c r="L29" s="15"/>
      <c r="M29" s="15"/>
      <c r="N29" s="19">
        <f t="shared" si="18"/>
        <v>0</v>
      </c>
      <c r="O29" s="19">
        <f t="shared" si="19"/>
        <v>0</v>
      </c>
    </row>
    <row r="30" spans="2:15" ht="32.25" thickBot="1" x14ac:dyDescent="0.3">
      <c r="B30" s="95" t="s">
        <v>121</v>
      </c>
      <c r="C30" s="16">
        <f t="shared" si="15"/>
        <v>0</v>
      </c>
      <c r="D30" s="205"/>
      <c r="E30" s="206"/>
      <c r="F30" s="17">
        <v>1</v>
      </c>
      <c r="G30" s="18">
        <f t="shared" si="16"/>
        <v>0</v>
      </c>
      <c r="H30" s="202">
        <v>17</v>
      </c>
      <c r="I30" s="203"/>
      <c r="J30" s="35" t="s">
        <v>123</v>
      </c>
      <c r="K30" s="16" t="str">
        <f t="shared" si="17"/>
        <v>D</v>
      </c>
      <c r="L30" s="15"/>
      <c r="M30" s="15"/>
      <c r="N30" s="19">
        <f t="shared" si="18"/>
        <v>0</v>
      </c>
      <c r="O30" s="19">
        <f t="shared" si="19"/>
        <v>0</v>
      </c>
    </row>
    <row r="31" spans="2:15" ht="16.5" thickBot="1" x14ac:dyDescent="0.3">
      <c r="B31" s="95" t="s">
        <v>36</v>
      </c>
      <c r="C31" s="96"/>
      <c r="D31" s="96"/>
      <c r="E31" s="96"/>
      <c r="F31" s="96"/>
      <c r="G31" s="96"/>
      <c r="H31" s="96"/>
      <c r="I31" s="96"/>
      <c r="J31" s="96"/>
      <c r="K31" s="97"/>
      <c r="L31" s="15"/>
      <c r="M31" s="15"/>
      <c r="N31" s="15">
        <f>SUM(N5:N30)</f>
        <v>0</v>
      </c>
      <c r="O31" s="15">
        <f>SUM(O5:O30)</f>
        <v>0</v>
      </c>
    </row>
    <row r="32" spans="2:15" ht="16.5" thickBot="1" x14ac:dyDescent="0.3">
      <c r="B32" s="21" t="s">
        <v>34</v>
      </c>
      <c r="C32" s="195">
        <f>(SUM(G27:G30)/SUM(F27:F30))</f>
        <v>0</v>
      </c>
      <c r="D32" s="195"/>
      <c r="E32" s="195"/>
      <c r="F32" s="204" t="s">
        <v>32</v>
      </c>
      <c r="G32" s="204"/>
      <c r="H32" s="99"/>
      <c r="I32" s="163"/>
      <c r="J32" s="163"/>
      <c r="K32" s="164"/>
      <c r="L32" s="15"/>
      <c r="M32" s="15"/>
      <c r="N32" s="15">
        <v>31</v>
      </c>
      <c r="O32" s="15">
        <v>31</v>
      </c>
    </row>
    <row r="33" spans="2:15" ht="16.5" thickBot="1" x14ac:dyDescent="0.3">
      <c r="B33" s="178"/>
      <c r="C33" s="179"/>
      <c r="D33" s="179"/>
      <c r="E33" s="179"/>
      <c r="F33" s="179"/>
      <c r="G33" s="179"/>
      <c r="H33" s="179"/>
      <c r="I33" s="179"/>
      <c r="J33" s="179"/>
      <c r="K33" s="180"/>
      <c r="L33" s="15"/>
      <c r="M33" s="15"/>
      <c r="N33" s="15">
        <f>N31/N32</f>
        <v>0</v>
      </c>
      <c r="O33" s="15">
        <f>O31/O32</f>
        <v>0</v>
      </c>
    </row>
    <row r="34" spans="2:15" ht="48" thickBot="1" x14ac:dyDescent="0.3">
      <c r="B34" s="22" t="s">
        <v>37</v>
      </c>
      <c r="C34" s="23" t="s">
        <v>38</v>
      </c>
      <c r="D34" s="99">
        <v>10.220000000000001</v>
      </c>
      <c r="E34" s="24" t="s">
        <v>39</v>
      </c>
      <c r="F34" s="190">
        <v>11.9</v>
      </c>
      <c r="G34" s="190"/>
      <c r="H34" s="24" t="s">
        <v>40</v>
      </c>
      <c r="I34" s="190">
        <v>8.4499999999999993</v>
      </c>
      <c r="J34" s="190"/>
      <c r="K34" s="25"/>
      <c r="L34" s="26"/>
      <c r="M34" s="26"/>
      <c r="N34" s="26"/>
      <c r="O34" s="26"/>
    </row>
    <row r="35" spans="2:15" ht="15.75" x14ac:dyDescent="0.25">
      <c r="B35" s="74"/>
      <c r="C35" s="193" t="s">
        <v>130</v>
      </c>
      <c r="D35" s="193"/>
      <c r="E35" s="75"/>
      <c r="F35" s="75"/>
      <c r="G35" s="76"/>
      <c r="H35" s="145"/>
      <c r="I35" s="146"/>
      <c r="J35" s="146"/>
      <c r="K35" s="147"/>
      <c r="L35" s="15"/>
      <c r="M35" s="15"/>
      <c r="N35" s="15"/>
      <c r="O35" s="15"/>
    </row>
    <row r="36" spans="2:15" ht="15.75" x14ac:dyDescent="0.25">
      <c r="B36" s="77" t="s">
        <v>41</v>
      </c>
      <c r="C36" s="194">
        <f>N33</f>
        <v>0</v>
      </c>
      <c r="D36" s="194"/>
      <c r="E36" s="79" t="s">
        <v>131</v>
      </c>
      <c r="F36" s="80">
        <f>(G5+G6+G7+G8+G9+G13+G14+G15+G20+G16+G21+G22+G23+G27+G28+G29+G30)/31</f>
        <v>0</v>
      </c>
      <c r="G36" s="81" t="s">
        <v>42</v>
      </c>
      <c r="H36" s="191" t="s">
        <v>43</v>
      </c>
      <c r="I36" s="192"/>
      <c r="J36" s="27" t="s">
        <v>114</v>
      </c>
      <c r="K36" s="28" t="s">
        <v>113</v>
      </c>
      <c r="L36" s="15"/>
      <c r="M36" s="15"/>
      <c r="N36" s="15"/>
      <c r="O36" s="15"/>
    </row>
    <row r="37" spans="2:15" ht="12.75" customHeight="1" x14ac:dyDescent="0.25">
      <c r="B37" s="77"/>
      <c r="C37" s="78"/>
      <c r="D37" s="78"/>
      <c r="E37" s="79"/>
      <c r="F37" s="80"/>
      <c r="G37" s="81"/>
      <c r="H37" s="100"/>
      <c r="I37" s="101"/>
      <c r="J37" s="27"/>
      <c r="K37" s="28"/>
      <c r="L37" s="15"/>
      <c r="M37" s="15"/>
      <c r="N37" s="15"/>
      <c r="O37" s="15"/>
    </row>
    <row r="38" spans="2:15" ht="18" customHeight="1" x14ac:dyDescent="0.25">
      <c r="B38" s="102" t="s">
        <v>132</v>
      </c>
      <c r="C38" s="103" t="s">
        <v>133</v>
      </c>
      <c r="D38" s="103" t="s">
        <v>134</v>
      </c>
      <c r="E38" s="104" t="s">
        <v>135</v>
      </c>
      <c r="F38" s="105">
        <f>AVERAGE(B39:C39:D39)</f>
        <v>0</v>
      </c>
      <c r="G38" s="106" t="s">
        <v>42</v>
      </c>
      <c r="H38" s="171" t="s">
        <v>136</v>
      </c>
      <c r="I38" s="172"/>
      <c r="J38" s="173" t="s">
        <v>137</v>
      </c>
      <c r="K38" s="174"/>
      <c r="L38" s="15"/>
      <c r="M38" s="15"/>
      <c r="N38" s="15"/>
      <c r="O38" s="15"/>
    </row>
    <row r="39" spans="2:15" ht="18" customHeight="1" thickBot="1" x14ac:dyDescent="0.3">
      <c r="B39" s="107"/>
      <c r="C39" s="108"/>
      <c r="D39" s="108">
        <f>F36</f>
        <v>0</v>
      </c>
      <c r="E39" s="109"/>
      <c r="F39" s="110"/>
      <c r="G39" s="111"/>
      <c r="H39" s="101"/>
      <c r="I39" s="101"/>
      <c r="J39" s="27"/>
      <c r="K39" s="28"/>
      <c r="L39" s="15"/>
      <c r="M39" s="15"/>
      <c r="N39" s="15"/>
      <c r="O39" s="15"/>
    </row>
    <row r="40" spans="2:15" ht="16.5" thickBot="1" x14ac:dyDescent="0.3">
      <c r="B40" s="175" t="s">
        <v>44</v>
      </c>
      <c r="C40" s="176"/>
      <c r="D40" s="176"/>
      <c r="E40" s="176"/>
      <c r="F40" s="176"/>
      <c r="G40" s="176"/>
      <c r="H40" s="176"/>
      <c r="I40" s="176"/>
      <c r="J40" s="176"/>
      <c r="K40" s="177"/>
      <c r="L40" s="15"/>
      <c r="M40" s="15"/>
      <c r="N40" s="15"/>
      <c r="O40" s="15"/>
    </row>
    <row r="41" spans="2:15" ht="16.5" thickBot="1" x14ac:dyDescent="0.3">
      <c r="B41" s="162" t="s">
        <v>45</v>
      </c>
      <c r="C41" s="163"/>
      <c r="D41" s="163"/>
      <c r="E41" s="163"/>
      <c r="F41" s="163"/>
      <c r="G41" s="163"/>
      <c r="H41" s="163"/>
      <c r="I41" s="163"/>
      <c r="J41" s="163"/>
      <c r="K41" s="164"/>
      <c r="L41" s="15"/>
      <c r="M41" s="15"/>
      <c r="N41" s="15"/>
      <c r="O41" s="15"/>
    </row>
    <row r="42" spans="2:15" ht="16.5" thickBot="1" x14ac:dyDescent="0.3">
      <c r="B42" s="22" t="s">
        <v>46</v>
      </c>
      <c r="C42" s="178" t="s">
        <v>47</v>
      </c>
      <c r="D42" s="179"/>
      <c r="E42" s="180"/>
      <c r="F42" s="165" t="s">
        <v>48</v>
      </c>
      <c r="G42" s="166"/>
      <c r="H42" s="166"/>
      <c r="I42" s="166"/>
      <c r="J42" s="166"/>
      <c r="K42" s="167"/>
      <c r="L42" s="15"/>
      <c r="M42" s="15"/>
      <c r="N42" s="15"/>
      <c r="O42" s="15"/>
    </row>
    <row r="43" spans="2:15" ht="16.5" thickBot="1" x14ac:dyDescent="0.3">
      <c r="B43" s="29" t="s">
        <v>49</v>
      </c>
      <c r="C43" s="181" t="str">
        <f>IF(F38&lt;10,"CNA",IF(F38&lt;12,"CMA",IF(F38&lt;14,"CA",IF(F38&lt;16,"CBA",IF(F38&lt;20,"CTBA")))))</f>
        <v>CNA</v>
      </c>
      <c r="D43" s="182" t="e">
        <f>IF(#REF!&lt;10,"D",IF(#REF!&lt;12,"C",IF(#REF!&lt;14,"C+",IF(#REF!&lt;15,"B",IF(#REF!&lt;16,"B+",IF(#REF!&lt;18,"A",IF(#REF!&lt;20,"A+")))))))</f>
        <v>#REF!</v>
      </c>
      <c r="E43" s="183" t="e">
        <f>IF(#REF!&lt;10,"D",IF(#REF!&lt;12,"C",IF(#REF!&lt;14,"C+",IF(#REF!&lt;15,"B",IF(#REF!&lt;16,"B+",IF(#REF!&lt;18,"A",IF(#REF!&lt;20,"A+")))))))</f>
        <v>#REF!</v>
      </c>
      <c r="F43" s="168"/>
      <c r="G43" s="169"/>
      <c r="H43" s="169"/>
      <c r="I43" s="169"/>
      <c r="J43" s="169"/>
      <c r="K43" s="170"/>
      <c r="L43" s="15"/>
      <c r="M43" s="15"/>
      <c r="N43" s="15"/>
      <c r="O43" s="15"/>
    </row>
    <row r="44" spans="2:15" ht="16.5" thickBot="1" x14ac:dyDescent="0.3">
      <c r="B44" s="30" t="s">
        <v>50</v>
      </c>
      <c r="C44" s="184" t="e">
        <f>IF(#REF!&lt;10,"D",IF(#REF!&lt;12,"C",IF(#REF!&lt;14,"C+",IF(#REF!&lt;15,"B",IF(#REF!&lt;16,"B+",IF(#REF!&lt;18,"A",IF(#REF!&lt;20,"A+")))))))</f>
        <v>#REF!</v>
      </c>
      <c r="D44" s="185" t="e">
        <f>IF(#REF!&lt;10,"D",IF(#REF!&lt;12,"C",IF(#REF!&lt;14,"C+",IF(#REF!&lt;15,"B",IF(#REF!&lt;16,"B+",IF(#REF!&lt;18,"A",IF(#REF!&lt;20,"A+")))))))</f>
        <v>#REF!</v>
      </c>
      <c r="E44" s="186" t="e">
        <f>IF(#REF!&lt;10,"D",IF(#REF!&lt;12,"C",IF(#REF!&lt;14,"C+",IF(#REF!&lt;15,"B",IF(#REF!&lt;16,"B+",IF(#REF!&lt;18,"A",IF(#REF!&lt;20,"A+")))))))</f>
        <v>#REF!</v>
      </c>
      <c r="F44" s="162" t="s">
        <v>51</v>
      </c>
      <c r="G44" s="163"/>
      <c r="H44" s="163"/>
      <c r="I44" s="164"/>
      <c r="J44" s="165" t="s">
        <v>52</v>
      </c>
      <c r="K44" s="167"/>
      <c r="L44" s="15"/>
      <c r="M44" s="15"/>
      <c r="N44" s="15"/>
      <c r="O44" s="15"/>
    </row>
    <row r="45" spans="2:15" ht="16.5" thickBot="1" x14ac:dyDescent="0.3">
      <c r="B45" s="31" t="s">
        <v>53</v>
      </c>
      <c r="C45" s="187" t="e">
        <f>IF(#REF!&lt;10,"D",IF(#REF!&lt;12,"C",IF(#REF!&lt;14,"C+",IF(#REF!&lt;15,"B",IF(#REF!&lt;16,"B+",IF(#REF!&lt;18,"A",IF(#REF!&lt;20,"A+")))))))</f>
        <v>#REF!</v>
      </c>
      <c r="D45" s="188" t="e">
        <f>IF(#REF!&lt;10,"D",IF(#REF!&lt;12,"C",IF(#REF!&lt;14,"C+",IF(#REF!&lt;15,"B",IF(#REF!&lt;16,"B+",IF(#REF!&lt;18,"A",IF(#REF!&lt;20,"A+")))))))</f>
        <v>#REF!</v>
      </c>
      <c r="E45" s="189" t="e">
        <f>IF(#REF!&lt;10,"D",IF(#REF!&lt;12,"C",IF(#REF!&lt;14,"C+",IF(#REF!&lt;15,"B",IF(#REF!&lt;16,"B+",IF(#REF!&lt;18,"A",IF(#REF!&lt;20,"A+")))))))</f>
        <v>#REF!</v>
      </c>
      <c r="F45" s="162" t="s">
        <v>54</v>
      </c>
      <c r="G45" s="163"/>
      <c r="H45" s="163"/>
      <c r="I45" s="164"/>
      <c r="J45" s="160" t="s">
        <v>55</v>
      </c>
      <c r="K45" s="161"/>
      <c r="L45" s="15"/>
      <c r="M45" s="15"/>
      <c r="N45" s="15"/>
      <c r="O45" s="15"/>
    </row>
    <row r="46" spans="2:15" ht="16.5" thickBot="1" x14ac:dyDescent="0.3">
      <c r="B46" s="23" t="s">
        <v>56</v>
      </c>
      <c r="C46" s="165" t="s">
        <v>57</v>
      </c>
      <c r="D46" s="166"/>
      <c r="E46" s="167"/>
      <c r="F46" s="162" t="s">
        <v>58</v>
      </c>
      <c r="G46" s="163"/>
      <c r="H46" s="163"/>
      <c r="I46" s="164"/>
      <c r="J46" s="160"/>
      <c r="K46" s="161"/>
      <c r="L46" s="15"/>
      <c r="M46" s="15"/>
      <c r="N46" s="15"/>
      <c r="O46" s="15"/>
    </row>
    <row r="47" spans="2:15" ht="16.5" thickBot="1" x14ac:dyDescent="0.3">
      <c r="B47" s="23" t="s">
        <v>59</v>
      </c>
      <c r="C47" s="168"/>
      <c r="D47" s="169"/>
      <c r="E47" s="170"/>
      <c r="F47" s="162" t="s">
        <v>60</v>
      </c>
      <c r="G47" s="163"/>
      <c r="H47" s="163"/>
      <c r="I47" s="164"/>
      <c r="J47" s="154" t="s">
        <v>61</v>
      </c>
      <c r="K47" s="155"/>
      <c r="L47" s="15"/>
      <c r="M47" s="15"/>
      <c r="N47" s="15"/>
      <c r="O47" s="15"/>
    </row>
    <row r="48" spans="2:15" ht="31.5" x14ac:dyDescent="0.25">
      <c r="B48" s="22" t="s">
        <v>62</v>
      </c>
      <c r="C48" s="145"/>
      <c r="D48" s="146"/>
      <c r="E48" s="147"/>
      <c r="F48" s="145"/>
      <c r="G48" s="146"/>
      <c r="H48" s="146"/>
      <c r="I48" s="147"/>
      <c r="J48" s="154" t="s">
        <v>63</v>
      </c>
      <c r="K48" s="155"/>
      <c r="L48" s="15"/>
      <c r="M48" s="15"/>
      <c r="N48" s="15"/>
      <c r="O48" s="15"/>
    </row>
    <row r="49" spans="2:15" ht="15.75" x14ac:dyDescent="0.25">
      <c r="B49" s="32"/>
      <c r="C49" s="148"/>
      <c r="D49" s="149"/>
      <c r="E49" s="150"/>
      <c r="F49" s="148"/>
      <c r="G49" s="149"/>
      <c r="H49" s="149"/>
      <c r="I49" s="150"/>
      <c r="J49" s="156"/>
      <c r="K49" s="157"/>
      <c r="L49" s="15"/>
      <c r="M49" s="15"/>
      <c r="N49" s="15"/>
      <c r="O49" s="15"/>
    </row>
    <row r="50" spans="2:15" ht="15.75" x14ac:dyDescent="0.25">
      <c r="B50" s="32"/>
      <c r="C50" s="148"/>
      <c r="D50" s="149"/>
      <c r="E50" s="150"/>
      <c r="F50" s="148"/>
      <c r="G50" s="149"/>
      <c r="H50" s="149"/>
      <c r="I50" s="150"/>
      <c r="J50" s="156"/>
      <c r="K50" s="157"/>
      <c r="L50" s="15"/>
      <c r="M50" s="15"/>
      <c r="N50" s="15"/>
      <c r="O50" s="15"/>
    </row>
    <row r="51" spans="2:15" ht="16.5" thickBot="1" x14ac:dyDescent="0.3">
      <c r="B51" s="31"/>
      <c r="C51" s="151"/>
      <c r="D51" s="152"/>
      <c r="E51" s="153"/>
      <c r="F51" s="151"/>
      <c r="G51" s="152"/>
      <c r="H51" s="152"/>
      <c r="I51" s="153"/>
      <c r="J51" s="158"/>
      <c r="K51" s="159"/>
      <c r="L51" s="15"/>
      <c r="M51" s="15"/>
      <c r="N51" s="15"/>
      <c r="O51" s="15"/>
    </row>
  </sheetData>
  <mergeCells count="83">
    <mergeCell ref="J50:K50"/>
    <mergeCell ref="J51:K51"/>
    <mergeCell ref="D22:E22"/>
    <mergeCell ref="D23:E23"/>
    <mergeCell ref="D27:E27"/>
    <mergeCell ref="D28:E28"/>
    <mergeCell ref="D29:E29"/>
    <mergeCell ref="B24:K24"/>
    <mergeCell ref="B33:K33"/>
    <mergeCell ref="C25:E25"/>
    <mergeCell ref="F25:G25"/>
    <mergeCell ref="I25:K25"/>
    <mergeCell ref="B26:K26"/>
    <mergeCell ref="H27:I27"/>
    <mergeCell ref="H28:I28"/>
    <mergeCell ref="H29:I29"/>
    <mergeCell ref="D8:E8"/>
    <mergeCell ref="D9:E9"/>
    <mergeCell ref="D13:E13"/>
    <mergeCell ref="D14:E14"/>
    <mergeCell ref="D15:E15"/>
    <mergeCell ref="H13:I13"/>
    <mergeCell ref="H4:I4"/>
    <mergeCell ref="H5:I5"/>
    <mergeCell ref="H6:I6"/>
    <mergeCell ref="H7:I7"/>
    <mergeCell ref="H8:I8"/>
    <mergeCell ref="H9:I9"/>
    <mergeCell ref="B10:K10"/>
    <mergeCell ref="C11:E11"/>
    <mergeCell ref="F11:G11"/>
    <mergeCell ref="I11:K11"/>
    <mergeCell ref="B12:K12"/>
    <mergeCell ref="D4:E4"/>
    <mergeCell ref="D5:E5"/>
    <mergeCell ref="D6:E6"/>
    <mergeCell ref="D7:E7"/>
    <mergeCell ref="H14:I14"/>
    <mergeCell ref="H15:I15"/>
    <mergeCell ref="H16:I16"/>
    <mergeCell ref="B17:K17"/>
    <mergeCell ref="C18:E18"/>
    <mergeCell ref="F18:G18"/>
    <mergeCell ref="I18:K18"/>
    <mergeCell ref="D16:E16"/>
    <mergeCell ref="B19:K19"/>
    <mergeCell ref="H20:I20"/>
    <mergeCell ref="H21:I21"/>
    <mergeCell ref="H22:I22"/>
    <mergeCell ref="H23:I23"/>
    <mergeCell ref="D20:E20"/>
    <mergeCell ref="D21:E21"/>
    <mergeCell ref="H30:I30"/>
    <mergeCell ref="C32:E32"/>
    <mergeCell ref="F32:G32"/>
    <mergeCell ref="I32:K32"/>
    <mergeCell ref="D30:E30"/>
    <mergeCell ref="F34:G34"/>
    <mergeCell ref="I34:J34"/>
    <mergeCell ref="H35:K35"/>
    <mergeCell ref="H36:I36"/>
    <mergeCell ref="C35:D35"/>
    <mergeCell ref="C36:D36"/>
    <mergeCell ref="H38:I38"/>
    <mergeCell ref="J38:K38"/>
    <mergeCell ref="B40:K40"/>
    <mergeCell ref="B41:K41"/>
    <mergeCell ref="C42:E42"/>
    <mergeCell ref="F42:K43"/>
    <mergeCell ref="C43:E45"/>
    <mergeCell ref="J49:K49"/>
    <mergeCell ref="F44:I44"/>
    <mergeCell ref="J44:K44"/>
    <mergeCell ref="F45:I45"/>
    <mergeCell ref="J45:K45"/>
    <mergeCell ref="J46:K46"/>
    <mergeCell ref="J47:K47"/>
    <mergeCell ref="J48:K48"/>
    <mergeCell ref="C46:E47"/>
    <mergeCell ref="F46:I46"/>
    <mergeCell ref="F47:I47"/>
    <mergeCell ref="C48:E51"/>
    <mergeCell ref="F48:I5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1"/>
  <sheetViews>
    <sheetView topLeftCell="A41" zoomScale="90" zoomScaleNormal="90" workbookViewId="0">
      <selection activeCell="B4" sqref="B4:K51"/>
    </sheetView>
  </sheetViews>
  <sheetFormatPr baseColWidth="10" defaultRowHeight="15" x14ac:dyDescent="0.25"/>
  <cols>
    <col min="2" max="2" width="44.140625" customWidth="1"/>
    <col min="3" max="3" width="12.140625" customWidth="1"/>
    <col min="5" max="5" width="16.28515625" customWidth="1"/>
    <col min="7" max="7" width="13.7109375" customWidth="1"/>
    <col min="11" max="11" width="16.42578125" customWidth="1"/>
  </cols>
  <sheetData>
    <row r="3" spans="2:15" ht="15.75" thickBot="1" x14ac:dyDescent="0.3"/>
    <row r="4" spans="2:15" ht="16.5" thickBot="1" x14ac:dyDescent="0.3">
      <c r="B4" s="93" t="s">
        <v>25</v>
      </c>
      <c r="C4" s="94" t="s">
        <v>129</v>
      </c>
      <c r="D4" s="213" t="s">
        <v>130</v>
      </c>
      <c r="E4" s="214"/>
      <c r="F4" s="94" t="s">
        <v>26</v>
      </c>
      <c r="G4" s="93" t="s">
        <v>27</v>
      </c>
      <c r="H4" s="213" t="s">
        <v>28</v>
      </c>
      <c r="I4" s="214"/>
      <c r="J4" s="94" t="s">
        <v>23</v>
      </c>
      <c r="K4" s="94" t="s">
        <v>29</v>
      </c>
      <c r="L4" s="15"/>
      <c r="M4" s="15"/>
      <c r="N4" s="15"/>
      <c r="O4" s="15"/>
    </row>
    <row r="5" spans="2:15" ht="32.25" thickBot="1" x14ac:dyDescent="0.3">
      <c r="B5" s="95" t="s">
        <v>68</v>
      </c>
      <c r="C5" s="16">
        <f>(D5+E5)/2</f>
        <v>12</v>
      </c>
      <c r="D5" s="205">
        <v>12</v>
      </c>
      <c r="E5" s="206">
        <v>12</v>
      </c>
      <c r="F5" s="17">
        <v>3</v>
      </c>
      <c r="G5" s="18">
        <f>C5*F5</f>
        <v>36</v>
      </c>
      <c r="H5" s="202">
        <v>11.461538461538462</v>
      </c>
      <c r="I5" s="203">
        <v>11.461538461538462</v>
      </c>
      <c r="J5" s="35"/>
      <c r="K5" s="16" t="str">
        <f>IF(C5&lt;10,"D",IF(C5&lt;12,"C",IF(C5&lt;14,"C+",IF(C5&lt;15,"B",IF(C5&lt;16,"B+",IF(C5&lt;18,"A",IF(C5&lt;20,"A+")))))))</f>
        <v>C+</v>
      </c>
      <c r="L5" s="15"/>
      <c r="M5" s="15"/>
      <c r="N5" s="19">
        <f>D5*F5</f>
        <v>36</v>
      </c>
      <c r="O5" s="19">
        <f>E5*F5</f>
        <v>36</v>
      </c>
    </row>
    <row r="6" spans="2:15" ht="32.25" thickBot="1" x14ac:dyDescent="0.3">
      <c r="B6" s="95" t="s">
        <v>115</v>
      </c>
      <c r="C6" s="16">
        <f t="shared" ref="C6:C9" si="0">(D6+E6)/2</f>
        <v>6</v>
      </c>
      <c r="D6" s="205">
        <v>6</v>
      </c>
      <c r="E6" s="206">
        <v>6</v>
      </c>
      <c r="F6" s="17">
        <v>1</v>
      </c>
      <c r="G6" s="18">
        <f t="shared" ref="G6:G9" si="1">C6*F6</f>
        <v>6</v>
      </c>
      <c r="H6" s="202">
        <v>7.1538461538461542</v>
      </c>
      <c r="I6" s="203">
        <v>7.1538461538461542</v>
      </c>
      <c r="J6" s="35"/>
      <c r="K6" s="16" t="str">
        <f t="shared" ref="K6:K9" si="2">IF(C6&lt;10,"D",IF(C6&lt;12,"C",IF(C6&lt;14,"C+",IF(C6&lt;15,"B",IF(C6&lt;16,"B+",IF(C6&lt;18,"A",IF(C6&lt;20,"A+")))))))</f>
        <v>D</v>
      </c>
      <c r="L6" s="15"/>
      <c r="M6" s="15"/>
      <c r="N6" s="19">
        <f t="shared" ref="N6:N9" si="3">D6*F6</f>
        <v>6</v>
      </c>
      <c r="O6" s="19">
        <f t="shared" ref="O6:O9" si="4">E6*F6</f>
        <v>6</v>
      </c>
    </row>
    <row r="7" spans="2:15" ht="32.25" thickBot="1" x14ac:dyDescent="0.3">
      <c r="B7" s="95" t="s">
        <v>116</v>
      </c>
      <c r="C7" s="16">
        <f t="shared" si="0"/>
        <v>12</v>
      </c>
      <c r="D7" s="205">
        <v>12</v>
      </c>
      <c r="E7" s="206">
        <v>12</v>
      </c>
      <c r="F7" s="17">
        <v>2</v>
      </c>
      <c r="G7" s="18">
        <f t="shared" si="1"/>
        <v>24</v>
      </c>
      <c r="H7" s="202">
        <v>10.423076923076923</v>
      </c>
      <c r="I7" s="203">
        <v>10.423076923076923</v>
      </c>
      <c r="J7" s="35"/>
      <c r="K7" s="16" t="str">
        <f t="shared" si="2"/>
        <v>C+</v>
      </c>
      <c r="L7" s="15"/>
      <c r="M7" s="15"/>
      <c r="N7" s="19">
        <f t="shared" si="3"/>
        <v>24</v>
      </c>
      <c r="O7" s="19">
        <f t="shared" si="4"/>
        <v>24</v>
      </c>
    </row>
    <row r="8" spans="2:15" ht="32.25" thickBot="1" x14ac:dyDescent="0.3">
      <c r="B8" s="95" t="s">
        <v>117</v>
      </c>
      <c r="C8" s="16">
        <f t="shared" si="0"/>
        <v>10</v>
      </c>
      <c r="D8" s="205">
        <v>10</v>
      </c>
      <c r="E8" s="206">
        <v>10</v>
      </c>
      <c r="F8" s="17">
        <v>1</v>
      </c>
      <c r="G8" s="18">
        <f t="shared" si="1"/>
        <v>10</v>
      </c>
      <c r="H8" s="202">
        <v>9.2307692307692299</v>
      </c>
      <c r="I8" s="203">
        <v>9.2307692307692299</v>
      </c>
      <c r="J8" s="35"/>
      <c r="K8" s="16" t="str">
        <f t="shared" si="2"/>
        <v>C</v>
      </c>
      <c r="L8" s="15"/>
      <c r="M8" s="15"/>
      <c r="N8" s="19">
        <f t="shared" si="3"/>
        <v>10</v>
      </c>
      <c r="O8" s="19">
        <f t="shared" si="4"/>
        <v>10</v>
      </c>
    </row>
    <row r="9" spans="2:15" ht="32.25" thickBot="1" x14ac:dyDescent="0.3">
      <c r="B9" s="95" t="s">
        <v>64</v>
      </c>
      <c r="C9" s="16">
        <f t="shared" si="0"/>
        <v>10</v>
      </c>
      <c r="D9" s="205">
        <v>10</v>
      </c>
      <c r="E9" s="206">
        <v>10</v>
      </c>
      <c r="F9" s="17">
        <v>2</v>
      </c>
      <c r="G9" s="18">
        <f t="shared" si="1"/>
        <v>20</v>
      </c>
      <c r="H9" s="202">
        <v>9.9230769230769234</v>
      </c>
      <c r="I9" s="203">
        <v>9.9230769230769234</v>
      </c>
      <c r="J9" s="35"/>
      <c r="K9" s="16" t="str">
        <f t="shared" si="2"/>
        <v>C</v>
      </c>
      <c r="L9" s="15"/>
      <c r="M9" s="15"/>
      <c r="N9" s="19">
        <f t="shared" si="3"/>
        <v>20</v>
      </c>
      <c r="O9" s="19">
        <f t="shared" si="4"/>
        <v>20</v>
      </c>
    </row>
    <row r="10" spans="2:15" ht="16.5" thickBot="1" x14ac:dyDescent="0.3">
      <c r="B10" s="207" t="s">
        <v>30</v>
      </c>
      <c r="C10" s="208"/>
      <c r="D10" s="208"/>
      <c r="E10" s="208"/>
      <c r="F10" s="208"/>
      <c r="G10" s="208"/>
      <c r="H10" s="208"/>
      <c r="I10" s="208"/>
      <c r="J10" s="208"/>
      <c r="K10" s="209"/>
      <c r="L10" s="15"/>
      <c r="M10" s="15"/>
      <c r="N10" s="15"/>
      <c r="O10" s="15"/>
    </row>
    <row r="11" spans="2:15" ht="16.5" thickBot="1" x14ac:dyDescent="0.3">
      <c r="B11" s="20" t="s">
        <v>31</v>
      </c>
      <c r="C11" s="195">
        <f>(SUM(G5:G9)/SUM(F5:F9))</f>
        <v>10.666666666666666</v>
      </c>
      <c r="D11" s="195"/>
      <c r="E11" s="195"/>
      <c r="F11" s="196" t="s">
        <v>32</v>
      </c>
      <c r="G11" s="196"/>
      <c r="H11" s="98"/>
      <c r="I11" s="190"/>
      <c r="J11" s="190"/>
      <c r="K11" s="197"/>
      <c r="L11" s="15"/>
      <c r="M11" s="15"/>
      <c r="N11" s="15"/>
      <c r="O11" s="15"/>
    </row>
    <row r="12" spans="2:15" ht="16.5" thickBot="1" x14ac:dyDescent="0.3">
      <c r="B12" s="198"/>
      <c r="C12" s="199"/>
      <c r="D12" s="199"/>
      <c r="E12" s="199"/>
      <c r="F12" s="199"/>
      <c r="G12" s="199"/>
      <c r="H12" s="199"/>
      <c r="I12" s="199"/>
      <c r="J12" s="199"/>
      <c r="K12" s="201"/>
      <c r="L12" s="15"/>
      <c r="M12" s="15"/>
      <c r="N12" s="15"/>
      <c r="O12" s="15"/>
    </row>
    <row r="13" spans="2:15" ht="32.25" thickBot="1" x14ac:dyDescent="0.3">
      <c r="B13" s="95" t="s">
        <v>65</v>
      </c>
      <c r="C13" s="16">
        <f t="shared" ref="C13:C16" si="5">(D13+E13)/2</f>
        <v>12</v>
      </c>
      <c r="D13" s="205">
        <v>12</v>
      </c>
      <c r="E13" s="206">
        <v>12</v>
      </c>
      <c r="F13" s="17">
        <v>2</v>
      </c>
      <c r="G13" s="18">
        <f t="shared" ref="G13:G16" si="6">C13*F13</f>
        <v>24</v>
      </c>
      <c r="H13" s="202">
        <v>11.384615384615385</v>
      </c>
      <c r="I13" s="203">
        <v>11.384615384615385</v>
      </c>
      <c r="J13" s="35"/>
      <c r="K13" s="16" t="str">
        <f t="shared" ref="K13:K16" si="7">IF(C13&lt;10,"D",IF(C13&lt;12,"C",IF(C13&lt;14,"C+",IF(C13&lt;15,"B",IF(C13&lt;16,"B+",IF(C13&lt;18,"A",IF(C13&lt;20,"A+")))))))</f>
        <v>C+</v>
      </c>
      <c r="L13" s="15"/>
      <c r="M13" s="15"/>
      <c r="N13" s="19">
        <f t="shared" ref="N13:N16" si="8">D13*F13</f>
        <v>24</v>
      </c>
      <c r="O13" s="19">
        <f t="shared" ref="O13:O16" si="9">E13*F13</f>
        <v>24</v>
      </c>
    </row>
    <row r="14" spans="2:15" ht="32.25" thickBot="1" x14ac:dyDescent="0.3">
      <c r="B14" s="95" t="s">
        <v>118</v>
      </c>
      <c r="C14" s="16">
        <f t="shared" si="5"/>
        <v>11</v>
      </c>
      <c r="D14" s="205">
        <v>11</v>
      </c>
      <c r="E14" s="206">
        <v>11</v>
      </c>
      <c r="F14" s="17">
        <v>2</v>
      </c>
      <c r="G14" s="18">
        <f t="shared" si="6"/>
        <v>22</v>
      </c>
      <c r="H14" s="202">
        <v>10.692307692307692</v>
      </c>
      <c r="I14" s="203">
        <v>10.692307692307692</v>
      </c>
      <c r="J14" s="35"/>
      <c r="K14" s="16" t="str">
        <f t="shared" si="7"/>
        <v>C</v>
      </c>
      <c r="L14" s="15"/>
      <c r="M14" s="15"/>
      <c r="N14" s="19">
        <f t="shared" si="8"/>
        <v>22</v>
      </c>
      <c r="O14" s="19">
        <f t="shared" si="9"/>
        <v>22</v>
      </c>
    </row>
    <row r="15" spans="2:15" ht="32.25" thickBot="1" x14ac:dyDescent="0.3">
      <c r="B15" s="95" t="s">
        <v>119</v>
      </c>
      <c r="C15" s="16">
        <f t="shared" si="5"/>
        <v>13</v>
      </c>
      <c r="D15" s="205">
        <v>13</v>
      </c>
      <c r="E15" s="206">
        <v>13</v>
      </c>
      <c r="F15" s="17">
        <v>2</v>
      </c>
      <c r="G15" s="18">
        <f t="shared" si="6"/>
        <v>26</v>
      </c>
      <c r="H15" s="202">
        <v>11.692307692307692</v>
      </c>
      <c r="I15" s="203">
        <v>11.692307692307692</v>
      </c>
      <c r="J15" s="35"/>
      <c r="K15" s="16" t="str">
        <f t="shared" si="7"/>
        <v>C+</v>
      </c>
      <c r="L15" s="15"/>
      <c r="M15" s="15"/>
      <c r="N15" s="19">
        <f t="shared" si="8"/>
        <v>26</v>
      </c>
      <c r="O15" s="19">
        <f t="shared" si="9"/>
        <v>26</v>
      </c>
    </row>
    <row r="16" spans="2:15" ht="32.25" thickBot="1" x14ac:dyDescent="0.3">
      <c r="B16" s="95" t="s">
        <v>66</v>
      </c>
      <c r="C16" s="16">
        <f t="shared" si="5"/>
        <v>16</v>
      </c>
      <c r="D16" s="205">
        <v>16</v>
      </c>
      <c r="E16" s="206">
        <v>16</v>
      </c>
      <c r="F16" s="17">
        <v>1</v>
      </c>
      <c r="G16" s="18">
        <f t="shared" si="6"/>
        <v>16</v>
      </c>
      <c r="H16" s="202">
        <v>16</v>
      </c>
      <c r="I16" s="203"/>
      <c r="J16" s="35"/>
      <c r="K16" s="16" t="str">
        <f t="shared" si="7"/>
        <v>A</v>
      </c>
      <c r="L16" s="15"/>
      <c r="M16" s="15"/>
      <c r="N16" s="19">
        <f t="shared" si="8"/>
        <v>16</v>
      </c>
      <c r="O16" s="19">
        <f t="shared" si="9"/>
        <v>16</v>
      </c>
    </row>
    <row r="17" spans="2:15" ht="16.5" thickBot="1" x14ac:dyDescent="0.3">
      <c r="B17" s="207" t="s">
        <v>33</v>
      </c>
      <c r="C17" s="208"/>
      <c r="D17" s="208"/>
      <c r="E17" s="208"/>
      <c r="F17" s="208"/>
      <c r="G17" s="208"/>
      <c r="H17" s="208"/>
      <c r="I17" s="208"/>
      <c r="J17" s="208"/>
      <c r="K17" s="209"/>
      <c r="L17" s="15"/>
      <c r="M17" s="15"/>
      <c r="N17" s="15"/>
      <c r="O17" s="15"/>
    </row>
    <row r="18" spans="2:15" ht="16.5" thickBot="1" x14ac:dyDescent="0.3">
      <c r="B18" s="20" t="s">
        <v>34</v>
      </c>
      <c r="C18" s="195">
        <f>(SUM(G13:G16)/SUM(F13:F16))</f>
        <v>12.571428571428571</v>
      </c>
      <c r="D18" s="195"/>
      <c r="E18" s="195"/>
      <c r="F18" s="196" t="s">
        <v>32</v>
      </c>
      <c r="G18" s="196"/>
      <c r="H18" s="98"/>
      <c r="I18" s="190"/>
      <c r="J18" s="190"/>
      <c r="K18" s="197"/>
      <c r="L18" s="15"/>
      <c r="M18" s="15"/>
      <c r="N18" s="15"/>
      <c r="O18" s="15"/>
    </row>
    <row r="19" spans="2:15" ht="16.5" thickBot="1" x14ac:dyDescent="0.3">
      <c r="B19" s="210"/>
      <c r="C19" s="211"/>
      <c r="D19" s="211"/>
      <c r="E19" s="211"/>
      <c r="F19" s="211"/>
      <c r="G19" s="211"/>
      <c r="H19" s="211"/>
      <c r="I19" s="211"/>
      <c r="J19" s="211"/>
      <c r="K19" s="212"/>
      <c r="L19" s="15"/>
      <c r="M19" s="15"/>
      <c r="N19" s="15"/>
      <c r="O19" s="15"/>
    </row>
    <row r="20" spans="2:15" ht="32.25" thickBot="1" x14ac:dyDescent="0.3">
      <c r="B20" s="95" t="s">
        <v>69</v>
      </c>
      <c r="C20" s="16">
        <f t="shared" ref="C20:C23" si="10">(D20+E20)/2</f>
        <v>9</v>
      </c>
      <c r="D20" s="205">
        <v>9</v>
      </c>
      <c r="E20" s="206">
        <v>9</v>
      </c>
      <c r="F20" s="17">
        <v>2</v>
      </c>
      <c r="G20" s="18">
        <f t="shared" ref="G20:G23" si="11">C20*F20</f>
        <v>18</v>
      </c>
      <c r="H20" s="202">
        <v>8.2307692307692299</v>
      </c>
      <c r="I20" s="203">
        <v>8.2307692307692299</v>
      </c>
      <c r="J20" s="35"/>
      <c r="K20" s="16" t="str">
        <f t="shared" ref="K20:K23" si="12">IF(C20&lt;10,"D",IF(C20&lt;12,"C",IF(C20&lt;14,"C+",IF(C20&lt;15,"B",IF(C20&lt;16,"B+",IF(C20&lt;18,"A",IF(C20&lt;20,"A+")))))))</f>
        <v>D</v>
      </c>
      <c r="L20" s="15"/>
      <c r="M20" s="15"/>
      <c r="N20" s="19">
        <f t="shared" ref="N20:N23" si="13">D20*F20</f>
        <v>18</v>
      </c>
      <c r="O20" s="19">
        <f t="shared" ref="O20:O23" si="14">E20*F20</f>
        <v>18</v>
      </c>
    </row>
    <row r="21" spans="2:15" ht="32.25" thickBot="1" x14ac:dyDescent="0.3">
      <c r="B21" s="95" t="s">
        <v>70</v>
      </c>
      <c r="C21" s="16">
        <f t="shared" si="10"/>
        <v>5</v>
      </c>
      <c r="D21" s="205">
        <v>5</v>
      </c>
      <c r="E21" s="206">
        <v>5</v>
      </c>
      <c r="F21" s="17">
        <v>4</v>
      </c>
      <c r="G21" s="18">
        <f t="shared" si="11"/>
        <v>20</v>
      </c>
      <c r="H21" s="202">
        <v>4.2692307692307692</v>
      </c>
      <c r="I21" s="203">
        <v>4.2692307692307692</v>
      </c>
      <c r="J21" s="35"/>
      <c r="K21" s="16" t="str">
        <f t="shared" si="12"/>
        <v>D</v>
      </c>
      <c r="L21" s="15"/>
      <c r="M21" s="15"/>
      <c r="N21" s="19">
        <f t="shared" si="13"/>
        <v>20</v>
      </c>
      <c r="O21" s="19">
        <f t="shared" si="14"/>
        <v>20</v>
      </c>
    </row>
    <row r="22" spans="2:15" ht="32.25" thickBot="1" x14ac:dyDescent="0.3">
      <c r="B22" s="95" t="s">
        <v>120</v>
      </c>
      <c r="C22" s="16">
        <f t="shared" si="10"/>
        <v>7</v>
      </c>
      <c r="D22" s="205">
        <v>7</v>
      </c>
      <c r="E22" s="206">
        <v>7</v>
      </c>
      <c r="F22" s="17">
        <v>2</v>
      </c>
      <c r="G22" s="18">
        <f t="shared" si="11"/>
        <v>14</v>
      </c>
      <c r="H22" s="202">
        <v>5.6538461538461542</v>
      </c>
      <c r="I22" s="203">
        <v>5.6538461538461542</v>
      </c>
      <c r="J22" s="35"/>
      <c r="K22" s="16" t="str">
        <f t="shared" si="12"/>
        <v>D</v>
      </c>
      <c r="L22" s="15"/>
      <c r="M22" s="15"/>
      <c r="N22" s="19">
        <f t="shared" si="13"/>
        <v>14</v>
      </c>
      <c r="O22" s="19">
        <f t="shared" si="14"/>
        <v>14</v>
      </c>
    </row>
    <row r="23" spans="2:15" ht="32.25" thickBot="1" x14ac:dyDescent="0.3">
      <c r="B23" s="95" t="s">
        <v>71</v>
      </c>
      <c r="C23" s="16">
        <f t="shared" si="10"/>
        <v>11</v>
      </c>
      <c r="D23" s="205">
        <v>11</v>
      </c>
      <c r="E23" s="206">
        <v>11</v>
      </c>
      <c r="F23" s="17">
        <v>2</v>
      </c>
      <c r="G23" s="18">
        <f t="shared" si="11"/>
        <v>22</v>
      </c>
      <c r="H23" s="202">
        <v>9.7692307692307701</v>
      </c>
      <c r="I23" s="203">
        <v>9.7692307692307701</v>
      </c>
      <c r="J23" s="35"/>
      <c r="K23" s="16" t="str">
        <f t="shared" si="12"/>
        <v>C</v>
      </c>
      <c r="L23" s="15"/>
      <c r="M23" s="15"/>
      <c r="N23" s="19">
        <f t="shared" si="13"/>
        <v>22</v>
      </c>
      <c r="O23" s="19">
        <f t="shared" si="14"/>
        <v>22</v>
      </c>
    </row>
    <row r="24" spans="2:15" ht="16.5" thickBot="1" x14ac:dyDescent="0.3">
      <c r="B24" s="207" t="s">
        <v>35</v>
      </c>
      <c r="C24" s="208"/>
      <c r="D24" s="208"/>
      <c r="E24" s="208"/>
      <c r="F24" s="208"/>
      <c r="G24" s="208"/>
      <c r="H24" s="208"/>
      <c r="I24" s="208"/>
      <c r="J24" s="208"/>
      <c r="K24" s="209"/>
      <c r="L24" s="15"/>
      <c r="M24" s="15"/>
      <c r="N24" s="15"/>
      <c r="O24" s="15"/>
    </row>
    <row r="25" spans="2:15" ht="16.5" thickBot="1" x14ac:dyDescent="0.3">
      <c r="B25" s="20" t="s">
        <v>31</v>
      </c>
      <c r="C25" s="195">
        <f>(SUM(G20:G23)/SUM(F20:F23))</f>
        <v>7.4</v>
      </c>
      <c r="D25" s="195"/>
      <c r="E25" s="195"/>
      <c r="F25" s="196" t="s">
        <v>32</v>
      </c>
      <c r="G25" s="196"/>
      <c r="H25" s="98"/>
      <c r="I25" s="190"/>
      <c r="J25" s="190"/>
      <c r="K25" s="197"/>
      <c r="L25" s="15"/>
      <c r="M25" s="15"/>
      <c r="N25" s="15"/>
      <c r="O25" s="15"/>
    </row>
    <row r="26" spans="2:15" ht="16.5" thickBot="1" x14ac:dyDescent="0.3">
      <c r="B26" s="198"/>
      <c r="C26" s="199"/>
      <c r="D26" s="199"/>
      <c r="E26" s="199"/>
      <c r="F26" s="199"/>
      <c r="G26" s="199"/>
      <c r="H26" s="200"/>
      <c r="I26" s="200"/>
      <c r="J26" s="200"/>
      <c r="K26" s="201"/>
      <c r="L26" s="15"/>
      <c r="M26" s="15"/>
      <c r="N26" s="15"/>
      <c r="O26" s="15"/>
    </row>
    <row r="27" spans="2:15" ht="32.25" thickBot="1" x14ac:dyDescent="0.3">
      <c r="B27" s="95" t="s">
        <v>67</v>
      </c>
      <c r="C27" s="16">
        <f t="shared" ref="C27:C30" si="15">(D27+E27)/2</f>
        <v>16</v>
      </c>
      <c r="D27" s="205">
        <v>16</v>
      </c>
      <c r="E27" s="206">
        <v>16</v>
      </c>
      <c r="F27" s="17">
        <v>1</v>
      </c>
      <c r="G27" s="18">
        <f t="shared" ref="G27:G30" si="16">C27*F27</f>
        <v>16</v>
      </c>
      <c r="H27" s="202">
        <v>16</v>
      </c>
      <c r="I27" s="203">
        <v>16</v>
      </c>
      <c r="J27" s="35"/>
      <c r="K27" s="16" t="str">
        <f t="shared" ref="K27:K30" si="17">IF(C27&lt;10,"D",IF(C27&lt;12,"C",IF(C27&lt;14,"C+",IF(C27&lt;15,"B",IF(C27&lt;16,"B+",IF(C27&lt;18,"A",IF(C27&lt;20,"A+")))))))</f>
        <v>A</v>
      </c>
      <c r="L27" s="15"/>
      <c r="M27" s="15"/>
      <c r="N27" s="19">
        <f t="shared" ref="N27:N30" si="18">D27*F27</f>
        <v>16</v>
      </c>
      <c r="O27" s="19">
        <f t="shared" ref="O27:O30" si="19">E27*F27</f>
        <v>16</v>
      </c>
    </row>
    <row r="28" spans="2:15" ht="32.25" thickBot="1" x14ac:dyDescent="0.3">
      <c r="B28" s="95" t="s">
        <v>122</v>
      </c>
      <c r="C28" s="16">
        <f t="shared" si="15"/>
        <v>17</v>
      </c>
      <c r="D28" s="205">
        <v>17</v>
      </c>
      <c r="E28" s="206">
        <v>17</v>
      </c>
      <c r="F28" s="17">
        <v>2</v>
      </c>
      <c r="G28" s="18">
        <f t="shared" si="16"/>
        <v>34</v>
      </c>
      <c r="H28" s="202">
        <v>15.846153846153847</v>
      </c>
      <c r="I28" s="203">
        <v>15.846153846153847</v>
      </c>
      <c r="J28" s="35"/>
      <c r="K28" s="16" t="str">
        <f t="shared" si="17"/>
        <v>A</v>
      </c>
      <c r="L28" s="15"/>
      <c r="M28" s="15"/>
      <c r="N28" s="19">
        <f t="shared" si="18"/>
        <v>34</v>
      </c>
      <c r="O28" s="19">
        <f t="shared" si="19"/>
        <v>34</v>
      </c>
    </row>
    <row r="29" spans="2:15" ht="32.25" thickBot="1" x14ac:dyDescent="0.3">
      <c r="B29" s="95" t="s">
        <v>72</v>
      </c>
      <c r="C29" s="16">
        <f t="shared" si="15"/>
        <v>13</v>
      </c>
      <c r="D29" s="205">
        <v>13</v>
      </c>
      <c r="E29" s="206">
        <v>13</v>
      </c>
      <c r="F29" s="17">
        <v>1</v>
      </c>
      <c r="G29" s="18">
        <f t="shared" si="16"/>
        <v>13</v>
      </c>
      <c r="H29" s="202">
        <v>12.76923076923077</v>
      </c>
      <c r="I29" s="203">
        <v>12.76923076923077</v>
      </c>
      <c r="J29" s="35"/>
      <c r="K29" s="16" t="str">
        <f t="shared" si="17"/>
        <v>C+</v>
      </c>
      <c r="L29" s="15"/>
      <c r="M29" s="15"/>
      <c r="N29" s="19">
        <f t="shared" si="18"/>
        <v>13</v>
      </c>
      <c r="O29" s="19">
        <f t="shared" si="19"/>
        <v>13</v>
      </c>
    </row>
    <row r="30" spans="2:15" ht="32.25" thickBot="1" x14ac:dyDescent="0.3">
      <c r="B30" s="95" t="s">
        <v>121</v>
      </c>
      <c r="C30" s="16">
        <f>D30</f>
        <v>17</v>
      </c>
      <c r="D30" s="205">
        <v>17</v>
      </c>
      <c r="E30" s="206"/>
      <c r="F30" s="17">
        <v>1</v>
      </c>
      <c r="G30" s="18">
        <f t="shared" si="16"/>
        <v>17</v>
      </c>
      <c r="H30" s="202">
        <v>17</v>
      </c>
      <c r="I30" s="203"/>
      <c r="J30" s="35"/>
      <c r="K30" s="16" t="str">
        <f t="shared" si="17"/>
        <v>A</v>
      </c>
      <c r="L30" s="15"/>
      <c r="M30" s="15"/>
      <c r="N30" s="19">
        <f t="shared" si="18"/>
        <v>17</v>
      </c>
      <c r="O30" s="19">
        <f t="shared" si="19"/>
        <v>0</v>
      </c>
    </row>
    <row r="31" spans="2:15" ht="16.5" thickBot="1" x14ac:dyDescent="0.3">
      <c r="B31" s="95" t="s">
        <v>36</v>
      </c>
      <c r="C31" s="96"/>
      <c r="D31" s="96"/>
      <c r="E31" s="96"/>
      <c r="F31" s="96"/>
      <c r="G31" s="96"/>
      <c r="H31" s="96"/>
      <c r="I31" s="96"/>
      <c r="J31" s="96"/>
      <c r="K31" s="97"/>
      <c r="L31" s="15"/>
      <c r="M31" s="15"/>
      <c r="N31" s="15">
        <f>SUM(N5:N30)</f>
        <v>338</v>
      </c>
      <c r="O31" s="15">
        <f>SUM(O5:O30)</f>
        <v>321</v>
      </c>
    </row>
    <row r="32" spans="2:15" ht="16.5" thickBot="1" x14ac:dyDescent="0.3">
      <c r="B32" s="21" t="s">
        <v>34</v>
      </c>
      <c r="C32" s="195">
        <f>(SUM(G27:G30)/SUM(F27:F30))</f>
        <v>16</v>
      </c>
      <c r="D32" s="195"/>
      <c r="E32" s="195"/>
      <c r="F32" s="204" t="s">
        <v>32</v>
      </c>
      <c r="G32" s="204"/>
      <c r="H32" s="99"/>
      <c r="I32" s="163"/>
      <c r="J32" s="163"/>
      <c r="K32" s="164"/>
      <c r="L32" s="15"/>
      <c r="M32" s="15"/>
      <c r="N32" s="15">
        <v>31</v>
      </c>
      <c r="O32" s="15">
        <v>31</v>
      </c>
    </row>
    <row r="33" spans="2:15" ht="16.5" thickBot="1" x14ac:dyDescent="0.3">
      <c r="B33" s="178"/>
      <c r="C33" s="179"/>
      <c r="D33" s="179"/>
      <c r="E33" s="179"/>
      <c r="F33" s="179"/>
      <c r="G33" s="179"/>
      <c r="H33" s="179"/>
      <c r="I33" s="179"/>
      <c r="J33" s="179"/>
      <c r="K33" s="180"/>
      <c r="L33" s="15"/>
      <c r="M33" s="15"/>
      <c r="N33" s="15">
        <f>N31/N32</f>
        <v>10.903225806451612</v>
      </c>
      <c r="O33" s="15">
        <f>O31/O32</f>
        <v>10.35483870967742</v>
      </c>
    </row>
    <row r="34" spans="2:15" ht="48" thickBot="1" x14ac:dyDescent="0.3">
      <c r="B34" s="22" t="s">
        <v>37</v>
      </c>
      <c r="C34" s="23" t="s">
        <v>38</v>
      </c>
      <c r="D34" s="99">
        <v>10.220000000000001</v>
      </c>
      <c r="E34" s="24" t="s">
        <v>39</v>
      </c>
      <c r="F34" s="190">
        <v>11.9</v>
      </c>
      <c r="G34" s="190"/>
      <c r="H34" s="24" t="s">
        <v>40</v>
      </c>
      <c r="I34" s="190">
        <v>8.4499999999999993</v>
      </c>
      <c r="J34" s="190"/>
      <c r="K34" s="25"/>
      <c r="L34" s="26"/>
      <c r="M34" s="26"/>
      <c r="N34" s="26"/>
      <c r="O34" s="26"/>
    </row>
    <row r="35" spans="2:15" ht="15.75" x14ac:dyDescent="0.25">
      <c r="B35" s="74"/>
      <c r="C35" s="193" t="s">
        <v>130</v>
      </c>
      <c r="D35" s="193"/>
      <c r="E35" s="75"/>
      <c r="F35" s="75"/>
      <c r="G35" s="76"/>
      <c r="H35" s="145"/>
      <c r="I35" s="146"/>
      <c r="J35" s="146"/>
      <c r="K35" s="147"/>
      <c r="L35" s="15"/>
      <c r="M35" s="15"/>
      <c r="N35" s="15"/>
      <c r="O35" s="15"/>
    </row>
    <row r="36" spans="2:15" ht="15.75" x14ac:dyDescent="0.25">
      <c r="B36" s="77" t="s">
        <v>41</v>
      </c>
      <c r="C36" s="194">
        <f>N33</f>
        <v>10.903225806451612</v>
      </c>
      <c r="D36" s="194"/>
      <c r="E36" s="79" t="s">
        <v>131</v>
      </c>
      <c r="F36" s="80">
        <f>(G5+G6+G7+G8+G9+G13+G14+G15+G20+G16+G21+G22+G23+G27+G28+G29+G30)/31</f>
        <v>10.903225806451612</v>
      </c>
      <c r="G36" s="81" t="s">
        <v>42</v>
      </c>
      <c r="H36" s="191" t="s">
        <v>43</v>
      </c>
      <c r="I36" s="192"/>
      <c r="J36" s="27" t="s">
        <v>148</v>
      </c>
      <c r="K36" s="28" t="s">
        <v>113</v>
      </c>
      <c r="L36" s="15"/>
      <c r="M36" s="15"/>
      <c r="N36" s="15"/>
      <c r="O36" s="15"/>
    </row>
    <row r="37" spans="2:15" ht="12.75" customHeight="1" x14ac:dyDescent="0.25">
      <c r="B37" s="77"/>
      <c r="C37" s="78"/>
      <c r="D37" s="78"/>
      <c r="E37" s="79"/>
      <c r="F37" s="80"/>
      <c r="G37" s="81"/>
      <c r="H37" s="100"/>
      <c r="I37" s="101"/>
      <c r="J37" s="27"/>
      <c r="K37" s="28"/>
      <c r="L37" s="15"/>
      <c r="M37" s="15"/>
      <c r="N37" s="15"/>
      <c r="O37" s="15"/>
    </row>
    <row r="38" spans="2:15" ht="18" customHeight="1" x14ac:dyDescent="0.25">
      <c r="B38" s="102" t="s">
        <v>132</v>
      </c>
      <c r="C38" s="103" t="s">
        <v>133</v>
      </c>
      <c r="D38" s="103" t="s">
        <v>134</v>
      </c>
      <c r="E38" s="104" t="s">
        <v>135</v>
      </c>
      <c r="F38" s="105">
        <f>AVERAGE(B39:C39:D39)</f>
        <v>10.024408602150539</v>
      </c>
      <c r="G38" s="106" t="s">
        <v>42</v>
      </c>
      <c r="H38" s="171" t="s">
        <v>136</v>
      </c>
      <c r="I38" s="172"/>
      <c r="J38" s="173" t="s">
        <v>157</v>
      </c>
      <c r="K38" s="174"/>
      <c r="L38" s="15"/>
      <c r="M38" s="15"/>
      <c r="N38" s="15"/>
      <c r="O38" s="15"/>
    </row>
    <row r="39" spans="2:15" ht="31.5" customHeight="1" thickBot="1" x14ac:dyDescent="0.3">
      <c r="B39" s="107">
        <v>9.61</v>
      </c>
      <c r="C39" s="108">
        <v>9.56</v>
      </c>
      <c r="D39" s="108">
        <f>F36</f>
        <v>10.903225806451612</v>
      </c>
      <c r="E39" s="109"/>
      <c r="F39" s="110"/>
      <c r="G39" s="111"/>
      <c r="H39" s="101"/>
      <c r="I39" s="101"/>
      <c r="J39" s="27"/>
      <c r="K39" s="28"/>
      <c r="L39" s="15"/>
      <c r="M39" s="15"/>
      <c r="N39" s="15"/>
      <c r="O39" s="15"/>
    </row>
    <row r="40" spans="2:15" ht="16.5" thickBot="1" x14ac:dyDescent="0.3">
      <c r="B40" s="175" t="s">
        <v>44</v>
      </c>
      <c r="C40" s="176"/>
      <c r="D40" s="176"/>
      <c r="E40" s="176"/>
      <c r="F40" s="176"/>
      <c r="G40" s="176"/>
      <c r="H40" s="176"/>
      <c r="I40" s="176"/>
      <c r="J40" s="176"/>
      <c r="K40" s="177"/>
      <c r="L40" s="15"/>
      <c r="M40" s="15"/>
      <c r="N40" s="15"/>
      <c r="O40" s="15"/>
    </row>
    <row r="41" spans="2:15" ht="16.5" thickBot="1" x14ac:dyDescent="0.3">
      <c r="B41" s="162" t="s">
        <v>45</v>
      </c>
      <c r="C41" s="163"/>
      <c r="D41" s="163"/>
      <c r="E41" s="163"/>
      <c r="F41" s="163"/>
      <c r="G41" s="163"/>
      <c r="H41" s="163"/>
      <c r="I41" s="163"/>
      <c r="J41" s="163"/>
      <c r="K41" s="164"/>
      <c r="L41" s="15"/>
      <c r="M41" s="15"/>
      <c r="N41" s="15"/>
      <c r="O41" s="15"/>
    </row>
    <row r="42" spans="2:15" ht="16.5" thickBot="1" x14ac:dyDescent="0.3">
      <c r="B42" s="22" t="s">
        <v>46</v>
      </c>
      <c r="C42" s="178" t="s">
        <v>47</v>
      </c>
      <c r="D42" s="179"/>
      <c r="E42" s="180"/>
      <c r="F42" s="165" t="s">
        <v>48</v>
      </c>
      <c r="G42" s="166"/>
      <c r="H42" s="166"/>
      <c r="I42" s="166"/>
      <c r="J42" s="166"/>
      <c r="K42" s="167"/>
      <c r="L42" s="15"/>
      <c r="M42" s="15"/>
      <c r="N42" s="15"/>
      <c r="O42" s="15"/>
    </row>
    <row r="43" spans="2:15" ht="16.5" thickBot="1" x14ac:dyDescent="0.3">
      <c r="B43" s="29" t="s">
        <v>49</v>
      </c>
      <c r="C43" s="181" t="str">
        <f>IF(F38&lt;10,"CNA",IF(F38&lt;12,"CMA",IF(F38&lt;14,"CA",IF(F38&lt;16,"CBA",IF(F38&lt;20,"CTBA")))))</f>
        <v>CMA</v>
      </c>
      <c r="D43" s="182" t="e">
        <f>IF(#REF!&lt;10,"D",IF(#REF!&lt;12,"C",IF(#REF!&lt;14,"C+",IF(#REF!&lt;15,"B",IF(#REF!&lt;16,"B+",IF(#REF!&lt;18,"A",IF(#REF!&lt;20,"A+")))))))</f>
        <v>#REF!</v>
      </c>
      <c r="E43" s="183" t="e">
        <f>IF(#REF!&lt;10,"D",IF(#REF!&lt;12,"C",IF(#REF!&lt;14,"C+",IF(#REF!&lt;15,"B",IF(#REF!&lt;16,"B+",IF(#REF!&lt;18,"A",IF(#REF!&lt;20,"A+")))))))</f>
        <v>#REF!</v>
      </c>
      <c r="F43" s="168"/>
      <c r="G43" s="169"/>
      <c r="H43" s="169"/>
      <c r="I43" s="169"/>
      <c r="J43" s="169"/>
      <c r="K43" s="170"/>
      <c r="L43" s="15"/>
      <c r="M43" s="15"/>
      <c r="N43" s="15"/>
      <c r="O43" s="15"/>
    </row>
    <row r="44" spans="2:15" ht="16.5" thickBot="1" x14ac:dyDescent="0.3">
      <c r="B44" s="30" t="s">
        <v>50</v>
      </c>
      <c r="C44" s="184" t="e">
        <f>IF(#REF!&lt;10,"D",IF(#REF!&lt;12,"C",IF(#REF!&lt;14,"C+",IF(#REF!&lt;15,"B",IF(#REF!&lt;16,"B+",IF(#REF!&lt;18,"A",IF(#REF!&lt;20,"A+")))))))</f>
        <v>#REF!</v>
      </c>
      <c r="D44" s="185" t="e">
        <f>IF(#REF!&lt;10,"D",IF(#REF!&lt;12,"C",IF(#REF!&lt;14,"C+",IF(#REF!&lt;15,"B",IF(#REF!&lt;16,"B+",IF(#REF!&lt;18,"A",IF(#REF!&lt;20,"A+")))))))</f>
        <v>#REF!</v>
      </c>
      <c r="E44" s="186" t="e">
        <f>IF(#REF!&lt;10,"D",IF(#REF!&lt;12,"C",IF(#REF!&lt;14,"C+",IF(#REF!&lt;15,"B",IF(#REF!&lt;16,"B+",IF(#REF!&lt;18,"A",IF(#REF!&lt;20,"A+")))))))</f>
        <v>#REF!</v>
      </c>
      <c r="F44" s="162" t="s">
        <v>51</v>
      </c>
      <c r="G44" s="163"/>
      <c r="H44" s="163"/>
      <c r="I44" s="164"/>
      <c r="J44" s="165" t="s">
        <v>52</v>
      </c>
      <c r="K44" s="167"/>
      <c r="L44" s="15"/>
      <c r="M44" s="15"/>
      <c r="N44" s="15"/>
      <c r="O44" s="15"/>
    </row>
    <row r="45" spans="2:15" ht="16.5" thickBot="1" x14ac:dyDescent="0.3">
      <c r="B45" s="31" t="s">
        <v>53</v>
      </c>
      <c r="C45" s="187" t="e">
        <f>IF(#REF!&lt;10,"D",IF(#REF!&lt;12,"C",IF(#REF!&lt;14,"C+",IF(#REF!&lt;15,"B",IF(#REF!&lt;16,"B+",IF(#REF!&lt;18,"A",IF(#REF!&lt;20,"A+")))))))</f>
        <v>#REF!</v>
      </c>
      <c r="D45" s="188" t="e">
        <f>IF(#REF!&lt;10,"D",IF(#REF!&lt;12,"C",IF(#REF!&lt;14,"C+",IF(#REF!&lt;15,"B",IF(#REF!&lt;16,"B+",IF(#REF!&lt;18,"A",IF(#REF!&lt;20,"A+")))))))</f>
        <v>#REF!</v>
      </c>
      <c r="E45" s="189" t="e">
        <f>IF(#REF!&lt;10,"D",IF(#REF!&lt;12,"C",IF(#REF!&lt;14,"C+",IF(#REF!&lt;15,"B",IF(#REF!&lt;16,"B+",IF(#REF!&lt;18,"A",IF(#REF!&lt;20,"A+")))))))</f>
        <v>#REF!</v>
      </c>
      <c r="F45" s="162" t="s">
        <v>54</v>
      </c>
      <c r="G45" s="163"/>
      <c r="H45" s="163"/>
      <c r="I45" s="164"/>
      <c r="J45" s="160" t="s">
        <v>55</v>
      </c>
      <c r="K45" s="161"/>
      <c r="L45" s="15"/>
      <c r="M45" s="15"/>
      <c r="N45" s="15"/>
      <c r="O45" s="15"/>
    </row>
    <row r="46" spans="2:15" ht="16.5" thickBot="1" x14ac:dyDescent="0.3">
      <c r="B46" s="23" t="s">
        <v>56</v>
      </c>
      <c r="C46" s="165" t="s">
        <v>57</v>
      </c>
      <c r="D46" s="166"/>
      <c r="E46" s="167"/>
      <c r="F46" s="162" t="s">
        <v>58</v>
      </c>
      <c r="G46" s="163"/>
      <c r="H46" s="163"/>
      <c r="I46" s="164"/>
      <c r="J46" s="160"/>
      <c r="K46" s="161"/>
      <c r="L46" s="15"/>
      <c r="M46" s="15"/>
      <c r="N46" s="15"/>
      <c r="O46" s="15"/>
    </row>
    <row r="47" spans="2:15" ht="16.5" thickBot="1" x14ac:dyDescent="0.3">
      <c r="B47" s="23" t="s">
        <v>59</v>
      </c>
      <c r="C47" s="168"/>
      <c r="D47" s="169"/>
      <c r="E47" s="170"/>
      <c r="F47" s="162" t="s">
        <v>60</v>
      </c>
      <c r="G47" s="163"/>
      <c r="H47" s="163"/>
      <c r="I47" s="164"/>
      <c r="J47" s="154" t="s">
        <v>61</v>
      </c>
      <c r="K47" s="155"/>
      <c r="L47" s="15"/>
      <c r="M47" s="15"/>
      <c r="N47" s="15"/>
      <c r="O47" s="15"/>
    </row>
    <row r="48" spans="2:15" ht="31.5" x14ac:dyDescent="0.25">
      <c r="B48" s="22" t="s">
        <v>62</v>
      </c>
      <c r="C48" s="145"/>
      <c r="D48" s="146"/>
      <c r="E48" s="147"/>
      <c r="F48" s="145"/>
      <c r="G48" s="146"/>
      <c r="H48" s="146"/>
      <c r="I48" s="147"/>
      <c r="J48" s="154" t="s">
        <v>63</v>
      </c>
      <c r="K48" s="155"/>
      <c r="L48" s="15"/>
      <c r="M48" s="15"/>
      <c r="N48" s="15"/>
      <c r="O48" s="15"/>
    </row>
    <row r="49" spans="2:15" ht="15.75" x14ac:dyDescent="0.25">
      <c r="B49" s="32"/>
      <c r="C49" s="148"/>
      <c r="D49" s="149"/>
      <c r="E49" s="150"/>
      <c r="F49" s="148"/>
      <c r="G49" s="149"/>
      <c r="H49" s="149"/>
      <c r="I49" s="150"/>
      <c r="J49" s="156"/>
      <c r="K49" s="157"/>
      <c r="L49" s="15"/>
      <c r="M49" s="15"/>
      <c r="N49" s="15"/>
      <c r="O49" s="15"/>
    </row>
    <row r="50" spans="2:15" ht="15.75" x14ac:dyDescent="0.25">
      <c r="B50" s="32"/>
      <c r="C50" s="148"/>
      <c r="D50" s="149"/>
      <c r="E50" s="150"/>
      <c r="F50" s="148"/>
      <c r="G50" s="149"/>
      <c r="H50" s="149"/>
      <c r="I50" s="150"/>
      <c r="J50" s="156"/>
      <c r="K50" s="157"/>
      <c r="L50" s="15"/>
      <c r="M50" s="15"/>
      <c r="N50" s="15"/>
      <c r="O50" s="15"/>
    </row>
    <row r="51" spans="2:15" ht="16.5" thickBot="1" x14ac:dyDescent="0.3">
      <c r="B51" s="31"/>
      <c r="C51" s="151"/>
      <c r="D51" s="152"/>
      <c r="E51" s="153"/>
      <c r="F51" s="151"/>
      <c r="G51" s="152"/>
      <c r="H51" s="152"/>
      <c r="I51" s="153"/>
      <c r="J51" s="158"/>
      <c r="K51" s="159"/>
      <c r="L51" s="15"/>
      <c r="M51" s="15"/>
      <c r="N51" s="15"/>
      <c r="O51" s="15"/>
    </row>
  </sheetData>
  <mergeCells count="83">
    <mergeCell ref="J50:K50"/>
    <mergeCell ref="J51:K51"/>
    <mergeCell ref="D22:E22"/>
    <mergeCell ref="D23:E23"/>
    <mergeCell ref="D27:E27"/>
    <mergeCell ref="D28:E28"/>
    <mergeCell ref="D29:E29"/>
    <mergeCell ref="B24:K24"/>
    <mergeCell ref="B33:K33"/>
    <mergeCell ref="C25:E25"/>
    <mergeCell ref="F25:G25"/>
    <mergeCell ref="I25:K25"/>
    <mergeCell ref="B26:K26"/>
    <mergeCell ref="H27:I27"/>
    <mergeCell ref="H28:I28"/>
    <mergeCell ref="H29:I29"/>
    <mergeCell ref="D8:E8"/>
    <mergeCell ref="D9:E9"/>
    <mergeCell ref="D13:E13"/>
    <mergeCell ref="D14:E14"/>
    <mergeCell ref="D15:E15"/>
    <mergeCell ref="H13:I13"/>
    <mergeCell ref="H4:I4"/>
    <mergeCell ref="H5:I5"/>
    <mergeCell ref="H6:I6"/>
    <mergeCell ref="H7:I7"/>
    <mergeCell ref="H8:I8"/>
    <mergeCell ref="H9:I9"/>
    <mergeCell ref="B10:K10"/>
    <mergeCell ref="C11:E11"/>
    <mergeCell ref="F11:G11"/>
    <mergeCell ref="I11:K11"/>
    <mergeCell ref="B12:K12"/>
    <mergeCell ref="D4:E4"/>
    <mergeCell ref="D5:E5"/>
    <mergeCell ref="D6:E6"/>
    <mergeCell ref="D7:E7"/>
    <mergeCell ref="H14:I14"/>
    <mergeCell ref="H15:I15"/>
    <mergeCell ref="H16:I16"/>
    <mergeCell ref="B17:K17"/>
    <mergeCell ref="C18:E18"/>
    <mergeCell ref="F18:G18"/>
    <mergeCell ref="I18:K18"/>
    <mergeCell ref="D16:E16"/>
    <mergeCell ref="B19:K19"/>
    <mergeCell ref="H20:I20"/>
    <mergeCell ref="H21:I21"/>
    <mergeCell ref="H22:I22"/>
    <mergeCell ref="H23:I23"/>
    <mergeCell ref="D20:E20"/>
    <mergeCell ref="D21:E21"/>
    <mergeCell ref="H30:I30"/>
    <mergeCell ref="C32:E32"/>
    <mergeCell ref="F32:G32"/>
    <mergeCell ref="I32:K32"/>
    <mergeCell ref="D30:E30"/>
    <mergeCell ref="F34:G34"/>
    <mergeCell ref="I34:J34"/>
    <mergeCell ref="H35:K35"/>
    <mergeCell ref="H36:I36"/>
    <mergeCell ref="C35:D35"/>
    <mergeCell ref="C36:D36"/>
    <mergeCell ref="H38:I38"/>
    <mergeCell ref="J38:K38"/>
    <mergeCell ref="B40:K40"/>
    <mergeCell ref="B41:K41"/>
    <mergeCell ref="C42:E42"/>
    <mergeCell ref="F42:K43"/>
    <mergeCell ref="C43:E45"/>
    <mergeCell ref="J49:K49"/>
    <mergeCell ref="F44:I44"/>
    <mergeCell ref="J44:K44"/>
    <mergeCell ref="F45:I45"/>
    <mergeCell ref="J45:K45"/>
    <mergeCell ref="J46:K46"/>
    <mergeCell ref="J47:K47"/>
    <mergeCell ref="J48:K48"/>
    <mergeCell ref="C46:E47"/>
    <mergeCell ref="F46:I46"/>
    <mergeCell ref="F47:I47"/>
    <mergeCell ref="C48:E51"/>
    <mergeCell ref="F48:I5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1"/>
  <sheetViews>
    <sheetView topLeftCell="A50" zoomScale="90" zoomScaleNormal="90" workbookViewId="0">
      <selection activeCell="B4" sqref="B4:K51"/>
    </sheetView>
  </sheetViews>
  <sheetFormatPr baseColWidth="10" defaultRowHeight="15" x14ac:dyDescent="0.25"/>
  <cols>
    <col min="2" max="2" width="44.140625" customWidth="1"/>
    <col min="3" max="3" width="12.140625" customWidth="1"/>
    <col min="5" max="5" width="16.28515625" customWidth="1"/>
    <col min="7" max="7" width="13.7109375" customWidth="1"/>
    <col min="11" max="11" width="16.42578125" customWidth="1"/>
  </cols>
  <sheetData>
    <row r="3" spans="2:15" ht="15.75" thickBot="1" x14ac:dyDescent="0.3"/>
    <row r="4" spans="2:15" ht="16.5" thickBot="1" x14ac:dyDescent="0.3">
      <c r="B4" s="93" t="s">
        <v>25</v>
      </c>
      <c r="C4" s="94" t="s">
        <v>129</v>
      </c>
      <c r="D4" s="213" t="s">
        <v>130</v>
      </c>
      <c r="E4" s="214"/>
      <c r="F4" s="94" t="s">
        <v>26</v>
      </c>
      <c r="G4" s="93" t="s">
        <v>27</v>
      </c>
      <c r="H4" s="213" t="s">
        <v>28</v>
      </c>
      <c r="I4" s="214"/>
      <c r="J4" s="94" t="s">
        <v>23</v>
      </c>
      <c r="K4" s="94" t="s">
        <v>29</v>
      </c>
      <c r="L4" s="15"/>
      <c r="M4" s="15"/>
      <c r="N4" s="15"/>
      <c r="O4" s="15"/>
    </row>
    <row r="5" spans="2:15" ht="32.25" thickBot="1" x14ac:dyDescent="0.3">
      <c r="B5" s="95" t="s">
        <v>68</v>
      </c>
      <c r="C5" s="16">
        <f>(D5+E5)/2</f>
        <v>12</v>
      </c>
      <c r="D5" s="205">
        <v>12</v>
      </c>
      <c r="E5" s="206">
        <v>12</v>
      </c>
      <c r="F5" s="17">
        <v>3</v>
      </c>
      <c r="G5" s="18">
        <f>C5*F5</f>
        <v>36</v>
      </c>
      <c r="H5" s="202">
        <v>11.461538461538462</v>
      </c>
      <c r="I5" s="203">
        <v>11.461538461538462</v>
      </c>
      <c r="J5" s="35"/>
      <c r="K5" s="16" t="str">
        <f>IF(C5&lt;10,"D",IF(C5&lt;12,"C",IF(C5&lt;14,"C+",IF(C5&lt;15,"B",IF(C5&lt;16,"B+",IF(C5&lt;18,"A",IF(C5&lt;20,"A+")))))))</f>
        <v>C+</v>
      </c>
      <c r="L5" s="15"/>
      <c r="M5" s="15"/>
      <c r="N5" s="19">
        <f>D5*F5</f>
        <v>36</v>
      </c>
      <c r="O5" s="19">
        <f>E5*F5</f>
        <v>36</v>
      </c>
    </row>
    <row r="6" spans="2:15" ht="32.25" thickBot="1" x14ac:dyDescent="0.3">
      <c r="B6" s="95" t="s">
        <v>115</v>
      </c>
      <c r="C6" s="16">
        <f t="shared" ref="C6:C9" si="0">(D6+E6)/2</f>
        <v>7</v>
      </c>
      <c r="D6" s="205">
        <v>7</v>
      </c>
      <c r="E6" s="206">
        <v>7</v>
      </c>
      <c r="F6" s="17">
        <v>1</v>
      </c>
      <c r="G6" s="18">
        <f t="shared" ref="G6:G9" si="1">C6*F6</f>
        <v>7</v>
      </c>
      <c r="H6" s="202">
        <v>7.1538461538461542</v>
      </c>
      <c r="I6" s="203">
        <v>7.1538461538461542</v>
      </c>
      <c r="J6" s="35"/>
      <c r="K6" s="16" t="str">
        <f t="shared" ref="K6:K9" si="2">IF(C6&lt;10,"D",IF(C6&lt;12,"C",IF(C6&lt;14,"C+",IF(C6&lt;15,"B",IF(C6&lt;16,"B+",IF(C6&lt;18,"A",IF(C6&lt;20,"A+")))))))</f>
        <v>D</v>
      </c>
      <c r="L6" s="15"/>
      <c r="M6" s="15"/>
      <c r="N6" s="19">
        <f t="shared" ref="N6:N9" si="3">D6*F6</f>
        <v>7</v>
      </c>
      <c r="O6" s="19">
        <f t="shared" ref="O6:O9" si="4">E6*F6</f>
        <v>7</v>
      </c>
    </row>
    <row r="7" spans="2:15" ht="32.25" thickBot="1" x14ac:dyDescent="0.3">
      <c r="B7" s="95" t="s">
        <v>116</v>
      </c>
      <c r="C7" s="16">
        <f t="shared" si="0"/>
        <v>11</v>
      </c>
      <c r="D7" s="205">
        <v>11</v>
      </c>
      <c r="E7" s="206">
        <v>11</v>
      </c>
      <c r="F7" s="17">
        <v>2</v>
      </c>
      <c r="G7" s="18">
        <f t="shared" si="1"/>
        <v>22</v>
      </c>
      <c r="H7" s="202">
        <v>10.423076923076923</v>
      </c>
      <c r="I7" s="203">
        <v>10.423076923076923</v>
      </c>
      <c r="J7" s="35"/>
      <c r="K7" s="16" t="str">
        <f t="shared" si="2"/>
        <v>C</v>
      </c>
      <c r="L7" s="15"/>
      <c r="M7" s="15"/>
      <c r="N7" s="19">
        <f t="shared" si="3"/>
        <v>22</v>
      </c>
      <c r="O7" s="19">
        <f t="shared" si="4"/>
        <v>22</v>
      </c>
    </row>
    <row r="8" spans="2:15" ht="32.25" thickBot="1" x14ac:dyDescent="0.3">
      <c r="B8" s="95" t="s">
        <v>117</v>
      </c>
      <c r="C8" s="16">
        <f t="shared" si="0"/>
        <v>10</v>
      </c>
      <c r="D8" s="205">
        <v>10</v>
      </c>
      <c r="E8" s="206">
        <v>10</v>
      </c>
      <c r="F8" s="17">
        <v>1</v>
      </c>
      <c r="G8" s="18">
        <f t="shared" si="1"/>
        <v>10</v>
      </c>
      <c r="H8" s="202">
        <v>9.2307692307692299</v>
      </c>
      <c r="I8" s="203">
        <v>9.2307692307692299</v>
      </c>
      <c r="J8" s="35"/>
      <c r="K8" s="16" t="str">
        <f t="shared" si="2"/>
        <v>C</v>
      </c>
      <c r="L8" s="15"/>
      <c r="M8" s="15"/>
      <c r="N8" s="19">
        <f t="shared" si="3"/>
        <v>10</v>
      </c>
      <c r="O8" s="19">
        <f t="shared" si="4"/>
        <v>10</v>
      </c>
    </row>
    <row r="9" spans="2:15" ht="32.25" thickBot="1" x14ac:dyDescent="0.3">
      <c r="B9" s="95" t="s">
        <v>64</v>
      </c>
      <c r="C9" s="16">
        <f t="shared" si="0"/>
        <v>12</v>
      </c>
      <c r="D9" s="205">
        <v>12</v>
      </c>
      <c r="E9" s="206">
        <v>12</v>
      </c>
      <c r="F9" s="17">
        <v>2</v>
      </c>
      <c r="G9" s="18">
        <f t="shared" si="1"/>
        <v>24</v>
      </c>
      <c r="H9" s="202">
        <v>9.9230769230769234</v>
      </c>
      <c r="I9" s="203">
        <v>9.9230769230769234</v>
      </c>
      <c r="J9" s="35"/>
      <c r="K9" s="16" t="str">
        <f t="shared" si="2"/>
        <v>C+</v>
      </c>
      <c r="L9" s="15"/>
      <c r="M9" s="15"/>
      <c r="N9" s="19">
        <f t="shared" si="3"/>
        <v>24</v>
      </c>
      <c r="O9" s="19">
        <f t="shared" si="4"/>
        <v>24</v>
      </c>
    </row>
    <row r="10" spans="2:15" ht="16.5" thickBot="1" x14ac:dyDescent="0.3">
      <c r="B10" s="207" t="s">
        <v>30</v>
      </c>
      <c r="C10" s="208"/>
      <c r="D10" s="208"/>
      <c r="E10" s="208"/>
      <c r="F10" s="208"/>
      <c r="G10" s="208"/>
      <c r="H10" s="208"/>
      <c r="I10" s="208"/>
      <c r="J10" s="208"/>
      <c r="K10" s="209"/>
      <c r="L10" s="15"/>
      <c r="M10" s="15"/>
      <c r="N10" s="15"/>
      <c r="O10" s="15"/>
    </row>
    <row r="11" spans="2:15" ht="16.5" thickBot="1" x14ac:dyDescent="0.3">
      <c r="B11" s="20" t="s">
        <v>31</v>
      </c>
      <c r="C11" s="195">
        <f>(SUM(G5:G9)/SUM(F5:F9))</f>
        <v>11</v>
      </c>
      <c r="D11" s="195"/>
      <c r="E11" s="195"/>
      <c r="F11" s="196" t="s">
        <v>32</v>
      </c>
      <c r="G11" s="196"/>
      <c r="H11" s="98"/>
      <c r="I11" s="190"/>
      <c r="J11" s="190"/>
      <c r="K11" s="197"/>
      <c r="L11" s="15"/>
      <c r="M11" s="15"/>
      <c r="N11" s="15"/>
      <c r="O11" s="15"/>
    </row>
    <row r="12" spans="2:15" ht="16.5" thickBot="1" x14ac:dyDescent="0.3">
      <c r="B12" s="198"/>
      <c r="C12" s="199"/>
      <c r="D12" s="199"/>
      <c r="E12" s="199"/>
      <c r="F12" s="199"/>
      <c r="G12" s="199"/>
      <c r="H12" s="199"/>
      <c r="I12" s="199"/>
      <c r="J12" s="199"/>
      <c r="K12" s="201"/>
      <c r="L12" s="15"/>
      <c r="M12" s="15"/>
      <c r="N12" s="15"/>
      <c r="O12" s="15"/>
    </row>
    <row r="13" spans="2:15" ht="32.25" thickBot="1" x14ac:dyDescent="0.3">
      <c r="B13" s="95" t="s">
        <v>65</v>
      </c>
      <c r="C13" s="16">
        <f t="shared" ref="C13:C16" si="5">(D13+E13)/2</f>
        <v>11</v>
      </c>
      <c r="D13" s="205">
        <v>11</v>
      </c>
      <c r="E13" s="206">
        <v>11</v>
      </c>
      <c r="F13" s="17">
        <v>2</v>
      </c>
      <c r="G13" s="18">
        <f t="shared" ref="G13:G16" si="6">C13*F13</f>
        <v>22</v>
      </c>
      <c r="H13" s="202">
        <v>11.384615384615385</v>
      </c>
      <c r="I13" s="203">
        <v>11.384615384615385</v>
      </c>
      <c r="J13" s="35"/>
      <c r="K13" s="16" t="str">
        <f t="shared" ref="K13:K16" si="7">IF(C13&lt;10,"D",IF(C13&lt;12,"C",IF(C13&lt;14,"C+",IF(C13&lt;15,"B",IF(C13&lt;16,"B+",IF(C13&lt;18,"A",IF(C13&lt;20,"A+")))))))</f>
        <v>C</v>
      </c>
      <c r="L13" s="15"/>
      <c r="M13" s="15"/>
      <c r="N13" s="19">
        <f t="shared" ref="N13:N16" si="8">D13*F13</f>
        <v>22</v>
      </c>
      <c r="O13" s="19">
        <f t="shared" ref="O13:O16" si="9">E13*F13</f>
        <v>22</v>
      </c>
    </row>
    <row r="14" spans="2:15" ht="32.25" thickBot="1" x14ac:dyDescent="0.3">
      <c r="B14" s="95" t="s">
        <v>118</v>
      </c>
      <c r="C14" s="16">
        <f t="shared" si="5"/>
        <v>13</v>
      </c>
      <c r="D14" s="205">
        <v>13</v>
      </c>
      <c r="E14" s="206">
        <v>13</v>
      </c>
      <c r="F14" s="17">
        <v>2</v>
      </c>
      <c r="G14" s="18">
        <f t="shared" si="6"/>
        <v>26</v>
      </c>
      <c r="H14" s="202">
        <v>10.692307692307692</v>
      </c>
      <c r="I14" s="203">
        <v>10.692307692307692</v>
      </c>
      <c r="J14" s="35"/>
      <c r="K14" s="16" t="str">
        <f t="shared" si="7"/>
        <v>C+</v>
      </c>
      <c r="L14" s="15"/>
      <c r="M14" s="15"/>
      <c r="N14" s="19">
        <f t="shared" si="8"/>
        <v>26</v>
      </c>
      <c r="O14" s="19">
        <f t="shared" si="9"/>
        <v>26</v>
      </c>
    </row>
    <row r="15" spans="2:15" ht="32.25" thickBot="1" x14ac:dyDescent="0.3">
      <c r="B15" s="95" t="s">
        <v>119</v>
      </c>
      <c r="C15" s="16">
        <f t="shared" si="5"/>
        <v>14</v>
      </c>
      <c r="D15" s="205">
        <v>14</v>
      </c>
      <c r="E15" s="206">
        <v>14</v>
      </c>
      <c r="F15" s="17">
        <v>2</v>
      </c>
      <c r="G15" s="18">
        <f t="shared" si="6"/>
        <v>28</v>
      </c>
      <c r="H15" s="202">
        <v>11.692307692307692</v>
      </c>
      <c r="I15" s="203">
        <v>11.692307692307692</v>
      </c>
      <c r="J15" s="35"/>
      <c r="K15" s="16" t="str">
        <f t="shared" si="7"/>
        <v>B</v>
      </c>
      <c r="L15" s="15"/>
      <c r="M15" s="15"/>
      <c r="N15" s="19">
        <f t="shared" si="8"/>
        <v>28</v>
      </c>
      <c r="O15" s="19">
        <f t="shared" si="9"/>
        <v>28</v>
      </c>
    </row>
    <row r="16" spans="2:15" ht="32.25" thickBot="1" x14ac:dyDescent="0.3">
      <c r="B16" s="95" t="s">
        <v>66</v>
      </c>
      <c r="C16" s="16">
        <f t="shared" si="5"/>
        <v>16</v>
      </c>
      <c r="D16" s="205">
        <v>16</v>
      </c>
      <c r="E16" s="206">
        <v>16</v>
      </c>
      <c r="F16" s="17">
        <v>1</v>
      </c>
      <c r="G16" s="18">
        <f t="shared" si="6"/>
        <v>16</v>
      </c>
      <c r="H16" s="202">
        <v>16</v>
      </c>
      <c r="I16" s="203"/>
      <c r="J16" s="35"/>
      <c r="K16" s="16" t="str">
        <f t="shared" si="7"/>
        <v>A</v>
      </c>
      <c r="L16" s="15"/>
      <c r="M16" s="15"/>
      <c r="N16" s="19">
        <f t="shared" si="8"/>
        <v>16</v>
      </c>
      <c r="O16" s="19">
        <f t="shared" si="9"/>
        <v>16</v>
      </c>
    </row>
    <row r="17" spans="2:15" ht="16.5" thickBot="1" x14ac:dyDescent="0.3">
      <c r="B17" s="207" t="s">
        <v>33</v>
      </c>
      <c r="C17" s="208"/>
      <c r="D17" s="208"/>
      <c r="E17" s="208"/>
      <c r="F17" s="208"/>
      <c r="G17" s="208"/>
      <c r="H17" s="208"/>
      <c r="I17" s="208"/>
      <c r="J17" s="208"/>
      <c r="K17" s="209"/>
      <c r="L17" s="15"/>
      <c r="M17" s="15"/>
      <c r="N17" s="15"/>
      <c r="O17" s="15"/>
    </row>
    <row r="18" spans="2:15" ht="16.5" thickBot="1" x14ac:dyDescent="0.3">
      <c r="B18" s="20" t="s">
        <v>34</v>
      </c>
      <c r="C18" s="195">
        <f>(SUM(G13:G16)/SUM(F13:F16))</f>
        <v>13.142857142857142</v>
      </c>
      <c r="D18" s="195"/>
      <c r="E18" s="195"/>
      <c r="F18" s="196" t="s">
        <v>32</v>
      </c>
      <c r="G18" s="196"/>
      <c r="H18" s="98"/>
      <c r="I18" s="190"/>
      <c r="J18" s="190"/>
      <c r="K18" s="197"/>
      <c r="L18" s="15"/>
      <c r="M18" s="15"/>
      <c r="N18" s="15"/>
      <c r="O18" s="15"/>
    </row>
    <row r="19" spans="2:15" ht="16.5" thickBot="1" x14ac:dyDescent="0.3">
      <c r="B19" s="210"/>
      <c r="C19" s="211"/>
      <c r="D19" s="211"/>
      <c r="E19" s="211"/>
      <c r="F19" s="211"/>
      <c r="G19" s="211"/>
      <c r="H19" s="211"/>
      <c r="I19" s="211"/>
      <c r="J19" s="211"/>
      <c r="K19" s="212"/>
      <c r="L19" s="15"/>
      <c r="M19" s="15"/>
      <c r="N19" s="15"/>
      <c r="O19" s="15"/>
    </row>
    <row r="20" spans="2:15" ht="32.25" thickBot="1" x14ac:dyDescent="0.3">
      <c r="B20" s="95" t="s">
        <v>69</v>
      </c>
      <c r="C20" s="16">
        <f t="shared" ref="C20:C23" si="10">(D20+E20)/2</f>
        <v>8</v>
      </c>
      <c r="D20" s="205">
        <v>8</v>
      </c>
      <c r="E20" s="206">
        <v>8</v>
      </c>
      <c r="F20" s="17">
        <v>2</v>
      </c>
      <c r="G20" s="18">
        <f t="shared" ref="G20:G23" si="11">C20*F20</f>
        <v>16</v>
      </c>
      <c r="H20" s="202">
        <v>8.2307692307692299</v>
      </c>
      <c r="I20" s="203">
        <v>8.2307692307692299</v>
      </c>
      <c r="J20" s="35"/>
      <c r="K20" s="16" t="str">
        <f t="shared" ref="K20:K23" si="12">IF(C20&lt;10,"D",IF(C20&lt;12,"C",IF(C20&lt;14,"C+",IF(C20&lt;15,"B",IF(C20&lt;16,"B+",IF(C20&lt;18,"A",IF(C20&lt;20,"A+")))))))</f>
        <v>D</v>
      </c>
      <c r="L20" s="15"/>
      <c r="M20" s="15"/>
      <c r="N20" s="19">
        <f t="shared" ref="N20:N23" si="13">D20*F20</f>
        <v>16</v>
      </c>
      <c r="O20" s="19">
        <f t="shared" ref="O20:O23" si="14">E20*F20</f>
        <v>16</v>
      </c>
    </row>
    <row r="21" spans="2:15" ht="32.25" thickBot="1" x14ac:dyDescent="0.3">
      <c r="B21" s="95" t="s">
        <v>70</v>
      </c>
      <c r="C21" s="16">
        <f t="shared" si="10"/>
        <v>5</v>
      </c>
      <c r="D21" s="205">
        <v>5</v>
      </c>
      <c r="E21" s="206">
        <v>5</v>
      </c>
      <c r="F21" s="17">
        <v>4</v>
      </c>
      <c r="G21" s="18">
        <f t="shared" si="11"/>
        <v>20</v>
      </c>
      <c r="H21" s="202">
        <v>4.2692307692307692</v>
      </c>
      <c r="I21" s="203">
        <v>4.2692307692307692</v>
      </c>
      <c r="J21" s="35"/>
      <c r="K21" s="16" t="str">
        <f t="shared" si="12"/>
        <v>D</v>
      </c>
      <c r="L21" s="15"/>
      <c r="M21" s="15"/>
      <c r="N21" s="19">
        <f t="shared" si="13"/>
        <v>20</v>
      </c>
      <c r="O21" s="19">
        <f t="shared" si="14"/>
        <v>20</v>
      </c>
    </row>
    <row r="22" spans="2:15" ht="32.25" thickBot="1" x14ac:dyDescent="0.3">
      <c r="B22" s="95" t="s">
        <v>120</v>
      </c>
      <c r="C22" s="16">
        <f t="shared" si="10"/>
        <v>10</v>
      </c>
      <c r="D22" s="205">
        <v>10</v>
      </c>
      <c r="E22" s="206">
        <v>10</v>
      </c>
      <c r="F22" s="17">
        <v>2</v>
      </c>
      <c r="G22" s="18">
        <f t="shared" si="11"/>
        <v>20</v>
      </c>
      <c r="H22" s="202">
        <v>5.6538461538461542</v>
      </c>
      <c r="I22" s="203">
        <v>5.6538461538461542</v>
      </c>
      <c r="J22" s="35"/>
      <c r="K22" s="16" t="str">
        <f t="shared" si="12"/>
        <v>C</v>
      </c>
      <c r="L22" s="15"/>
      <c r="M22" s="15"/>
      <c r="N22" s="19">
        <f t="shared" si="13"/>
        <v>20</v>
      </c>
      <c r="O22" s="19">
        <f t="shared" si="14"/>
        <v>20</v>
      </c>
    </row>
    <row r="23" spans="2:15" ht="32.25" thickBot="1" x14ac:dyDescent="0.3">
      <c r="B23" s="95" t="s">
        <v>71</v>
      </c>
      <c r="C23" s="16">
        <f t="shared" si="10"/>
        <v>10</v>
      </c>
      <c r="D23" s="205">
        <v>10</v>
      </c>
      <c r="E23" s="206">
        <v>10</v>
      </c>
      <c r="F23" s="17">
        <v>2</v>
      </c>
      <c r="G23" s="18">
        <f t="shared" si="11"/>
        <v>20</v>
      </c>
      <c r="H23" s="202">
        <v>9.7692307692307701</v>
      </c>
      <c r="I23" s="203">
        <v>9.7692307692307701</v>
      </c>
      <c r="J23" s="35"/>
      <c r="K23" s="16" t="str">
        <f t="shared" si="12"/>
        <v>C</v>
      </c>
      <c r="L23" s="15"/>
      <c r="M23" s="15"/>
      <c r="N23" s="19">
        <f t="shared" si="13"/>
        <v>20</v>
      </c>
      <c r="O23" s="19">
        <f t="shared" si="14"/>
        <v>20</v>
      </c>
    </row>
    <row r="24" spans="2:15" ht="16.5" thickBot="1" x14ac:dyDescent="0.3">
      <c r="B24" s="207" t="s">
        <v>35</v>
      </c>
      <c r="C24" s="208"/>
      <c r="D24" s="208"/>
      <c r="E24" s="208"/>
      <c r="F24" s="208"/>
      <c r="G24" s="208"/>
      <c r="H24" s="208"/>
      <c r="I24" s="208"/>
      <c r="J24" s="208"/>
      <c r="K24" s="209"/>
      <c r="L24" s="15"/>
      <c r="M24" s="15"/>
      <c r="N24" s="15"/>
      <c r="O24" s="15"/>
    </row>
    <row r="25" spans="2:15" ht="16.5" thickBot="1" x14ac:dyDescent="0.3">
      <c r="B25" s="20" t="s">
        <v>31</v>
      </c>
      <c r="C25" s="195">
        <f>(SUM(G20:G23)/SUM(F20:F23))</f>
        <v>7.6</v>
      </c>
      <c r="D25" s="195"/>
      <c r="E25" s="195"/>
      <c r="F25" s="196" t="s">
        <v>32</v>
      </c>
      <c r="G25" s="196"/>
      <c r="H25" s="98"/>
      <c r="I25" s="190"/>
      <c r="J25" s="190"/>
      <c r="K25" s="197"/>
      <c r="L25" s="15"/>
      <c r="M25" s="15"/>
      <c r="N25" s="15"/>
      <c r="O25" s="15"/>
    </row>
    <row r="26" spans="2:15" ht="16.5" thickBot="1" x14ac:dyDescent="0.3">
      <c r="B26" s="198"/>
      <c r="C26" s="199"/>
      <c r="D26" s="199"/>
      <c r="E26" s="199"/>
      <c r="F26" s="199"/>
      <c r="G26" s="199"/>
      <c r="H26" s="200"/>
      <c r="I26" s="200"/>
      <c r="J26" s="200"/>
      <c r="K26" s="201"/>
      <c r="L26" s="15"/>
      <c r="M26" s="15"/>
      <c r="N26" s="15"/>
      <c r="O26" s="15"/>
    </row>
    <row r="27" spans="2:15" ht="32.25" thickBot="1" x14ac:dyDescent="0.3">
      <c r="B27" s="95" t="s">
        <v>67</v>
      </c>
      <c r="C27" s="16">
        <f t="shared" ref="C27:C30" si="15">(D27+E27)/2</f>
        <v>16</v>
      </c>
      <c r="D27" s="205">
        <v>16</v>
      </c>
      <c r="E27" s="206">
        <v>16</v>
      </c>
      <c r="F27" s="17">
        <v>1</v>
      </c>
      <c r="G27" s="18">
        <f t="shared" ref="G27:G30" si="16">C27*F27</f>
        <v>16</v>
      </c>
      <c r="H27" s="202">
        <v>16</v>
      </c>
      <c r="I27" s="203">
        <v>16</v>
      </c>
      <c r="J27" s="35"/>
      <c r="K27" s="16" t="str">
        <f t="shared" ref="K27:K30" si="17">IF(C27&lt;10,"D",IF(C27&lt;12,"C",IF(C27&lt;14,"C+",IF(C27&lt;15,"B",IF(C27&lt;16,"B+",IF(C27&lt;18,"A",IF(C27&lt;20,"A+")))))))</f>
        <v>A</v>
      </c>
      <c r="L27" s="15"/>
      <c r="M27" s="15"/>
      <c r="N27" s="19">
        <f t="shared" ref="N27:N30" si="18">D27*F27</f>
        <v>16</v>
      </c>
      <c r="O27" s="19">
        <f t="shared" ref="O27:O30" si="19">E27*F27</f>
        <v>16</v>
      </c>
    </row>
    <row r="28" spans="2:15" ht="32.25" thickBot="1" x14ac:dyDescent="0.3">
      <c r="B28" s="95" t="s">
        <v>122</v>
      </c>
      <c r="C28" s="16">
        <f t="shared" si="15"/>
        <v>16</v>
      </c>
      <c r="D28" s="205">
        <v>16</v>
      </c>
      <c r="E28" s="206">
        <v>16</v>
      </c>
      <c r="F28" s="17">
        <v>2</v>
      </c>
      <c r="G28" s="18">
        <f t="shared" si="16"/>
        <v>32</v>
      </c>
      <c r="H28" s="202">
        <v>15.846153846153847</v>
      </c>
      <c r="I28" s="203">
        <v>15.846153846153847</v>
      </c>
      <c r="J28" s="35"/>
      <c r="K28" s="16" t="str">
        <f t="shared" si="17"/>
        <v>A</v>
      </c>
      <c r="L28" s="15"/>
      <c r="M28" s="15"/>
      <c r="N28" s="19">
        <f t="shared" si="18"/>
        <v>32</v>
      </c>
      <c r="O28" s="19">
        <f t="shared" si="19"/>
        <v>32</v>
      </c>
    </row>
    <row r="29" spans="2:15" ht="32.25" thickBot="1" x14ac:dyDescent="0.3">
      <c r="B29" s="95" t="s">
        <v>72</v>
      </c>
      <c r="C29" s="16">
        <f t="shared" si="15"/>
        <v>15</v>
      </c>
      <c r="D29" s="205">
        <v>15</v>
      </c>
      <c r="E29" s="206">
        <v>15</v>
      </c>
      <c r="F29" s="17">
        <v>1</v>
      </c>
      <c r="G29" s="18">
        <f t="shared" si="16"/>
        <v>15</v>
      </c>
      <c r="H29" s="202">
        <v>12.76923076923077</v>
      </c>
      <c r="I29" s="203">
        <v>12.76923076923077</v>
      </c>
      <c r="J29" s="35"/>
      <c r="K29" s="16" t="str">
        <f t="shared" si="17"/>
        <v>B+</v>
      </c>
      <c r="L29" s="15"/>
      <c r="M29" s="15"/>
      <c r="N29" s="19">
        <f t="shared" si="18"/>
        <v>15</v>
      </c>
      <c r="O29" s="19">
        <f t="shared" si="19"/>
        <v>15</v>
      </c>
    </row>
    <row r="30" spans="2:15" ht="32.25" thickBot="1" x14ac:dyDescent="0.3">
      <c r="B30" s="95" t="s">
        <v>121</v>
      </c>
      <c r="C30" s="16">
        <f>D30</f>
        <v>17</v>
      </c>
      <c r="D30" s="205">
        <v>17</v>
      </c>
      <c r="E30" s="206"/>
      <c r="F30" s="17">
        <v>1</v>
      </c>
      <c r="G30" s="18">
        <f t="shared" si="16"/>
        <v>17</v>
      </c>
      <c r="H30" s="202">
        <v>17</v>
      </c>
      <c r="I30" s="203"/>
      <c r="J30" s="35"/>
      <c r="K30" s="16" t="str">
        <f t="shared" si="17"/>
        <v>A</v>
      </c>
      <c r="L30" s="15"/>
      <c r="M30" s="15"/>
      <c r="N30" s="19">
        <f t="shared" si="18"/>
        <v>17</v>
      </c>
      <c r="O30" s="19">
        <f t="shared" si="19"/>
        <v>0</v>
      </c>
    </row>
    <row r="31" spans="2:15" ht="16.5" thickBot="1" x14ac:dyDescent="0.3">
      <c r="B31" s="95" t="s">
        <v>36</v>
      </c>
      <c r="C31" s="96"/>
      <c r="D31" s="96"/>
      <c r="E31" s="96"/>
      <c r="F31" s="96"/>
      <c r="G31" s="96"/>
      <c r="H31" s="96"/>
      <c r="I31" s="96"/>
      <c r="J31" s="96"/>
      <c r="K31" s="97"/>
      <c r="L31" s="15"/>
      <c r="M31" s="15"/>
      <c r="N31" s="15">
        <f>SUM(N5:N30)</f>
        <v>347</v>
      </c>
      <c r="O31" s="15">
        <f>SUM(O5:O30)</f>
        <v>330</v>
      </c>
    </row>
    <row r="32" spans="2:15" ht="16.5" thickBot="1" x14ac:dyDescent="0.3">
      <c r="B32" s="21" t="s">
        <v>34</v>
      </c>
      <c r="C32" s="195">
        <f>(SUM(G27:G30)/SUM(F27:F30))</f>
        <v>16</v>
      </c>
      <c r="D32" s="195"/>
      <c r="E32" s="195"/>
      <c r="F32" s="204" t="s">
        <v>32</v>
      </c>
      <c r="G32" s="204"/>
      <c r="H32" s="99"/>
      <c r="I32" s="163"/>
      <c r="J32" s="163"/>
      <c r="K32" s="164"/>
      <c r="L32" s="15"/>
      <c r="M32" s="15"/>
      <c r="N32" s="15">
        <v>31</v>
      </c>
      <c r="O32" s="15">
        <v>31</v>
      </c>
    </row>
    <row r="33" spans="2:15" ht="16.5" thickBot="1" x14ac:dyDescent="0.3">
      <c r="B33" s="178"/>
      <c r="C33" s="179"/>
      <c r="D33" s="179"/>
      <c r="E33" s="179"/>
      <c r="F33" s="179"/>
      <c r="G33" s="179"/>
      <c r="H33" s="179"/>
      <c r="I33" s="179"/>
      <c r="J33" s="179"/>
      <c r="K33" s="180"/>
      <c r="L33" s="15"/>
      <c r="M33" s="15"/>
      <c r="N33" s="15">
        <f>N31/N32</f>
        <v>11.193548387096774</v>
      </c>
      <c r="O33" s="15">
        <f>O31/O32</f>
        <v>10.64516129032258</v>
      </c>
    </row>
    <row r="34" spans="2:15" ht="48" thickBot="1" x14ac:dyDescent="0.3">
      <c r="B34" s="22" t="s">
        <v>37</v>
      </c>
      <c r="C34" s="23" t="s">
        <v>38</v>
      </c>
      <c r="D34" s="99">
        <v>10.220000000000001</v>
      </c>
      <c r="E34" s="24" t="s">
        <v>39</v>
      </c>
      <c r="F34" s="190">
        <v>11.9</v>
      </c>
      <c r="G34" s="190"/>
      <c r="H34" s="24" t="s">
        <v>40</v>
      </c>
      <c r="I34" s="190">
        <v>8.4499999999999993</v>
      </c>
      <c r="J34" s="190"/>
      <c r="K34" s="25"/>
      <c r="L34" s="26"/>
      <c r="M34" s="26"/>
      <c r="N34" s="26"/>
      <c r="O34" s="26"/>
    </row>
    <row r="35" spans="2:15" ht="15.75" x14ac:dyDescent="0.25">
      <c r="B35" s="74"/>
      <c r="C35" s="193" t="s">
        <v>130</v>
      </c>
      <c r="D35" s="193"/>
      <c r="E35" s="75"/>
      <c r="F35" s="75"/>
      <c r="G35" s="76"/>
      <c r="H35" s="145"/>
      <c r="I35" s="146"/>
      <c r="J35" s="146"/>
      <c r="K35" s="147"/>
      <c r="L35" s="15"/>
      <c r="M35" s="15"/>
      <c r="N35" s="15"/>
      <c r="O35" s="15"/>
    </row>
    <row r="36" spans="2:15" ht="15.75" x14ac:dyDescent="0.25">
      <c r="B36" s="77" t="s">
        <v>41</v>
      </c>
      <c r="C36" s="194">
        <f>N33</f>
        <v>11.193548387096774</v>
      </c>
      <c r="D36" s="194"/>
      <c r="E36" s="79" t="s">
        <v>131</v>
      </c>
      <c r="F36" s="80">
        <f>(G5+G6+G7+G8+G9+G13+G14+G15+G20+G16+G21+G22+G23+G27+G28+G29+G30)/31</f>
        <v>11.193548387096774</v>
      </c>
      <c r="G36" s="81" t="s">
        <v>42</v>
      </c>
      <c r="H36" s="191" t="s">
        <v>43</v>
      </c>
      <c r="I36" s="192"/>
      <c r="J36" s="27" t="s">
        <v>149</v>
      </c>
      <c r="K36" s="28" t="s">
        <v>113</v>
      </c>
      <c r="L36" s="15"/>
      <c r="M36" s="15"/>
      <c r="N36" s="15"/>
      <c r="O36" s="15"/>
    </row>
    <row r="37" spans="2:15" ht="12.75" customHeight="1" x14ac:dyDescent="0.25">
      <c r="B37" s="77"/>
      <c r="C37" s="78"/>
      <c r="D37" s="78"/>
      <c r="E37" s="79"/>
      <c r="F37" s="80"/>
      <c r="G37" s="81"/>
      <c r="H37" s="100"/>
      <c r="I37" s="101"/>
      <c r="J37" s="27"/>
      <c r="K37" s="28"/>
      <c r="L37" s="15"/>
      <c r="M37" s="15"/>
      <c r="N37" s="15"/>
      <c r="O37" s="15"/>
    </row>
    <row r="38" spans="2:15" ht="18" customHeight="1" x14ac:dyDescent="0.25">
      <c r="B38" s="102" t="s">
        <v>132</v>
      </c>
      <c r="C38" s="103" t="s">
        <v>133</v>
      </c>
      <c r="D38" s="103" t="s">
        <v>134</v>
      </c>
      <c r="E38" s="104" t="s">
        <v>135</v>
      </c>
      <c r="F38" s="105">
        <f>AVERAGE(B39:C39:D39)</f>
        <v>10.147849462365592</v>
      </c>
      <c r="G38" s="106" t="s">
        <v>42</v>
      </c>
      <c r="H38" s="171" t="s">
        <v>136</v>
      </c>
      <c r="I38" s="172"/>
      <c r="J38" s="173" t="s">
        <v>156</v>
      </c>
      <c r="K38" s="174"/>
      <c r="L38" s="15"/>
      <c r="M38" s="15"/>
      <c r="N38" s="15"/>
      <c r="O38" s="15"/>
    </row>
    <row r="39" spans="2:15" ht="27" customHeight="1" thickBot="1" x14ac:dyDescent="0.3">
      <c r="B39" s="107">
        <v>9.85</v>
      </c>
      <c r="C39" s="108">
        <v>9.4</v>
      </c>
      <c r="D39" s="108">
        <f>F36</f>
        <v>11.193548387096774</v>
      </c>
      <c r="E39" s="109"/>
      <c r="F39" s="110"/>
      <c r="G39" s="111"/>
      <c r="H39" s="101"/>
      <c r="I39" s="101"/>
      <c r="J39" s="27"/>
      <c r="K39" s="28"/>
      <c r="L39" s="15"/>
      <c r="M39" s="15"/>
      <c r="N39" s="15"/>
      <c r="O39" s="15"/>
    </row>
    <row r="40" spans="2:15" ht="16.5" thickBot="1" x14ac:dyDescent="0.3">
      <c r="B40" s="175" t="s">
        <v>44</v>
      </c>
      <c r="C40" s="176"/>
      <c r="D40" s="176"/>
      <c r="E40" s="176"/>
      <c r="F40" s="176"/>
      <c r="G40" s="176"/>
      <c r="H40" s="176"/>
      <c r="I40" s="176"/>
      <c r="J40" s="176"/>
      <c r="K40" s="177"/>
      <c r="L40" s="15"/>
      <c r="M40" s="15"/>
      <c r="N40" s="15"/>
      <c r="O40" s="15"/>
    </row>
    <row r="41" spans="2:15" ht="16.5" thickBot="1" x14ac:dyDescent="0.3">
      <c r="B41" s="162" t="s">
        <v>45</v>
      </c>
      <c r="C41" s="163"/>
      <c r="D41" s="163"/>
      <c r="E41" s="163"/>
      <c r="F41" s="163"/>
      <c r="G41" s="163"/>
      <c r="H41" s="163"/>
      <c r="I41" s="163"/>
      <c r="J41" s="163"/>
      <c r="K41" s="164"/>
      <c r="L41" s="15"/>
      <c r="M41" s="15"/>
      <c r="N41" s="15"/>
      <c r="O41" s="15"/>
    </row>
    <row r="42" spans="2:15" ht="16.5" thickBot="1" x14ac:dyDescent="0.3">
      <c r="B42" s="22" t="s">
        <v>46</v>
      </c>
      <c r="C42" s="178" t="s">
        <v>47</v>
      </c>
      <c r="D42" s="179"/>
      <c r="E42" s="180"/>
      <c r="F42" s="165" t="s">
        <v>48</v>
      </c>
      <c r="G42" s="166"/>
      <c r="H42" s="166"/>
      <c r="I42" s="166"/>
      <c r="J42" s="166"/>
      <c r="K42" s="167"/>
      <c r="L42" s="15"/>
      <c r="M42" s="15"/>
      <c r="N42" s="15"/>
      <c r="O42" s="15"/>
    </row>
    <row r="43" spans="2:15" ht="16.5" thickBot="1" x14ac:dyDescent="0.3">
      <c r="B43" s="29" t="s">
        <v>49</v>
      </c>
      <c r="C43" s="181" t="str">
        <f>IF(F38&lt;10,"CNA",IF(F38&lt;12,"CMA",IF(F38&lt;14,"CA",IF(F38&lt;16,"CBA",IF(F38&lt;20,"CTBA")))))</f>
        <v>CMA</v>
      </c>
      <c r="D43" s="182" t="e">
        <f>IF(#REF!&lt;10,"D",IF(#REF!&lt;12,"C",IF(#REF!&lt;14,"C+",IF(#REF!&lt;15,"B",IF(#REF!&lt;16,"B+",IF(#REF!&lt;18,"A",IF(#REF!&lt;20,"A+")))))))</f>
        <v>#REF!</v>
      </c>
      <c r="E43" s="183" t="e">
        <f>IF(#REF!&lt;10,"D",IF(#REF!&lt;12,"C",IF(#REF!&lt;14,"C+",IF(#REF!&lt;15,"B",IF(#REF!&lt;16,"B+",IF(#REF!&lt;18,"A",IF(#REF!&lt;20,"A+")))))))</f>
        <v>#REF!</v>
      </c>
      <c r="F43" s="168"/>
      <c r="G43" s="169"/>
      <c r="H43" s="169"/>
      <c r="I43" s="169"/>
      <c r="J43" s="169"/>
      <c r="K43" s="170"/>
      <c r="L43" s="15"/>
      <c r="M43" s="15"/>
      <c r="N43" s="15"/>
      <c r="O43" s="15"/>
    </row>
    <row r="44" spans="2:15" ht="16.5" thickBot="1" x14ac:dyDescent="0.3">
      <c r="B44" s="30" t="s">
        <v>50</v>
      </c>
      <c r="C44" s="184" t="e">
        <f>IF(#REF!&lt;10,"D",IF(#REF!&lt;12,"C",IF(#REF!&lt;14,"C+",IF(#REF!&lt;15,"B",IF(#REF!&lt;16,"B+",IF(#REF!&lt;18,"A",IF(#REF!&lt;20,"A+")))))))</f>
        <v>#REF!</v>
      </c>
      <c r="D44" s="185" t="e">
        <f>IF(#REF!&lt;10,"D",IF(#REF!&lt;12,"C",IF(#REF!&lt;14,"C+",IF(#REF!&lt;15,"B",IF(#REF!&lt;16,"B+",IF(#REF!&lt;18,"A",IF(#REF!&lt;20,"A+")))))))</f>
        <v>#REF!</v>
      </c>
      <c r="E44" s="186" t="e">
        <f>IF(#REF!&lt;10,"D",IF(#REF!&lt;12,"C",IF(#REF!&lt;14,"C+",IF(#REF!&lt;15,"B",IF(#REF!&lt;16,"B+",IF(#REF!&lt;18,"A",IF(#REF!&lt;20,"A+")))))))</f>
        <v>#REF!</v>
      </c>
      <c r="F44" s="162" t="s">
        <v>51</v>
      </c>
      <c r="G44" s="163"/>
      <c r="H44" s="163"/>
      <c r="I44" s="164"/>
      <c r="J44" s="165" t="s">
        <v>52</v>
      </c>
      <c r="K44" s="167"/>
      <c r="L44" s="15"/>
      <c r="M44" s="15"/>
      <c r="N44" s="15"/>
      <c r="O44" s="15"/>
    </row>
    <row r="45" spans="2:15" ht="16.5" thickBot="1" x14ac:dyDescent="0.3">
      <c r="B45" s="31" t="s">
        <v>53</v>
      </c>
      <c r="C45" s="187" t="e">
        <f>IF(#REF!&lt;10,"D",IF(#REF!&lt;12,"C",IF(#REF!&lt;14,"C+",IF(#REF!&lt;15,"B",IF(#REF!&lt;16,"B+",IF(#REF!&lt;18,"A",IF(#REF!&lt;20,"A+")))))))</f>
        <v>#REF!</v>
      </c>
      <c r="D45" s="188" t="e">
        <f>IF(#REF!&lt;10,"D",IF(#REF!&lt;12,"C",IF(#REF!&lt;14,"C+",IF(#REF!&lt;15,"B",IF(#REF!&lt;16,"B+",IF(#REF!&lt;18,"A",IF(#REF!&lt;20,"A+")))))))</f>
        <v>#REF!</v>
      </c>
      <c r="E45" s="189" t="e">
        <f>IF(#REF!&lt;10,"D",IF(#REF!&lt;12,"C",IF(#REF!&lt;14,"C+",IF(#REF!&lt;15,"B",IF(#REF!&lt;16,"B+",IF(#REF!&lt;18,"A",IF(#REF!&lt;20,"A+")))))))</f>
        <v>#REF!</v>
      </c>
      <c r="F45" s="162" t="s">
        <v>54</v>
      </c>
      <c r="G45" s="163"/>
      <c r="H45" s="163"/>
      <c r="I45" s="164"/>
      <c r="J45" s="160" t="s">
        <v>55</v>
      </c>
      <c r="K45" s="161"/>
      <c r="L45" s="15"/>
      <c r="M45" s="15"/>
      <c r="N45" s="15"/>
      <c r="O45" s="15"/>
    </row>
    <row r="46" spans="2:15" ht="16.5" thickBot="1" x14ac:dyDescent="0.3">
      <c r="B46" s="23" t="s">
        <v>56</v>
      </c>
      <c r="C46" s="165" t="s">
        <v>57</v>
      </c>
      <c r="D46" s="166"/>
      <c r="E46" s="167"/>
      <c r="F46" s="162" t="s">
        <v>58</v>
      </c>
      <c r="G46" s="163"/>
      <c r="H46" s="163"/>
      <c r="I46" s="164"/>
      <c r="J46" s="160"/>
      <c r="K46" s="161"/>
      <c r="L46" s="15"/>
      <c r="M46" s="15"/>
      <c r="N46" s="15"/>
      <c r="O46" s="15"/>
    </row>
    <row r="47" spans="2:15" ht="16.5" thickBot="1" x14ac:dyDescent="0.3">
      <c r="B47" s="23" t="s">
        <v>59</v>
      </c>
      <c r="C47" s="168"/>
      <c r="D47" s="169"/>
      <c r="E47" s="170"/>
      <c r="F47" s="162" t="s">
        <v>60</v>
      </c>
      <c r="G47" s="163"/>
      <c r="H47" s="163"/>
      <c r="I47" s="164"/>
      <c r="J47" s="154" t="s">
        <v>61</v>
      </c>
      <c r="K47" s="155"/>
      <c r="L47" s="15"/>
      <c r="M47" s="15"/>
      <c r="N47" s="15"/>
      <c r="O47" s="15"/>
    </row>
    <row r="48" spans="2:15" ht="31.5" x14ac:dyDescent="0.25">
      <c r="B48" s="22" t="s">
        <v>62</v>
      </c>
      <c r="C48" s="145"/>
      <c r="D48" s="146"/>
      <c r="E48" s="147"/>
      <c r="F48" s="145"/>
      <c r="G48" s="146"/>
      <c r="H48" s="146"/>
      <c r="I48" s="147"/>
      <c r="J48" s="154" t="s">
        <v>63</v>
      </c>
      <c r="K48" s="155"/>
      <c r="L48" s="15"/>
      <c r="M48" s="15"/>
      <c r="N48" s="15"/>
      <c r="O48" s="15"/>
    </row>
    <row r="49" spans="2:15" ht="15.75" x14ac:dyDescent="0.25">
      <c r="B49" s="32"/>
      <c r="C49" s="148"/>
      <c r="D49" s="149"/>
      <c r="E49" s="150"/>
      <c r="F49" s="148"/>
      <c r="G49" s="149"/>
      <c r="H49" s="149"/>
      <c r="I49" s="150"/>
      <c r="J49" s="156"/>
      <c r="K49" s="157"/>
      <c r="L49" s="15"/>
      <c r="M49" s="15"/>
      <c r="N49" s="15"/>
      <c r="O49" s="15"/>
    </row>
    <row r="50" spans="2:15" ht="15.75" x14ac:dyDescent="0.25">
      <c r="B50" s="32"/>
      <c r="C50" s="148"/>
      <c r="D50" s="149"/>
      <c r="E50" s="150"/>
      <c r="F50" s="148"/>
      <c r="G50" s="149"/>
      <c r="H50" s="149"/>
      <c r="I50" s="150"/>
      <c r="J50" s="156"/>
      <c r="K50" s="157"/>
      <c r="L50" s="15"/>
      <c r="M50" s="15"/>
      <c r="N50" s="15"/>
      <c r="O50" s="15"/>
    </row>
    <row r="51" spans="2:15" ht="16.5" thickBot="1" x14ac:dyDescent="0.3">
      <c r="B51" s="31"/>
      <c r="C51" s="151"/>
      <c r="D51" s="152"/>
      <c r="E51" s="153"/>
      <c r="F51" s="151"/>
      <c r="G51" s="152"/>
      <c r="H51" s="152"/>
      <c r="I51" s="153"/>
      <c r="J51" s="158"/>
      <c r="K51" s="159"/>
      <c r="L51" s="15"/>
      <c r="M51" s="15"/>
      <c r="N51" s="15"/>
      <c r="O51" s="15"/>
    </row>
  </sheetData>
  <mergeCells count="83">
    <mergeCell ref="J50:K50"/>
    <mergeCell ref="J51:K51"/>
    <mergeCell ref="D22:E22"/>
    <mergeCell ref="D23:E23"/>
    <mergeCell ref="D27:E27"/>
    <mergeCell ref="D28:E28"/>
    <mergeCell ref="D29:E29"/>
    <mergeCell ref="B24:K24"/>
    <mergeCell ref="B33:K33"/>
    <mergeCell ref="C25:E25"/>
    <mergeCell ref="F25:G25"/>
    <mergeCell ref="I25:K25"/>
    <mergeCell ref="B26:K26"/>
    <mergeCell ref="H27:I27"/>
    <mergeCell ref="H28:I28"/>
    <mergeCell ref="H29:I29"/>
    <mergeCell ref="D8:E8"/>
    <mergeCell ref="D9:E9"/>
    <mergeCell ref="D13:E13"/>
    <mergeCell ref="D14:E14"/>
    <mergeCell ref="D15:E15"/>
    <mergeCell ref="H13:I13"/>
    <mergeCell ref="H4:I4"/>
    <mergeCell ref="H5:I5"/>
    <mergeCell ref="H6:I6"/>
    <mergeCell ref="H7:I7"/>
    <mergeCell ref="H8:I8"/>
    <mergeCell ref="H9:I9"/>
    <mergeCell ref="B10:K10"/>
    <mergeCell ref="C11:E11"/>
    <mergeCell ref="F11:G11"/>
    <mergeCell ref="I11:K11"/>
    <mergeCell ref="B12:K12"/>
    <mergeCell ref="D4:E4"/>
    <mergeCell ref="D5:E5"/>
    <mergeCell ref="D6:E6"/>
    <mergeCell ref="D7:E7"/>
    <mergeCell ref="H14:I14"/>
    <mergeCell ref="H15:I15"/>
    <mergeCell ref="H16:I16"/>
    <mergeCell ref="B17:K17"/>
    <mergeCell ref="C18:E18"/>
    <mergeCell ref="F18:G18"/>
    <mergeCell ref="I18:K18"/>
    <mergeCell ref="D16:E16"/>
    <mergeCell ref="B19:K19"/>
    <mergeCell ref="H20:I20"/>
    <mergeCell ref="H21:I21"/>
    <mergeCell ref="H22:I22"/>
    <mergeCell ref="H23:I23"/>
    <mergeCell ref="D20:E20"/>
    <mergeCell ref="D21:E21"/>
    <mergeCell ref="H30:I30"/>
    <mergeCell ref="C32:E32"/>
    <mergeCell ref="F32:G32"/>
    <mergeCell ref="I32:K32"/>
    <mergeCell ref="D30:E30"/>
    <mergeCell ref="F34:G34"/>
    <mergeCell ref="I34:J34"/>
    <mergeCell ref="H35:K35"/>
    <mergeCell ref="H36:I36"/>
    <mergeCell ref="C35:D35"/>
    <mergeCell ref="C36:D36"/>
    <mergeCell ref="H38:I38"/>
    <mergeCell ref="J38:K38"/>
    <mergeCell ref="B40:K40"/>
    <mergeCell ref="B41:K41"/>
    <mergeCell ref="C42:E42"/>
    <mergeCell ref="F42:K43"/>
    <mergeCell ref="C43:E45"/>
    <mergeCell ref="J49:K49"/>
    <mergeCell ref="F44:I44"/>
    <mergeCell ref="J44:K44"/>
    <mergeCell ref="F45:I45"/>
    <mergeCell ref="J45:K45"/>
    <mergeCell ref="J46:K46"/>
    <mergeCell ref="J47:K47"/>
    <mergeCell ref="J48:K48"/>
    <mergeCell ref="C46:E47"/>
    <mergeCell ref="F46:I46"/>
    <mergeCell ref="F47:I47"/>
    <mergeCell ref="C48:E51"/>
    <mergeCell ref="F48:I5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1"/>
  <sheetViews>
    <sheetView topLeftCell="A38" zoomScale="90" zoomScaleNormal="90" workbookViewId="0">
      <selection activeCell="B4" sqref="B4:K51"/>
    </sheetView>
  </sheetViews>
  <sheetFormatPr baseColWidth="10" defaultRowHeight="15" x14ac:dyDescent="0.25"/>
  <cols>
    <col min="2" max="2" width="44.140625" customWidth="1"/>
    <col min="3" max="3" width="12.140625" customWidth="1"/>
    <col min="5" max="5" width="16.28515625" customWidth="1"/>
    <col min="7" max="7" width="13.7109375" customWidth="1"/>
    <col min="11" max="11" width="16.42578125" customWidth="1"/>
  </cols>
  <sheetData>
    <row r="3" spans="2:15" ht="15.75" thickBot="1" x14ac:dyDescent="0.3"/>
    <row r="4" spans="2:15" ht="16.5" thickBot="1" x14ac:dyDescent="0.3">
      <c r="B4" s="93" t="s">
        <v>25</v>
      </c>
      <c r="C4" s="94" t="s">
        <v>129</v>
      </c>
      <c r="D4" s="213" t="s">
        <v>130</v>
      </c>
      <c r="E4" s="214"/>
      <c r="F4" s="94" t="s">
        <v>26</v>
      </c>
      <c r="G4" s="93" t="s">
        <v>27</v>
      </c>
      <c r="H4" s="213" t="s">
        <v>28</v>
      </c>
      <c r="I4" s="214"/>
      <c r="J4" s="94" t="s">
        <v>23</v>
      </c>
      <c r="K4" s="94" t="s">
        <v>29</v>
      </c>
      <c r="L4" s="15"/>
      <c r="M4" s="15"/>
      <c r="N4" s="15"/>
      <c r="O4" s="15"/>
    </row>
    <row r="5" spans="2:15" ht="32.25" thickBot="1" x14ac:dyDescent="0.3">
      <c r="B5" s="95" t="s">
        <v>68</v>
      </c>
      <c r="C5" s="16">
        <f>(D5+E5)/2</f>
        <v>12</v>
      </c>
      <c r="D5" s="205">
        <v>12</v>
      </c>
      <c r="E5" s="206">
        <v>12</v>
      </c>
      <c r="F5" s="17">
        <v>3</v>
      </c>
      <c r="G5" s="18">
        <f>C5*F5</f>
        <v>36</v>
      </c>
      <c r="H5" s="202">
        <v>11.461538461538462</v>
      </c>
      <c r="I5" s="203">
        <v>11.461538461538462</v>
      </c>
      <c r="J5" s="35"/>
      <c r="K5" s="16" t="str">
        <f>IF(C5&lt;10,"D",IF(C5&lt;12,"C",IF(C5&lt;14,"C+",IF(C5&lt;15,"B",IF(C5&lt;16,"B+",IF(C5&lt;18,"A",IF(C5&lt;20,"A+")))))))</f>
        <v>C+</v>
      </c>
      <c r="L5" s="15"/>
      <c r="M5" s="15"/>
      <c r="N5" s="19">
        <f>D5*F5</f>
        <v>36</v>
      </c>
      <c r="O5" s="19">
        <f>E5*F5</f>
        <v>36</v>
      </c>
    </row>
    <row r="6" spans="2:15" ht="32.25" thickBot="1" x14ac:dyDescent="0.3">
      <c r="B6" s="95" t="s">
        <v>115</v>
      </c>
      <c r="C6" s="16">
        <f t="shared" ref="C6:C9" si="0">(D6+E6)/2</f>
        <v>9</v>
      </c>
      <c r="D6" s="205">
        <v>9</v>
      </c>
      <c r="E6" s="206">
        <v>9</v>
      </c>
      <c r="F6" s="17">
        <v>1</v>
      </c>
      <c r="G6" s="18">
        <f t="shared" ref="G6:G9" si="1">C6*F6</f>
        <v>9</v>
      </c>
      <c r="H6" s="202">
        <v>7.1538461538461542</v>
      </c>
      <c r="I6" s="203">
        <v>7.1538461538461542</v>
      </c>
      <c r="J6" s="35"/>
      <c r="K6" s="16" t="str">
        <f t="shared" ref="K6:K9" si="2">IF(C6&lt;10,"D",IF(C6&lt;12,"C",IF(C6&lt;14,"C+",IF(C6&lt;15,"B",IF(C6&lt;16,"B+",IF(C6&lt;18,"A",IF(C6&lt;20,"A+")))))))</f>
        <v>D</v>
      </c>
      <c r="L6" s="15"/>
      <c r="M6" s="15"/>
      <c r="N6" s="19">
        <f t="shared" ref="N6:N9" si="3">D6*F6</f>
        <v>9</v>
      </c>
      <c r="O6" s="19">
        <f t="shared" ref="O6:O9" si="4">E6*F6</f>
        <v>9</v>
      </c>
    </row>
    <row r="7" spans="2:15" ht="32.25" thickBot="1" x14ac:dyDescent="0.3">
      <c r="B7" s="95" t="s">
        <v>116</v>
      </c>
      <c r="C7" s="16">
        <f t="shared" si="0"/>
        <v>15</v>
      </c>
      <c r="D7" s="205">
        <v>15</v>
      </c>
      <c r="E7" s="206">
        <v>15</v>
      </c>
      <c r="F7" s="17">
        <v>2</v>
      </c>
      <c r="G7" s="18">
        <f t="shared" si="1"/>
        <v>30</v>
      </c>
      <c r="H7" s="202">
        <v>10.423076923076923</v>
      </c>
      <c r="I7" s="203">
        <v>10.423076923076923</v>
      </c>
      <c r="J7" s="35"/>
      <c r="K7" s="16" t="str">
        <f t="shared" si="2"/>
        <v>B+</v>
      </c>
      <c r="L7" s="15"/>
      <c r="M7" s="15"/>
      <c r="N7" s="19">
        <f t="shared" si="3"/>
        <v>30</v>
      </c>
      <c r="O7" s="19">
        <f t="shared" si="4"/>
        <v>30</v>
      </c>
    </row>
    <row r="8" spans="2:15" ht="32.25" thickBot="1" x14ac:dyDescent="0.3">
      <c r="B8" s="95" t="s">
        <v>117</v>
      </c>
      <c r="C8" s="16">
        <f t="shared" si="0"/>
        <v>10</v>
      </c>
      <c r="D8" s="205">
        <v>10</v>
      </c>
      <c r="E8" s="206">
        <v>10</v>
      </c>
      <c r="F8" s="17">
        <v>1</v>
      </c>
      <c r="G8" s="18">
        <f t="shared" si="1"/>
        <v>10</v>
      </c>
      <c r="H8" s="202">
        <v>9.2307692307692299</v>
      </c>
      <c r="I8" s="203">
        <v>9.2307692307692299</v>
      </c>
      <c r="J8" s="35"/>
      <c r="K8" s="16" t="str">
        <f t="shared" si="2"/>
        <v>C</v>
      </c>
      <c r="L8" s="15"/>
      <c r="M8" s="15"/>
      <c r="N8" s="19">
        <f t="shared" si="3"/>
        <v>10</v>
      </c>
      <c r="O8" s="19">
        <f t="shared" si="4"/>
        <v>10</v>
      </c>
    </row>
    <row r="9" spans="2:15" ht="32.25" thickBot="1" x14ac:dyDescent="0.3">
      <c r="B9" s="95" t="s">
        <v>64</v>
      </c>
      <c r="C9" s="16">
        <f t="shared" si="0"/>
        <v>13</v>
      </c>
      <c r="D9" s="205">
        <v>13</v>
      </c>
      <c r="E9" s="206">
        <v>13</v>
      </c>
      <c r="F9" s="17">
        <v>2</v>
      </c>
      <c r="G9" s="18">
        <f t="shared" si="1"/>
        <v>26</v>
      </c>
      <c r="H9" s="202">
        <v>9.9230769230769234</v>
      </c>
      <c r="I9" s="203">
        <v>9.9230769230769234</v>
      </c>
      <c r="J9" s="35"/>
      <c r="K9" s="16" t="str">
        <f t="shared" si="2"/>
        <v>C+</v>
      </c>
      <c r="L9" s="15"/>
      <c r="M9" s="15"/>
      <c r="N9" s="19">
        <f t="shared" si="3"/>
        <v>26</v>
      </c>
      <c r="O9" s="19">
        <f t="shared" si="4"/>
        <v>26</v>
      </c>
    </row>
    <row r="10" spans="2:15" ht="16.5" thickBot="1" x14ac:dyDescent="0.3">
      <c r="B10" s="207" t="s">
        <v>30</v>
      </c>
      <c r="C10" s="208"/>
      <c r="D10" s="208"/>
      <c r="E10" s="208"/>
      <c r="F10" s="208"/>
      <c r="G10" s="208"/>
      <c r="H10" s="208"/>
      <c r="I10" s="208"/>
      <c r="J10" s="208"/>
      <c r="K10" s="209"/>
      <c r="L10" s="15"/>
      <c r="M10" s="15"/>
      <c r="N10" s="15"/>
      <c r="O10" s="15"/>
    </row>
    <row r="11" spans="2:15" ht="16.5" thickBot="1" x14ac:dyDescent="0.3">
      <c r="B11" s="20" t="s">
        <v>31</v>
      </c>
      <c r="C11" s="195">
        <f>(SUM(G5:G9)/SUM(F5:F9))</f>
        <v>12.333333333333334</v>
      </c>
      <c r="D11" s="195"/>
      <c r="E11" s="195"/>
      <c r="F11" s="196" t="s">
        <v>32</v>
      </c>
      <c r="G11" s="196"/>
      <c r="H11" s="98"/>
      <c r="I11" s="190"/>
      <c r="J11" s="190"/>
      <c r="K11" s="197"/>
      <c r="L11" s="15"/>
      <c r="M11" s="15"/>
      <c r="N11" s="15"/>
      <c r="O11" s="15"/>
    </row>
    <row r="12" spans="2:15" ht="16.5" thickBot="1" x14ac:dyDescent="0.3">
      <c r="B12" s="198"/>
      <c r="C12" s="199"/>
      <c r="D12" s="199"/>
      <c r="E12" s="199"/>
      <c r="F12" s="199"/>
      <c r="G12" s="199"/>
      <c r="H12" s="199"/>
      <c r="I12" s="199"/>
      <c r="J12" s="199"/>
      <c r="K12" s="201"/>
      <c r="L12" s="15"/>
      <c r="M12" s="15"/>
      <c r="N12" s="15"/>
      <c r="O12" s="15"/>
    </row>
    <row r="13" spans="2:15" ht="32.25" thickBot="1" x14ac:dyDescent="0.3">
      <c r="B13" s="95" t="s">
        <v>65</v>
      </c>
      <c r="C13" s="16">
        <f t="shared" ref="C13:C16" si="5">(D13+E13)/2</f>
        <v>14</v>
      </c>
      <c r="D13" s="205">
        <v>14</v>
      </c>
      <c r="E13" s="206">
        <v>14</v>
      </c>
      <c r="F13" s="17">
        <v>2</v>
      </c>
      <c r="G13" s="18">
        <f t="shared" ref="G13:G16" si="6">C13*F13</f>
        <v>28</v>
      </c>
      <c r="H13" s="202">
        <v>11.384615384615385</v>
      </c>
      <c r="I13" s="203">
        <v>11.384615384615385</v>
      </c>
      <c r="J13" s="35"/>
      <c r="K13" s="16" t="str">
        <f t="shared" ref="K13:K16" si="7">IF(C13&lt;10,"D",IF(C13&lt;12,"C",IF(C13&lt;14,"C+",IF(C13&lt;15,"B",IF(C13&lt;16,"B+",IF(C13&lt;18,"A",IF(C13&lt;20,"A+")))))))</f>
        <v>B</v>
      </c>
      <c r="L13" s="15"/>
      <c r="M13" s="15"/>
      <c r="N13" s="19">
        <f t="shared" ref="N13:N16" si="8">D13*F13</f>
        <v>28</v>
      </c>
      <c r="O13" s="19">
        <f t="shared" ref="O13:O16" si="9">E13*F13</f>
        <v>28</v>
      </c>
    </row>
    <row r="14" spans="2:15" ht="32.25" thickBot="1" x14ac:dyDescent="0.3">
      <c r="B14" s="95" t="s">
        <v>118</v>
      </c>
      <c r="C14" s="16">
        <f t="shared" si="5"/>
        <v>14</v>
      </c>
      <c r="D14" s="205">
        <v>14</v>
      </c>
      <c r="E14" s="206">
        <v>14</v>
      </c>
      <c r="F14" s="17">
        <v>2</v>
      </c>
      <c r="G14" s="18">
        <f t="shared" si="6"/>
        <v>28</v>
      </c>
      <c r="H14" s="202">
        <v>10.692307692307692</v>
      </c>
      <c r="I14" s="203">
        <v>10.692307692307692</v>
      </c>
      <c r="J14" s="35"/>
      <c r="K14" s="16" t="str">
        <f t="shared" si="7"/>
        <v>B</v>
      </c>
      <c r="L14" s="15"/>
      <c r="M14" s="15"/>
      <c r="N14" s="19">
        <f t="shared" si="8"/>
        <v>28</v>
      </c>
      <c r="O14" s="19">
        <f t="shared" si="9"/>
        <v>28</v>
      </c>
    </row>
    <row r="15" spans="2:15" ht="32.25" thickBot="1" x14ac:dyDescent="0.3">
      <c r="B15" s="95" t="s">
        <v>119</v>
      </c>
      <c r="C15" s="16">
        <f t="shared" si="5"/>
        <v>12</v>
      </c>
      <c r="D15" s="205">
        <v>12</v>
      </c>
      <c r="E15" s="206">
        <v>12</v>
      </c>
      <c r="F15" s="17">
        <v>2</v>
      </c>
      <c r="G15" s="18">
        <f t="shared" si="6"/>
        <v>24</v>
      </c>
      <c r="H15" s="202">
        <v>11.692307692307692</v>
      </c>
      <c r="I15" s="203">
        <v>11.692307692307692</v>
      </c>
      <c r="J15" s="35"/>
      <c r="K15" s="16" t="str">
        <f t="shared" si="7"/>
        <v>C+</v>
      </c>
      <c r="L15" s="15"/>
      <c r="M15" s="15"/>
      <c r="N15" s="19">
        <f t="shared" si="8"/>
        <v>24</v>
      </c>
      <c r="O15" s="19">
        <f t="shared" si="9"/>
        <v>24</v>
      </c>
    </row>
    <row r="16" spans="2:15" ht="32.25" thickBot="1" x14ac:dyDescent="0.3">
      <c r="B16" s="95" t="s">
        <v>66</v>
      </c>
      <c r="C16" s="16">
        <f t="shared" si="5"/>
        <v>16</v>
      </c>
      <c r="D16" s="205">
        <v>16</v>
      </c>
      <c r="E16" s="206">
        <v>16</v>
      </c>
      <c r="F16" s="17">
        <v>1</v>
      </c>
      <c r="G16" s="18">
        <f t="shared" si="6"/>
        <v>16</v>
      </c>
      <c r="H16" s="202">
        <v>16</v>
      </c>
      <c r="I16" s="203"/>
      <c r="J16" s="35"/>
      <c r="K16" s="16" t="str">
        <f t="shared" si="7"/>
        <v>A</v>
      </c>
      <c r="L16" s="15"/>
      <c r="M16" s="15"/>
      <c r="N16" s="19">
        <f t="shared" si="8"/>
        <v>16</v>
      </c>
      <c r="O16" s="19">
        <f t="shared" si="9"/>
        <v>16</v>
      </c>
    </row>
    <row r="17" spans="2:15" ht="16.5" thickBot="1" x14ac:dyDescent="0.3">
      <c r="B17" s="207" t="s">
        <v>33</v>
      </c>
      <c r="C17" s="208"/>
      <c r="D17" s="208"/>
      <c r="E17" s="208"/>
      <c r="F17" s="208"/>
      <c r="G17" s="208"/>
      <c r="H17" s="208"/>
      <c r="I17" s="208"/>
      <c r="J17" s="208"/>
      <c r="K17" s="209"/>
      <c r="L17" s="15"/>
      <c r="M17" s="15"/>
      <c r="N17" s="15"/>
      <c r="O17" s="15"/>
    </row>
    <row r="18" spans="2:15" ht="16.5" thickBot="1" x14ac:dyDescent="0.3">
      <c r="B18" s="20" t="s">
        <v>34</v>
      </c>
      <c r="C18" s="195">
        <f>(SUM(G13:G16)/SUM(F13:F16))</f>
        <v>13.714285714285714</v>
      </c>
      <c r="D18" s="195"/>
      <c r="E18" s="195"/>
      <c r="F18" s="196" t="s">
        <v>32</v>
      </c>
      <c r="G18" s="196"/>
      <c r="H18" s="98"/>
      <c r="I18" s="190"/>
      <c r="J18" s="190"/>
      <c r="K18" s="197"/>
      <c r="L18" s="15"/>
      <c r="M18" s="15"/>
      <c r="N18" s="15"/>
      <c r="O18" s="15"/>
    </row>
    <row r="19" spans="2:15" ht="16.5" thickBot="1" x14ac:dyDescent="0.3">
      <c r="B19" s="210"/>
      <c r="C19" s="211"/>
      <c r="D19" s="211"/>
      <c r="E19" s="211"/>
      <c r="F19" s="211"/>
      <c r="G19" s="211"/>
      <c r="H19" s="211"/>
      <c r="I19" s="211"/>
      <c r="J19" s="211"/>
      <c r="K19" s="212"/>
      <c r="L19" s="15"/>
      <c r="M19" s="15"/>
      <c r="N19" s="15"/>
      <c r="O19" s="15"/>
    </row>
    <row r="20" spans="2:15" ht="32.25" thickBot="1" x14ac:dyDescent="0.3">
      <c r="B20" s="95" t="s">
        <v>69</v>
      </c>
      <c r="C20" s="16">
        <f t="shared" ref="C20:C23" si="10">(D20+E20)/2</f>
        <v>11</v>
      </c>
      <c r="D20" s="205">
        <v>11</v>
      </c>
      <c r="E20" s="206">
        <v>11</v>
      </c>
      <c r="F20" s="17">
        <v>2</v>
      </c>
      <c r="G20" s="18">
        <f t="shared" ref="G20:G23" si="11">C20*F20</f>
        <v>22</v>
      </c>
      <c r="H20" s="202">
        <v>8.2307692307692299</v>
      </c>
      <c r="I20" s="203">
        <v>8.2307692307692299</v>
      </c>
      <c r="J20" s="35"/>
      <c r="K20" s="16" t="str">
        <f t="shared" ref="K20:K23" si="12">IF(C20&lt;10,"D",IF(C20&lt;12,"C",IF(C20&lt;14,"C+",IF(C20&lt;15,"B",IF(C20&lt;16,"B+",IF(C20&lt;18,"A",IF(C20&lt;20,"A+")))))))</f>
        <v>C</v>
      </c>
      <c r="L20" s="15"/>
      <c r="M20" s="15"/>
      <c r="N20" s="19">
        <f t="shared" ref="N20:N23" si="13">D20*F20</f>
        <v>22</v>
      </c>
      <c r="O20" s="19">
        <f t="shared" ref="O20:O23" si="14">E20*F20</f>
        <v>22</v>
      </c>
    </row>
    <row r="21" spans="2:15" ht="32.25" thickBot="1" x14ac:dyDescent="0.3">
      <c r="B21" s="95" t="s">
        <v>70</v>
      </c>
      <c r="C21" s="16">
        <f t="shared" si="10"/>
        <v>4.5</v>
      </c>
      <c r="D21" s="205">
        <v>4.5</v>
      </c>
      <c r="E21" s="206">
        <v>4.5</v>
      </c>
      <c r="F21" s="17">
        <v>4</v>
      </c>
      <c r="G21" s="18">
        <f t="shared" si="11"/>
        <v>18</v>
      </c>
      <c r="H21" s="202">
        <v>4.2692307692307692</v>
      </c>
      <c r="I21" s="203">
        <v>4.2692307692307692</v>
      </c>
      <c r="J21" s="35"/>
      <c r="K21" s="16" t="str">
        <f t="shared" si="12"/>
        <v>D</v>
      </c>
      <c r="L21" s="15"/>
      <c r="M21" s="15"/>
      <c r="N21" s="19">
        <f t="shared" si="13"/>
        <v>18</v>
      </c>
      <c r="O21" s="19">
        <f t="shared" si="14"/>
        <v>18</v>
      </c>
    </row>
    <row r="22" spans="2:15" ht="32.25" thickBot="1" x14ac:dyDescent="0.3">
      <c r="B22" s="95" t="s">
        <v>120</v>
      </c>
      <c r="C22" s="16">
        <f t="shared" si="10"/>
        <v>7</v>
      </c>
      <c r="D22" s="205">
        <v>7</v>
      </c>
      <c r="E22" s="206">
        <v>7</v>
      </c>
      <c r="F22" s="17">
        <v>2</v>
      </c>
      <c r="G22" s="18">
        <f t="shared" si="11"/>
        <v>14</v>
      </c>
      <c r="H22" s="202">
        <v>5.6538461538461542</v>
      </c>
      <c r="I22" s="203">
        <v>5.6538461538461542</v>
      </c>
      <c r="J22" s="35"/>
      <c r="K22" s="16" t="str">
        <f t="shared" si="12"/>
        <v>D</v>
      </c>
      <c r="L22" s="15"/>
      <c r="M22" s="15"/>
      <c r="N22" s="19">
        <f t="shared" si="13"/>
        <v>14</v>
      </c>
      <c r="O22" s="19">
        <f t="shared" si="14"/>
        <v>14</v>
      </c>
    </row>
    <row r="23" spans="2:15" ht="32.25" thickBot="1" x14ac:dyDescent="0.3">
      <c r="B23" s="95" t="s">
        <v>71</v>
      </c>
      <c r="C23" s="16">
        <f t="shared" si="10"/>
        <v>13</v>
      </c>
      <c r="D23" s="205">
        <v>13</v>
      </c>
      <c r="E23" s="206">
        <v>13</v>
      </c>
      <c r="F23" s="17">
        <v>2</v>
      </c>
      <c r="G23" s="18">
        <f t="shared" si="11"/>
        <v>26</v>
      </c>
      <c r="H23" s="202">
        <v>9.7692307692307701</v>
      </c>
      <c r="I23" s="203">
        <v>9.7692307692307701</v>
      </c>
      <c r="J23" s="35"/>
      <c r="K23" s="16" t="str">
        <f t="shared" si="12"/>
        <v>C+</v>
      </c>
      <c r="L23" s="15"/>
      <c r="M23" s="15"/>
      <c r="N23" s="19">
        <f t="shared" si="13"/>
        <v>26</v>
      </c>
      <c r="O23" s="19">
        <f t="shared" si="14"/>
        <v>26</v>
      </c>
    </row>
    <row r="24" spans="2:15" ht="16.5" thickBot="1" x14ac:dyDescent="0.3">
      <c r="B24" s="207" t="s">
        <v>35</v>
      </c>
      <c r="C24" s="208"/>
      <c r="D24" s="208"/>
      <c r="E24" s="208"/>
      <c r="F24" s="208"/>
      <c r="G24" s="208"/>
      <c r="H24" s="208"/>
      <c r="I24" s="208"/>
      <c r="J24" s="208"/>
      <c r="K24" s="209"/>
      <c r="L24" s="15"/>
      <c r="M24" s="15"/>
      <c r="N24" s="15"/>
      <c r="O24" s="15"/>
    </row>
    <row r="25" spans="2:15" ht="16.5" thickBot="1" x14ac:dyDescent="0.3">
      <c r="B25" s="20" t="s">
        <v>31</v>
      </c>
      <c r="C25" s="195">
        <f>(SUM(G20:G23)/SUM(F20:F23))</f>
        <v>8</v>
      </c>
      <c r="D25" s="195"/>
      <c r="E25" s="195"/>
      <c r="F25" s="196" t="s">
        <v>32</v>
      </c>
      <c r="G25" s="196"/>
      <c r="H25" s="98"/>
      <c r="I25" s="190"/>
      <c r="J25" s="190"/>
      <c r="K25" s="197"/>
      <c r="L25" s="15"/>
      <c r="M25" s="15"/>
      <c r="N25" s="15"/>
      <c r="O25" s="15"/>
    </row>
    <row r="26" spans="2:15" ht="16.5" thickBot="1" x14ac:dyDescent="0.3">
      <c r="B26" s="198"/>
      <c r="C26" s="199"/>
      <c r="D26" s="199"/>
      <c r="E26" s="199"/>
      <c r="F26" s="199"/>
      <c r="G26" s="199"/>
      <c r="H26" s="200"/>
      <c r="I26" s="200"/>
      <c r="J26" s="200"/>
      <c r="K26" s="201"/>
      <c r="L26" s="15"/>
      <c r="M26" s="15"/>
      <c r="N26" s="15"/>
      <c r="O26" s="15"/>
    </row>
    <row r="27" spans="2:15" ht="32.25" thickBot="1" x14ac:dyDescent="0.3">
      <c r="B27" s="95" t="s">
        <v>67</v>
      </c>
      <c r="C27" s="16">
        <f t="shared" ref="C27:C30" si="15">(D27+E27)/2</f>
        <v>16</v>
      </c>
      <c r="D27" s="205">
        <v>16</v>
      </c>
      <c r="E27" s="206">
        <v>16</v>
      </c>
      <c r="F27" s="17">
        <v>1</v>
      </c>
      <c r="G27" s="18">
        <f t="shared" ref="G27:G30" si="16">C27*F27</f>
        <v>16</v>
      </c>
      <c r="H27" s="202">
        <v>16</v>
      </c>
      <c r="I27" s="203">
        <v>16</v>
      </c>
      <c r="J27" s="35"/>
      <c r="K27" s="16" t="str">
        <f t="shared" ref="K27:K30" si="17">IF(C27&lt;10,"D",IF(C27&lt;12,"C",IF(C27&lt;14,"C+",IF(C27&lt;15,"B",IF(C27&lt;16,"B+",IF(C27&lt;18,"A",IF(C27&lt;20,"A+")))))))</f>
        <v>A</v>
      </c>
      <c r="L27" s="15"/>
      <c r="M27" s="15"/>
      <c r="N27" s="19">
        <f t="shared" ref="N27:N30" si="18">D27*F27</f>
        <v>16</v>
      </c>
      <c r="O27" s="19">
        <f t="shared" ref="O27:O30" si="19">E27*F27</f>
        <v>16</v>
      </c>
    </row>
    <row r="28" spans="2:15" ht="32.25" thickBot="1" x14ac:dyDescent="0.3">
      <c r="B28" s="95" t="s">
        <v>122</v>
      </c>
      <c r="C28" s="16">
        <f t="shared" si="15"/>
        <v>17</v>
      </c>
      <c r="D28" s="205">
        <v>17</v>
      </c>
      <c r="E28" s="206">
        <v>17</v>
      </c>
      <c r="F28" s="17">
        <v>2</v>
      </c>
      <c r="G28" s="18">
        <f t="shared" si="16"/>
        <v>34</v>
      </c>
      <c r="H28" s="202">
        <v>15.846153846153847</v>
      </c>
      <c r="I28" s="203">
        <v>15.846153846153847</v>
      </c>
      <c r="J28" s="35"/>
      <c r="K28" s="16" t="str">
        <f t="shared" si="17"/>
        <v>A</v>
      </c>
      <c r="L28" s="15"/>
      <c r="M28" s="15"/>
      <c r="N28" s="19">
        <f t="shared" si="18"/>
        <v>34</v>
      </c>
      <c r="O28" s="19">
        <f t="shared" si="19"/>
        <v>34</v>
      </c>
    </row>
    <row r="29" spans="2:15" ht="32.25" thickBot="1" x14ac:dyDescent="0.3">
      <c r="B29" s="95" t="s">
        <v>72</v>
      </c>
      <c r="C29" s="16">
        <f t="shared" si="15"/>
        <v>15</v>
      </c>
      <c r="D29" s="205">
        <v>15</v>
      </c>
      <c r="E29" s="206">
        <v>15</v>
      </c>
      <c r="F29" s="17">
        <v>1</v>
      </c>
      <c r="G29" s="18">
        <f t="shared" si="16"/>
        <v>15</v>
      </c>
      <c r="H29" s="202">
        <v>12.76923076923077</v>
      </c>
      <c r="I29" s="203">
        <v>12.76923076923077</v>
      </c>
      <c r="J29" s="35"/>
      <c r="K29" s="16" t="str">
        <f t="shared" si="17"/>
        <v>B+</v>
      </c>
      <c r="L29" s="15"/>
      <c r="M29" s="15"/>
      <c r="N29" s="19">
        <f t="shared" si="18"/>
        <v>15</v>
      </c>
      <c r="O29" s="19">
        <f t="shared" si="19"/>
        <v>15</v>
      </c>
    </row>
    <row r="30" spans="2:15" ht="32.25" thickBot="1" x14ac:dyDescent="0.3">
      <c r="B30" s="95" t="s">
        <v>121</v>
      </c>
      <c r="C30" s="16">
        <f>D30</f>
        <v>17</v>
      </c>
      <c r="D30" s="205">
        <v>17</v>
      </c>
      <c r="E30" s="206"/>
      <c r="F30" s="17">
        <v>1</v>
      </c>
      <c r="G30" s="18">
        <f t="shared" si="16"/>
        <v>17</v>
      </c>
      <c r="H30" s="202">
        <v>17</v>
      </c>
      <c r="I30" s="203"/>
      <c r="J30" s="35"/>
      <c r="K30" s="16" t="str">
        <f t="shared" si="17"/>
        <v>A</v>
      </c>
      <c r="L30" s="15"/>
      <c r="M30" s="15"/>
      <c r="N30" s="19">
        <f t="shared" si="18"/>
        <v>17</v>
      </c>
      <c r="O30" s="19">
        <f t="shared" si="19"/>
        <v>0</v>
      </c>
    </row>
    <row r="31" spans="2:15" ht="16.5" thickBot="1" x14ac:dyDescent="0.3">
      <c r="B31" s="95" t="s">
        <v>36</v>
      </c>
      <c r="C31" s="96"/>
      <c r="D31" s="96"/>
      <c r="E31" s="96"/>
      <c r="F31" s="96"/>
      <c r="G31" s="96"/>
      <c r="H31" s="96"/>
      <c r="I31" s="96"/>
      <c r="J31" s="96"/>
      <c r="K31" s="97"/>
      <c r="L31" s="15"/>
      <c r="M31" s="15"/>
      <c r="N31" s="15">
        <f>SUM(N5:N30)</f>
        <v>369</v>
      </c>
      <c r="O31" s="15">
        <f>SUM(O5:O30)</f>
        <v>352</v>
      </c>
    </row>
    <row r="32" spans="2:15" ht="16.5" thickBot="1" x14ac:dyDescent="0.3">
      <c r="B32" s="21" t="s">
        <v>34</v>
      </c>
      <c r="C32" s="195">
        <f>(SUM(G27:G30)/SUM(F27:F30))</f>
        <v>16.399999999999999</v>
      </c>
      <c r="D32" s="195"/>
      <c r="E32" s="195"/>
      <c r="F32" s="204" t="s">
        <v>32</v>
      </c>
      <c r="G32" s="204"/>
      <c r="H32" s="99"/>
      <c r="I32" s="163"/>
      <c r="J32" s="163"/>
      <c r="K32" s="164"/>
      <c r="L32" s="15"/>
      <c r="M32" s="15"/>
      <c r="N32" s="15">
        <v>31</v>
      </c>
      <c r="O32" s="15">
        <v>31</v>
      </c>
    </row>
    <row r="33" spans="2:15" ht="16.5" thickBot="1" x14ac:dyDescent="0.3">
      <c r="B33" s="178"/>
      <c r="C33" s="179"/>
      <c r="D33" s="179"/>
      <c r="E33" s="179"/>
      <c r="F33" s="179"/>
      <c r="G33" s="179"/>
      <c r="H33" s="179"/>
      <c r="I33" s="179"/>
      <c r="J33" s="179"/>
      <c r="K33" s="180"/>
      <c r="L33" s="15"/>
      <c r="M33" s="15"/>
      <c r="N33" s="15">
        <f>N31/N32</f>
        <v>11.903225806451612</v>
      </c>
      <c r="O33" s="15">
        <f>O31/O32</f>
        <v>11.35483870967742</v>
      </c>
    </row>
    <row r="34" spans="2:15" ht="48" thickBot="1" x14ac:dyDescent="0.3">
      <c r="B34" s="22" t="s">
        <v>37</v>
      </c>
      <c r="C34" s="23" t="s">
        <v>38</v>
      </c>
      <c r="D34" s="99">
        <v>10.220000000000001</v>
      </c>
      <c r="E34" s="24" t="s">
        <v>39</v>
      </c>
      <c r="F34" s="190">
        <v>11.9</v>
      </c>
      <c r="G34" s="190"/>
      <c r="H34" s="24" t="s">
        <v>40</v>
      </c>
      <c r="I34" s="190">
        <v>8.4499999999999993</v>
      </c>
      <c r="J34" s="190"/>
      <c r="K34" s="25"/>
      <c r="L34" s="26"/>
      <c r="M34" s="26"/>
      <c r="N34" s="26"/>
      <c r="O34" s="26"/>
    </row>
    <row r="35" spans="2:15" ht="15.75" x14ac:dyDescent="0.25">
      <c r="B35" s="74"/>
      <c r="C35" s="193" t="s">
        <v>130</v>
      </c>
      <c r="D35" s="193"/>
      <c r="E35" s="75"/>
      <c r="F35" s="75"/>
      <c r="G35" s="76"/>
      <c r="H35" s="145"/>
      <c r="I35" s="146"/>
      <c r="J35" s="146"/>
      <c r="K35" s="147"/>
      <c r="L35" s="15"/>
      <c r="M35" s="15"/>
      <c r="N35" s="15"/>
      <c r="O35" s="15"/>
    </row>
    <row r="36" spans="2:15" ht="15.75" x14ac:dyDescent="0.25">
      <c r="B36" s="77" t="s">
        <v>41</v>
      </c>
      <c r="C36" s="194">
        <f>N33</f>
        <v>11.903225806451612</v>
      </c>
      <c r="D36" s="194"/>
      <c r="E36" s="79" t="s">
        <v>131</v>
      </c>
      <c r="F36" s="80">
        <f>(G5+G6+G7+G8+G9+G13+G14+G15+G20+G16+G21+G22+G23+G27+G28+G29+G30)/31</f>
        <v>11.903225806451612</v>
      </c>
      <c r="G36" s="81" t="s">
        <v>42</v>
      </c>
      <c r="H36" s="191" t="s">
        <v>43</v>
      </c>
      <c r="I36" s="192"/>
      <c r="J36" s="27" t="s">
        <v>150</v>
      </c>
      <c r="K36" s="28" t="s">
        <v>113</v>
      </c>
      <c r="L36" s="15"/>
      <c r="M36" s="15"/>
      <c r="N36" s="15"/>
      <c r="O36" s="15"/>
    </row>
    <row r="37" spans="2:15" ht="12.75" customHeight="1" x14ac:dyDescent="0.25">
      <c r="B37" s="77"/>
      <c r="C37" s="78"/>
      <c r="D37" s="78"/>
      <c r="E37" s="79"/>
      <c r="F37" s="80"/>
      <c r="G37" s="81"/>
      <c r="H37" s="100"/>
      <c r="I37" s="101"/>
      <c r="J37" s="27"/>
      <c r="K37" s="28"/>
      <c r="L37" s="15"/>
      <c r="M37" s="15"/>
      <c r="N37" s="15"/>
      <c r="O37" s="15"/>
    </row>
    <row r="38" spans="2:15" ht="18" customHeight="1" x14ac:dyDescent="0.25">
      <c r="B38" s="102" t="s">
        <v>132</v>
      </c>
      <c r="C38" s="103" t="s">
        <v>133</v>
      </c>
      <c r="D38" s="103" t="s">
        <v>134</v>
      </c>
      <c r="E38" s="104" t="s">
        <v>135</v>
      </c>
      <c r="F38" s="105">
        <f>AVERAGE(B39:C39:D39)</f>
        <v>11.027741935483869</v>
      </c>
      <c r="G38" s="106" t="s">
        <v>42</v>
      </c>
      <c r="H38" s="171" t="s">
        <v>136</v>
      </c>
      <c r="I38" s="172"/>
      <c r="J38" s="173" t="s">
        <v>151</v>
      </c>
      <c r="K38" s="174"/>
      <c r="L38" s="15"/>
      <c r="M38" s="15"/>
      <c r="N38" s="15"/>
      <c r="O38" s="15"/>
    </row>
    <row r="39" spans="2:15" ht="24" customHeight="1" thickBot="1" x14ac:dyDescent="0.3">
      <c r="B39" s="126">
        <v>10.6</v>
      </c>
      <c r="C39" s="108">
        <v>10.58</v>
      </c>
      <c r="D39" s="108">
        <f>F36</f>
        <v>11.903225806451612</v>
      </c>
      <c r="E39" s="109"/>
      <c r="F39" s="110"/>
      <c r="G39" s="111"/>
      <c r="H39" s="101"/>
      <c r="I39" s="101"/>
      <c r="J39" s="27"/>
      <c r="K39" s="28"/>
      <c r="L39" s="15"/>
      <c r="M39" s="15"/>
      <c r="N39" s="15"/>
      <c r="O39" s="15"/>
    </row>
    <row r="40" spans="2:15" ht="16.5" thickBot="1" x14ac:dyDescent="0.3">
      <c r="B40" s="175" t="s">
        <v>44</v>
      </c>
      <c r="C40" s="176"/>
      <c r="D40" s="176"/>
      <c r="E40" s="176"/>
      <c r="F40" s="176"/>
      <c r="G40" s="176"/>
      <c r="H40" s="176"/>
      <c r="I40" s="176"/>
      <c r="J40" s="176"/>
      <c r="K40" s="177"/>
      <c r="L40" s="15"/>
      <c r="M40" s="15"/>
      <c r="N40" s="15"/>
      <c r="O40" s="15"/>
    </row>
    <row r="41" spans="2:15" ht="16.5" thickBot="1" x14ac:dyDescent="0.3">
      <c r="B41" s="162" t="s">
        <v>45</v>
      </c>
      <c r="C41" s="163"/>
      <c r="D41" s="163"/>
      <c r="E41" s="163"/>
      <c r="F41" s="163"/>
      <c r="G41" s="163"/>
      <c r="H41" s="163"/>
      <c r="I41" s="163"/>
      <c r="J41" s="163"/>
      <c r="K41" s="164"/>
      <c r="L41" s="15"/>
      <c r="M41" s="15"/>
      <c r="N41" s="15"/>
      <c r="O41" s="15"/>
    </row>
    <row r="42" spans="2:15" ht="16.5" thickBot="1" x14ac:dyDescent="0.3">
      <c r="B42" s="22" t="s">
        <v>46</v>
      </c>
      <c r="C42" s="178" t="s">
        <v>47</v>
      </c>
      <c r="D42" s="179"/>
      <c r="E42" s="180"/>
      <c r="F42" s="165" t="s">
        <v>48</v>
      </c>
      <c r="G42" s="166"/>
      <c r="H42" s="166"/>
      <c r="I42" s="166"/>
      <c r="J42" s="166"/>
      <c r="K42" s="167"/>
      <c r="L42" s="15"/>
      <c r="M42" s="15"/>
      <c r="N42" s="15"/>
      <c r="O42" s="15"/>
    </row>
    <row r="43" spans="2:15" ht="16.5" thickBot="1" x14ac:dyDescent="0.3">
      <c r="B43" s="29" t="s">
        <v>49</v>
      </c>
      <c r="C43" s="181" t="str">
        <f>IF(F38&lt;10,"CNA",IF(F38&lt;12,"CMA",IF(F38&lt;14,"CA",IF(F38&lt;16,"CBA",IF(F38&lt;20,"CTBA")))))</f>
        <v>CMA</v>
      </c>
      <c r="D43" s="182" t="e">
        <f>IF(#REF!&lt;10,"D",IF(#REF!&lt;12,"C",IF(#REF!&lt;14,"C+",IF(#REF!&lt;15,"B",IF(#REF!&lt;16,"B+",IF(#REF!&lt;18,"A",IF(#REF!&lt;20,"A+")))))))</f>
        <v>#REF!</v>
      </c>
      <c r="E43" s="183" t="e">
        <f>IF(#REF!&lt;10,"D",IF(#REF!&lt;12,"C",IF(#REF!&lt;14,"C+",IF(#REF!&lt;15,"B",IF(#REF!&lt;16,"B+",IF(#REF!&lt;18,"A",IF(#REF!&lt;20,"A+")))))))</f>
        <v>#REF!</v>
      </c>
      <c r="F43" s="168"/>
      <c r="G43" s="169"/>
      <c r="H43" s="169"/>
      <c r="I43" s="169"/>
      <c r="J43" s="169"/>
      <c r="K43" s="170"/>
      <c r="L43" s="15"/>
      <c r="M43" s="15"/>
      <c r="N43" s="15"/>
      <c r="O43" s="15"/>
    </row>
    <row r="44" spans="2:15" ht="16.5" thickBot="1" x14ac:dyDescent="0.3">
      <c r="B44" s="30" t="s">
        <v>50</v>
      </c>
      <c r="C44" s="184" t="e">
        <f>IF(#REF!&lt;10,"D",IF(#REF!&lt;12,"C",IF(#REF!&lt;14,"C+",IF(#REF!&lt;15,"B",IF(#REF!&lt;16,"B+",IF(#REF!&lt;18,"A",IF(#REF!&lt;20,"A+")))))))</f>
        <v>#REF!</v>
      </c>
      <c r="D44" s="185" t="e">
        <f>IF(#REF!&lt;10,"D",IF(#REF!&lt;12,"C",IF(#REF!&lt;14,"C+",IF(#REF!&lt;15,"B",IF(#REF!&lt;16,"B+",IF(#REF!&lt;18,"A",IF(#REF!&lt;20,"A+")))))))</f>
        <v>#REF!</v>
      </c>
      <c r="E44" s="186" t="e">
        <f>IF(#REF!&lt;10,"D",IF(#REF!&lt;12,"C",IF(#REF!&lt;14,"C+",IF(#REF!&lt;15,"B",IF(#REF!&lt;16,"B+",IF(#REF!&lt;18,"A",IF(#REF!&lt;20,"A+")))))))</f>
        <v>#REF!</v>
      </c>
      <c r="F44" s="162" t="s">
        <v>51</v>
      </c>
      <c r="G44" s="163"/>
      <c r="H44" s="163"/>
      <c r="I44" s="164"/>
      <c r="J44" s="165" t="s">
        <v>52</v>
      </c>
      <c r="K44" s="167"/>
      <c r="L44" s="15"/>
      <c r="M44" s="15"/>
      <c r="N44" s="15"/>
      <c r="O44" s="15"/>
    </row>
    <row r="45" spans="2:15" ht="16.5" thickBot="1" x14ac:dyDescent="0.3">
      <c r="B45" s="31" t="s">
        <v>53</v>
      </c>
      <c r="C45" s="187" t="e">
        <f>IF(#REF!&lt;10,"D",IF(#REF!&lt;12,"C",IF(#REF!&lt;14,"C+",IF(#REF!&lt;15,"B",IF(#REF!&lt;16,"B+",IF(#REF!&lt;18,"A",IF(#REF!&lt;20,"A+")))))))</f>
        <v>#REF!</v>
      </c>
      <c r="D45" s="188" t="e">
        <f>IF(#REF!&lt;10,"D",IF(#REF!&lt;12,"C",IF(#REF!&lt;14,"C+",IF(#REF!&lt;15,"B",IF(#REF!&lt;16,"B+",IF(#REF!&lt;18,"A",IF(#REF!&lt;20,"A+")))))))</f>
        <v>#REF!</v>
      </c>
      <c r="E45" s="189" t="e">
        <f>IF(#REF!&lt;10,"D",IF(#REF!&lt;12,"C",IF(#REF!&lt;14,"C+",IF(#REF!&lt;15,"B",IF(#REF!&lt;16,"B+",IF(#REF!&lt;18,"A",IF(#REF!&lt;20,"A+")))))))</f>
        <v>#REF!</v>
      </c>
      <c r="F45" s="162" t="s">
        <v>54</v>
      </c>
      <c r="G45" s="163"/>
      <c r="H45" s="163"/>
      <c r="I45" s="164"/>
      <c r="J45" s="160" t="s">
        <v>55</v>
      </c>
      <c r="K45" s="161"/>
      <c r="L45" s="15"/>
      <c r="M45" s="15"/>
      <c r="N45" s="15"/>
      <c r="O45" s="15"/>
    </row>
    <row r="46" spans="2:15" ht="16.5" thickBot="1" x14ac:dyDescent="0.3">
      <c r="B46" s="23" t="s">
        <v>56</v>
      </c>
      <c r="C46" s="165" t="s">
        <v>57</v>
      </c>
      <c r="D46" s="166"/>
      <c r="E46" s="167"/>
      <c r="F46" s="162" t="s">
        <v>58</v>
      </c>
      <c r="G46" s="163"/>
      <c r="H46" s="163"/>
      <c r="I46" s="164"/>
      <c r="J46" s="160"/>
      <c r="K46" s="161"/>
      <c r="L46" s="15"/>
      <c r="M46" s="15"/>
      <c r="N46" s="15"/>
      <c r="O46" s="15"/>
    </row>
    <row r="47" spans="2:15" ht="16.5" thickBot="1" x14ac:dyDescent="0.3">
      <c r="B47" s="23" t="s">
        <v>59</v>
      </c>
      <c r="C47" s="168"/>
      <c r="D47" s="169"/>
      <c r="E47" s="170"/>
      <c r="F47" s="162" t="s">
        <v>60</v>
      </c>
      <c r="G47" s="163"/>
      <c r="H47" s="163"/>
      <c r="I47" s="164"/>
      <c r="J47" s="154" t="s">
        <v>61</v>
      </c>
      <c r="K47" s="155"/>
      <c r="L47" s="15"/>
      <c r="M47" s="15"/>
      <c r="N47" s="15"/>
      <c r="O47" s="15"/>
    </row>
    <row r="48" spans="2:15" ht="31.5" x14ac:dyDescent="0.25">
      <c r="B48" s="22" t="s">
        <v>62</v>
      </c>
      <c r="C48" s="145"/>
      <c r="D48" s="146"/>
      <c r="E48" s="147"/>
      <c r="F48" s="145"/>
      <c r="G48" s="146"/>
      <c r="H48" s="146"/>
      <c r="I48" s="147"/>
      <c r="J48" s="154" t="s">
        <v>63</v>
      </c>
      <c r="K48" s="155"/>
      <c r="L48" s="15"/>
      <c r="M48" s="15"/>
      <c r="N48" s="15"/>
      <c r="O48" s="15"/>
    </row>
    <row r="49" spans="2:15" ht="15.75" x14ac:dyDescent="0.25">
      <c r="B49" s="32"/>
      <c r="C49" s="148"/>
      <c r="D49" s="149"/>
      <c r="E49" s="150"/>
      <c r="F49" s="148"/>
      <c r="G49" s="149"/>
      <c r="H49" s="149"/>
      <c r="I49" s="150"/>
      <c r="J49" s="156"/>
      <c r="K49" s="157"/>
      <c r="L49" s="15"/>
      <c r="M49" s="15"/>
      <c r="N49" s="15"/>
      <c r="O49" s="15"/>
    </row>
    <row r="50" spans="2:15" ht="15.75" x14ac:dyDescent="0.25">
      <c r="B50" s="32"/>
      <c r="C50" s="148"/>
      <c r="D50" s="149"/>
      <c r="E50" s="150"/>
      <c r="F50" s="148"/>
      <c r="G50" s="149"/>
      <c r="H50" s="149"/>
      <c r="I50" s="150"/>
      <c r="J50" s="156"/>
      <c r="K50" s="157"/>
      <c r="L50" s="15"/>
      <c r="M50" s="15"/>
      <c r="N50" s="15"/>
      <c r="O50" s="15"/>
    </row>
    <row r="51" spans="2:15" ht="16.5" thickBot="1" x14ac:dyDescent="0.3">
      <c r="B51" s="31"/>
      <c r="C51" s="151"/>
      <c r="D51" s="152"/>
      <c r="E51" s="153"/>
      <c r="F51" s="151"/>
      <c r="G51" s="152"/>
      <c r="H51" s="152"/>
      <c r="I51" s="153"/>
      <c r="J51" s="158"/>
      <c r="K51" s="159"/>
      <c r="L51" s="15"/>
      <c r="M51" s="15"/>
      <c r="N51" s="15"/>
      <c r="O51" s="15"/>
    </row>
  </sheetData>
  <mergeCells count="83">
    <mergeCell ref="J50:K50"/>
    <mergeCell ref="J51:K51"/>
    <mergeCell ref="D22:E22"/>
    <mergeCell ref="D23:E23"/>
    <mergeCell ref="D27:E27"/>
    <mergeCell ref="D28:E28"/>
    <mergeCell ref="D29:E29"/>
    <mergeCell ref="B24:K24"/>
    <mergeCell ref="B33:K33"/>
    <mergeCell ref="C25:E25"/>
    <mergeCell ref="F25:G25"/>
    <mergeCell ref="I25:K25"/>
    <mergeCell ref="B26:K26"/>
    <mergeCell ref="H27:I27"/>
    <mergeCell ref="H28:I28"/>
    <mergeCell ref="H29:I29"/>
    <mergeCell ref="D8:E8"/>
    <mergeCell ref="D9:E9"/>
    <mergeCell ref="D13:E13"/>
    <mergeCell ref="D14:E14"/>
    <mergeCell ref="D15:E15"/>
    <mergeCell ref="H13:I13"/>
    <mergeCell ref="H4:I4"/>
    <mergeCell ref="H5:I5"/>
    <mergeCell ref="H6:I6"/>
    <mergeCell ref="H7:I7"/>
    <mergeCell ref="H8:I8"/>
    <mergeCell ref="H9:I9"/>
    <mergeCell ref="B10:K10"/>
    <mergeCell ref="C11:E11"/>
    <mergeCell ref="F11:G11"/>
    <mergeCell ref="I11:K11"/>
    <mergeCell ref="B12:K12"/>
    <mergeCell ref="D4:E4"/>
    <mergeCell ref="D5:E5"/>
    <mergeCell ref="D6:E6"/>
    <mergeCell ref="D7:E7"/>
    <mergeCell ref="H14:I14"/>
    <mergeCell ref="H15:I15"/>
    <mergeCell ref="H16:I16"/>
    <mergeCell ref="B17:K17"/>
    <mergeCell ref="C18:E18"/>
    <mergeCell ref="F18:G18"/>
    <mergeCell ref="I18:K18"/>
    <mergeCell ref="D16:E16"/>
    <mergeCell ref="B19:K19"/>
    <mergeCell ref="H20:I20"/>
    <mergeCell ref="H21:I21"/>
    <mergeCell ref="H22:I22"/>
    <mergeCell ref="H23:I23"/>
    <mergeCell ref="D20:E20"/>
    <mergeCell ref="D21:E21"/>
    <mergeCell ref="H30:I30"/>
    <mergeCell ref="C32:E32"/>
    <mergeCell ref="F32:G32"/>
    <mergeCell ref="I32:K32"/>
    <mergeCell ref="D30:E30"/>
    <mergeCell ref="F34:G34"/>
    <mergeCell ref="I34:J34"/>
    <mergeCell ref="H35:K35"/>
    <mergeCell ref="H36:I36"/>
    <mergeCell ref="C35:D35"/>
    <mergeCell ref="C36:D36"/>
    <mergeCell ref="H38:I38"/>
    <mergeCell ref="J38:K38"/>
    <mergeCell ref="B40:K40"/>
    <mergeCell ref="B41:K41"/>
    <mergeCell ref="C42:E42"/>
    <mergeCell ref="F42:K43"/>
    <mergeCell ref="C43:E45"/>
    <mergeCell ref="J49:K49"/>
    <mergeCell ref="F44:I44"/>
    <mergeCell ref="J44:K44"/>
    <mergeCell ref="F45:I45"/>
    <mergeCell ref="J45:K45"/>
    <mergeCell ref="J46:K46"/>
    <mergeCell ref="J47:K47"/>
    <mergeCell ref="J48:K48"/>
    <mergeCell ref="C46:E47"/>
    <mergeCell ref="F46:I46"/>
    <mergeCell ref="F47:I47"/>
    <mergeCell ref="C48:E51"/>
    <mergeCell ref="F48:I5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1"/>
  <sheetViews>
    <sheetView topLeftCell="A35" zoomScale="90" zoomScaleNormal="90" workbookViewId="0">
      <selection activeCell="B4" sqref="B4:K51"/>
    </sheetView>
  </sheetViews>
  <sheetFormatPr baseColWidth="10" defaultRowHeight="15" x14ac:dyDescent="0.25"/>
  <cols>
    <col min="2" max="2" width="44.140625" customWidth="1"/>
    <col min="3" max="3" width="12.140625" customWidth="1"/>
    <col min="5" max="5" width="16.28515625" customWidth="1"/>
    <col min="7" max="7" width="13.7109375" customWidth="1"/>
    <col min="11" max="11" width="16.42578125" customWidth="1"/>
  </cols>
  <sheetData>
    <row r="3" spans="2:15" ht="15.75" thickBot="1" x14ac:dyDescent="0.3"/>
    <row r="4" spans="2:15" ht="16.5" thickBot="1" x14ac:dyDescent="0.3">
      <c r="B4" s="93" t="s">
        <v>25</v>
      </c>
      <c r="C4" s="94" t="s">
        <v>129</v>
      </c>
      <c r="D4" s="213" t="s">
        <v>130</v>
      </c>
      <c r="E4" s="214"/>
      <c r="F4" s="94" t="s">
        <v>26</v>
      </c>
      <c r="G4" s="93" t="s">
        <v>27</v>
      </c>
      <c r="H4" s="213" t="s">
        <v>28</v>
      </c>
      <c r="I4" s="214"/>
      <c r="J4" s="94" t="s">
        <v>23</v>
      </c>
      <c r="K4" s="94" t="s">
        <v>29</v>
      </c>
      <c r="L4" s="15"/>
      <c r="M4" s="15"/>
      <c r="N4" s="15"/>
      <c r="O4" s="15"/>
    </row>
    <row r="5" spans="2:15" ht="32.25" thickBot="1" x14ac:dyDescent="0.3">
      <c r="B5" s="95" t="s">
        <v>68</v>
      </c>
      <c r="C5" s="16">
        <f>(D5+E5)/2</f>
        <v>8</v>
      </c>
      <c r="D5" s="205">
        <v>8</v>
      </c>
      <c r="E5" s="206">
        <v>8</v>
      </c>
      <c r="F5" s="17">
        <v>3</v>
      </c>
      <c r="G5" s="18">
        <f>C5*F5</f>
        <v>24</v>
      </c>
      <c r="H5" s="202">
        <v>11.461538461538462</v>
      </c>
      <c r="I5" s="203">
        <v>11.461538461538462</v>
      </c>
      <c r="J5" s="35"/>
      <c r="K5" s="16" t="str">
        <f>IF(C5&lt;10,"D",IF(C5&lt;12,"C",IF(C5&lt;14,"C+",IF(C5&lt;15,"B",IF(C5&lt;16,"B+",IF(C5&lt;18,"A",IF(C5&lt;20,"A+")))))))</f>
        <v>D</v>
      </c>
      <c r="L5" s="15"/>
      <c r="M5" s="15"/>
      <c r="N5" s="19">
        <f>D5*F5</f>
        <v>24</v>
      </c>
      <c r="O5" s="19">
        <f>E5*F5</f>
        <v>24</v>
      </c>
    </row>
    <row r="6" spans="2:15" ht="32.25" thickBot="1" x14ac:dyDescent="0.3">
      <c r="B6" s="95" t="s">
        <v>115</v>
      </c>
      <c r="C6" s="16">
        <f t="shared" ref="C6:C9" si="0">(D6+E6)/2</f>
        <v>7</v>
      </c>
      <c r="D6" s="205">
        <v>7</v>
      </c>
      <c r="E6" s="206">
        <v>7</v>
      </c>
      <c r="F6" s="17">
        <v>1</v>
      </c>
      <c r="G6" s="18">
        <f t="shared" ref="G6:G9" si="1">C6*F6</f>
        <v>7</v>
      </c>
      <c r="H6" s="202">
        <v>7.1538461538461542</v>
      </c>
      <c r="I6" s="203">
        <v>7.1538461538461542</v>
      </c>
      <c r="J6" s="35"/>
      <c r="K6" s="16" t="str">
        <f t="shared" ref="K6:K9" si="2">IF(C6&lt;10,"D",IF(C6&lt;12,"C",IF(C6&lt;14,"C+",IF(C6&lt;15,"B",IF(C6&lt;16,"B+",IF(C6&lt;18,"A",IF(C6&lt;20,"A+")))))))</f>
        <v>D</v>
      </c>
      <c r="L6" s="15"/>
      <c r="M6" s="15"/>
      <c r="N6" s="19">
        <f t="shared" ref="N6:N9" si="3">D6*F6</f>
        <v>7</v>
      </c>
      <c r="O6" s="19">
        <f t="shared" ref="O6:O9" si="4">E6*F6</f>
        <v>7</v>
      </c>
    </row>
    <row r="7" spans="2:15" ht="32.25" thickBot="1" x14ac:dyDescent="0.3">
      <c r="B7" s="95" t="s">
        <v>116</v>
      </c>
      <c r="C7" s="16">
        <f t="shared" si="0"/>
        <v>6</v>
      </c>
      <c r="D7" s="205">
        <v>6</v>
      </c>
      <c r="E7" s="206">
        <v>6</v>
      </c>
      <c r="F7" s="17">
        <v>2</v>
      </c>
      <c r="G7" s="18">
        <f t="shared" si="1"/>
        <v>12</v>
      </c>
      <c r="H7" s="202">
        <v>10.423076923076923</v>
      </c>
      <c r="I7" s="203">
        <v>10.423076923076923</v>
      </c>
      <c r="J7" s="35"/>
      <c r="K7" s="16" t="str">
        <f t="shared" si="2"/>
        <v>D</v>
      </c>
      <c r="L7" s="15"/>
      <c r="M7" s="15"/>
      <c r="N7" s="19">
        <f t="shared" si="3"/>
        <v>12</v>
      </c>
      <c r="O7" s="19">
        <f t="shared" si="4"/>
        <v>12</v>
      </c>
    </row>
    <row r="8" spans="2:15" ht="32.25" thickBot="1" x14ac:dyDescent="0.3">
      <c r="B8" s="95" t="s">
        <v>117</v>
      </c>
      <c r="C8" s="16">
        <f t="shared" si="0"/>
        <v>8</v>
      </c>
      <c r="D8" s="205">
        <v>8</v>
      </c>
      <c r="E8" s="206">
        <v>8</v>
      </c>
      <c r="F8" s="17">
        <v>1</v>
      </c>
      <c r="G8" s="18">
        <f t="shared" si="1"/>
        <v>8</v>
      </c>
      <c r="H8" s="202">
        <v>9.2307692307692299</v>
      </c>
      <c r="I8" s="203">
        <v>9.2307692307692299</v>
      </c>
      <c r="J8" s="35"/>
      <c r="K8" s="16" t="str">
        <f t="shared" si="2"/>
        <v>D</v>
      </c>
      <c r="L8" s="15"/>
      <c r="M8" s="15"/>
      <c r="N8" s="19">
        <f t="shared" si="3"/>
        <v>8</v>
      </c>
      <c r="O8" s="19">
        <f t="shared" si="4"/>
        <v>8</v>
      </c>
    </row>
    <row r="9" spans="2:15" ht="32.25" thickBot="1" x14ac:dyDescent="0.3">
      <c r="B9" s="95" t="s">
        <v>64</v>
      </c>
      <c r="C9" s="16">
        <f t="shared" si="0"/>
        <v>7</v>
      </c>
      <c r="D9" s="205">
        <v>7</v>
      </c>
      <c r="E9" s="206">
        <v>7</v>
      </c>
      <c r="F9" s="17">
        <v>2</v>
      </c>
      <c r="G9" s="18">
        <f t="shared" si="1"/>
        <v>14</v>
      </c>
      <c r="H9" s="202">
        <v>9.9230769230769234</v>
      </c>
      <c r="I9" s="203">
        <v>9.9230769230769234</v>
      </c>
      <c r="J9" s="35"/>
      <c r="K9" s="16" t="str">
        <f t="shared" si="2"/>
        <v>D</v>
      </c>
      <c r="L9" s="15"/>
      <c r="M9" s="15"/>
      <c r="N9" s="19">
        <f t="shared" si="3"/>
        <v>14</v>
      </c>
      <c r="O9" s="19">
        <f t="shared" si="4"/>
        <v>14</v>
      </c>
    </row>
    <row r="10" spans="2:15" ht="16.5" thickBot="1" x14ac:dyDescent="0.3">
      <c r="B10" s="207" t="s">
        <v>30</v>
      </c>
      <c r="C10" s="208"/>
      <c r="D10" s="208"/>
      <c r="E10" s="208"/>
      <c r="F10" s="208"/>
      <c r="G10" s="208"/>
      <c r="H10" s="208"/>
      <c r="I10" s="208"/>
      <c r="J10" s="208"/>
      <c r="K10" s="209"/>
      <c r="L10" s="15"/>
      <c r="M10" s="15"/>
      <c r="N10" s="15"/>
      <c r="O10" s="15"/>
    </row>
    <row r="11" spans="2:15" ht="16.5" thickBot="1" x14ac:dyDescent="0.3">
      <c r="B11" s="20" t="s">
        <v>31</v>
      </c>
      <c r="C11" s="195">
        <f>(SUM(G5:G9)/SUM(F5:F9))</f>
        <v>7.2222222222222223</v>
      </c>
      <c r="D11" s="195"/>
      <c r="E11" s="195"/>
      <c r="F11" s="196" t="s">
        <v>32</v>
      </c>
      <c r="G11" s="196"/>
      <c r="H11" s="98"/>
      <c r="I11" s="190"/>
      <c r="J11" s="190"/>
      <c r="K11" s="197"/>
      <c r="L11" s="15"/>
      <c r="M11" s="15"/>
      <c r="N11" s="15"/>
      <c r="O11" s="15"/>
    </row>
    <row r="12" spans="2:15" ht="16.5" thickBot="1" x14ac:dyDescent="0.3">
      <c r="B12" s="198"/>
      <c r="C12" s="199"/>
      <c r="D12" s="199"/>
      <c r="E12" s="199"/>
      <c r="F12" s="199"/>
      <c r="G12" s="199"/>
      <c r="H12" s="199"/>
      <c r="I12" s="199"/>
      <c r="J12" s="199"/>
      <c r="K12" s="201"/>
      <c r="L12" s="15"/>
      <c r="M12" s="15"/>
      <c r="N12" s="15"/>
      <c r="O12" s="15"/>
    </row>
    <row r="13" spans="2:15" ht="32.25" thickBot="1" x14ac:dyDescent="0.3">
      <c r="B13" s="95" t="s">
        <v>65</v>
      </c>
      <c r="C13" s="16">
        <f t="shared" ref="C13:C16" si="5">(D13+E13)/2</f>
        <v>10</v>
      </c>
      <c r="D13" s="205">
        <v>10</v>
      </c>
      <c r="E13" s="206">
        <v>10</v>
      </c>
      <c r="F13" s="17">
        <v>2</v>
      </c>
      <c r="G13" s="18">
        <f t="shared" ref="G13:G16" si="6">C13*F13</f>
        <v>20</v>
      </c>
      <c r="H13" s="202">
        <v>11.384615384615385</v>
      </c>
      <c r="I13" s="203">
        <v>11.384615384615385</v>
      </c>
      <c r="J13" s="35"/>
      <c r="K13" s="16" t="str">
        <f t="shared" ref="K13:K16" si="7">IF(C13&lt;10,"D",IF(C13&lt;12,"C",IF(C13&lt;14,"C+",IF(C13&lt;15,"B",IF(C13&lt;16,"B+",IF(C13&lt;18,"A",IF(C13&lt;20,"A+")))))))</f>
        <v>C</v>
      </c>
      <c r="L13" s="15"/>
      <c r="M13" s="15"/>
      <c r="N13" s="19">
        <f t="shared" ref="N13:N16" si="8">D13*F13</f>
        <v>20</v>
      </c>
      <c r="O13" s="19">
        <f t="shared" ref="O13:O16" si="9">E13*F13</f>
        <v>20</v>
      </c>
    </row>
    <row r="14" spans="2:15" ht="32.25" thickBot="1" x14ac:dyDescent="0.3">
      <c r="B14" s="95" t="s">
        <v>118</v>
      </c>
      <c r="C14" s="16">
        <f t="shared" si="5"/>
        <v>10</v>
      </c>
      <c r="D14" s="205">
        <v>10</v>
      </c>
      <c r="E14" s="206">
        <v>10</v>
      </c>
      <c r="F14" s="17">
        <v>2</v>
      </c>
      <c r="G14" s="18">
        <f t="shared" si="6"/>
        <v>20</v>
      </c>
      <c r="H14" s="202">
        <v>10.692307692307692</v>
      </c>
      <c r="I14" s="203">
        <v>10.692307692307692</v>
      </c>
      <c r="J14" s="35"/>
      <c r="K14" s="16" t="str">
        <f t="shared" si="7"/>
        <v>C</v>
      </c>
      <c r="L14" s="15"/>
      <c r="M14" s="15"/>
      <c r="N14" s="19">
        <f t="shared" si="8"/>
        <v>20</v>
      </c>
      <c r="O14" s="19">
        <f t="shared" si="9"/>
        <v>20</v>
      </c>
    </row>
    <row r="15" spans="2:15" ht="32.25" thickBot="1" x14ac:dyDescent="0.3">
      <c r="B15" s="95" t="s">
        <v>119</v>
      </c>
      <c r="C15" s="16">
        <f t="shared" si="5"/>
        <v>10</v>
      </c>
      <c r="D15" s="205">
        <v>10</v>
      </c>
      <c r="E15" s="206">
        <v>10</v>
      </c>
      <c r="F15" s="17">
        <v>2</v>
      </c>
      <c r="G15" s="18">
        <f t="shared" si="6"/>
        <v>20</v>
      </c>
      <c r="H15" s="202">
        <v>11.692307692307692</v>
      </c>
      <c r="I15" s="203">
        <v>11.692307692307692</v>
      </c>
      <c r="J15" s="35"/>
      <c r="K15" s="16" t="str">
        <f t="shared" si="7"/>
        <v>C</v>
      </c>
      <c r="L15" s="15"/>
      <c r="M15" s="15"/>
      <c r="N15" s="19">
        <f t="shared" si="8"/>
        <v>20</v>
      </c>
      <c r="O15" s="19">
        <f t="shared" si="9"/>
        <v>20</v>
      </c>
    </row>
    <row r="16" spans="2:15" ht="32.25" thickBot="1" x14ac:dyDescent="0.3">
      <c r="B16" s="95" t="s">
        <v>66</v>
      </c>
      <c r="C16" s="16">
        <f t="shared" si="5"/>
        <v>16</v>
      </c>
      <c r="D16" s="205">
        <v>16</v>
      </c>
      <c r="E16" s="206">
        <v>16</v>
      </c>
      <c r="F16" s="17">
        <v>1</v>
      </c>
      <c r="G16" s="18">
        <f t="shared" si="6"/>
        <v>16</v>
      </c>
      <c r="H16" s="202">
        <v>16</v>
      </c>
      <c r="I16" s="203"/>
      <c r="J16" s="35"/>
      <c r="K16" s="16" t="str">
        <f t="shared" si="7"/>
        <v>A</v>
      </c>
      <c r="L16" s="15"/>
      <c r="M16" s="15"/>
      <c r="N16" s="19">
        <f t="shared" si="8"/>
        <v>16</v>
      </c>
      <c r="O16" s="19">
        <f t="shared" si="9"/>
        <v>16</v>
      </c>
    </row>
    <row r="17" spans="2:15" ht="16.5" thickBot="1" x14ac:dyDescent="0.3">
      <c r="B17" s="207" t="s">
        <v>33</v>
      </c>
      <c r="C17" s="208"/>
      <c r="D17" s="208"/>
      <c r="E17" s="208"/>
      <c r="F17" s="208"/>
      <c r="G17" s="208"/>
      <c r="H17" s="208"/>
      <c r="I17" s="208"/>
      <c r="J17" s="208"/>
      <c r="K17" s="209"/>
      <c r="L17" s="15"/>
      <c r="M17" s="15"/>
      <c r="N17" s="15"/>
      <c r="O17" s="15"/>
    </row>
    <row r="18" spans="2:15" ht="16.5" thickBot="1" x14ac:dyDescent="0.3">
      <c r="B18" s="20" t="s">
        <v>34</v>
      </c>
      <c r="C18" s="195">
        <f>(SUM(G13:G16)/SUM(F13:F16))</f>
        <v>10.857142857142858</v>
      </c>
      <c r="D18" s="195"/>
      <c r="E18" s="195"/>
      <c r="F18" s="196" t="s">
        <v>32</v>
      </c>
      <c r="G18" s="196"/>
      <c r="H18" s="98"/>
      <c r="I18" s="190"/>
      <c r="J18" s="190"/>
      <c r="K18" s="197"/>
      <c r="L18" s="15"/>
      <c r="M18" s="15"/>
      <c r="N18" s="15"/>
      <c r="O18" s="15"/>
    </row>
    <row r="19" spans="2:15" ht="16.5" thickBot="1" x14ac:dyDescent="0.3">
      <c r="B19" s="210"/>
      <c r="C19" s="211"/>
      <c r="D19" s="211"/>
      <c r="E19" s="211"/>
      <c r="F19" s="211"/>
      <c r="G19" s="211"/>
      <c r="H19" s="211"/>
      <c r="I19" s="211"/>
      <c r="J19" s="211"/>
      <c r="K19" s="212"/>
      <c r="L19" s="15"/>
      <c r="M19" s="15"/>
      <c r="N19" s="15"/>
      <c r="O19" s="15"/>
    </row>
    <row r="20" spans="2:15" ht="32.25" thickBot="1" x14ac:dyDescent="0.3">
      <c r="B20" s="95" t="s">
        <v>69</v>
      </c>
      <c r="C20" s="16">
        <f t="shared" ref="C20:C23" si="10">(D20+E20)/2</f>
        <v>7</v>
      </c>
      <c r="D20" s="205">
        <v>7</v>
      </c>
      <c r="E20" s="206">
        <v>7</v>
      </c>
      <c r="F20" s="17">
        <v>2</v>
      </c>
      <c r="G20" s="18">
        <f t="shared" ref="G20:G23" si="11">C20*F20</f>
        <v>14</v>
      </c>
      <c r="H20" s="202">
        <v>8.2307692307692299</v>
      </c>
      <c r="I20" s="203">
        <v>8.2307692307692299</v>
      </c>
      <c r="J20" s="35"/>
      <c r="K20" s="16" t="str">
        <f t="shared" ref="K20:K23" si="12">IF(C20&lt;10,"D",IF(C20&lt;12,"C",IF(C20&lt;14,"C+",IF(C20&lt;15,"B",IF(C20&lt;16,"B+",IF(C20&lt;18,"A",IF(C20&lt;20,"A+")))))))</f>
        <v>D</v>
      </c>
      <c r="L20" s="15"/>
      <c r="M20" s="15"/>
      <c r="N20" s="19">
        <f t="shared" ref="N20:N23" si="13">D20*F20</f>
        <v>14</v>
      </c>
      <c r="O20" s="19">
        <f t="shared" ref="O20:O23" si="14">E20*F20</f>
        <v>14</v>
      </c>
    </row>
    <row r="21" spans="2:15" ht="32.25" thickBot="1" x14ac:dyDescent="0.3">
      <c r="B21" s="95" t="s">
        <v>70</v>
      </c>
      <c r="C21" s="16">
        <f t="shared" si="10"/>
        <v>5</v>
      </c>
      <c r="D21" s="205">
        <v>5</v>
      </c>
      <c r="E21" s="206">
        <v>5</v>
      </c>
      <c r="F21" s="17">
        <v>4</v>
      </c>
      <c r="G21" s="18">
        <f t="shared" si="11"/>
        <v>20</v>
      </c>
      <c r="H21" s="202">
        <v>4.2692307692307692</v>
      </c>
      <c r="I21" s="203">
        <v>4.2692307692307692</v>
      </c>
      <c r="J21" s="35"/>
      <c r="K21" s="16" t="str">
        <f t="shared" si="12"/>
        <v>D</v>
      </c>
      <c r="L21" s="15"/>
      <c r="M21" s="15"/>
      <c r="N21" s="19">
        <f t="shared" si="13"/>
        <v>20</v>
      </c>
      <c r="O21" s="19">
        <f t="shared" si="14"/>
        <v>20</v>
      </c>
    </row>
    <row r="22" spans="2:15" ht="32.25" thickBot="1" x14ac:dyDescent="0.3">
      <c r="B22" s="95" t="s">
        <v>120</v>
      </c>
      <c r="C22" s="16">
        <f t="shared" si="10"/>
        <v>3</v>
      </c>
      <c r="D22" s="205">
        <v>3</v>
      </c>
      <c r="E22" s="206">
        <v>3</v>
      </c>
      <c r="F22" s="17">
        <v>2</v>
      </c>
      <c r="G22" s="18">
        <f t="shared" si="11"/>
        <v>6</v>
      </c>
      <c r="H22" s="202">
        <v>5.6538461538461542</v>
      </c>
      <c r="I22" s="203">
        <v>5.6538461538461542</v>
      </c>
      <c r="J22" s="35"/>
      <c r="K22" s="16" t="str">
        <f t="shared" si="12"/>
        <v>D</v>
      </c>
      <c r="L22" s="15"/>
      <c r="M22" s="15"/>
      <c r="N22" s="19">
        <f t="shared" si="13"/>
        <v>6</v>
      </c>
      <c r="O22" s="19">
        <f t="shared" si="14"/>
        <v>6</v>
      </c>
    </row>
    <row r="23" spans="2:15" ht="32.25" thickBot="1" x14ac:dyDescent="0.3">
      <c r="B23" s="95" t="s">
        <v>71</v>
      </c>
      <c r="C23" s="16">
        <f t="shared" si="10"/>
        <v>8</v>
      </c>
      <c r="D23" s="205">
        <v>8</v>
      </c>
      <c r="E23" s="206">
        <v>8</v>
      </c>
      <c r="F23" s="17">
        <v>2</v>
      </c>
      <c r="G23" s="18">
        <f t="shared" si="11"/>
        <v>16</v>
      </c>
      <c r="H23" s="202">
        <v>9.7692307692307701</v>
      </c>
      <c r="I23" s="203">
        <v>9.7692307692307701</v>
      </c>
      <c r="J23" s="35"/>
      <c r="K23" s="16" t="str">
        <f t="shared" si="12"/>
        <v>D</v>
      </c>
      <c r="L23" s="15"/>
      <c r="M23" s="15"/>
      <c r="N23" s="19">
        <f t="shared" si="13"/>
        <v>16</v>
      </c>
      <c r="O23" s="19">
        <f t="shared" si="14"/>
        <v>16</v>
      </c>
    </row>
    <row r="24" spans="2:15" ht="16.5" thickBot="1" x14ac:dyDescent="0.3">
      <c r="B24" s="207" t="s">
        <v>35</v>
      </c>
      <c r="C24" s="208"/>
      <c r="D24" s="208"/>
      <c r="E24" s="208"/>
      <c r="F24" s="208"/>
      <c r="G24" s="208"/>
      <c r="H24" s="208"/>
      <c r="I24" s="208"/>
      <c r="J24" s="208"/>
      <c r="K24" s="209"/>
      <c r="L24" s="15"/>
      <c r="M24" s="15"/>
      <c r="N24" s="15"/>
      <c r="O24" s="15"/>
    </row>
    <row r="25" spans="2:15" ht="16.5" thickBot="1" x14ac:dyDescent="0.3">
      <c r="B25" s="20" t="s">
        <v>31</v>
      </c>
      <c r="C25" s="195">
        <f>(SUM(G20:G23)/SUM(F20:F23))</f>
        <v>5.6</v>
      </c>
      <c r="D25" s="195"/>
      <c r="E25" s="195"/>
      <c r="F25" s="196" t="s">
        <v>32</v>
      </c>
      <c r="G25" s="196"/>
      <c r="H25" s="98"/>
      <c r="I25" s="190"/>
      <c r="J25" s="190"/>
      <c r="K25" s="197"/>
      <c r="L25" s="15"/>
      <c r="M25" s="15"/>
      <c r="N25" s="15"/>
      <c r="O25" s="15"/>
    </row>
    <row r="26" spans="2:15" ht="16.5" thickBot="1" x14ac:dyDescent="0.3">
      <c r="B26" s="198"/>
      <c r="C26" s="199"/>
      <c r="D26" s="199"/>
      <c r="E26" s="199"/>
      <c r="F26" s="199"/>
      <c r="G26" s="199"/>
      <c r="H26" s="200"/>
      <c r="I26" s="200"/>
      <c r="J26" s="200"/>
      <c r="K26" s="201"/>
      <c r="L26" s="15"/>
      <c r="M26" s="15"/>
      <c r="N26" s="15"/>
      <c r="O26" s="15"/>
    </row>
    <row r="27" spans="2:15" ht="32.25" thickBot="1" x14ac:dyDescent="0.3">
      <c r="B27" s="95" t="s">
        <v>67</v>
      </c>
      <c r="C27" s="16">
        <f t="shared" ref="C27:C30" si="15">(D27+E27)/2</f>
        <v>16</v>
      </c>
      <c r="D27" s="205">
        <v>16</v>
      </c>
      <c r="E27" s="206">
        <v>16</v>
      </c>
      <c r="F27" s="17">
        <v>1</v>
      </c>
      <c r="G27" s="18">
        <f t="shared" ref="G27:G30" si="16">C27*F27</f>
        <v>16</v>
      </c>
      <c r="H27" s="202">
        <v>16</v>
      </c>
      <c r="I27" s="203">
        <v>16</v>
      </c>
      <c r="J27" s="35"/>
      <c r="K27" s="16" t="str">
        <f t="shared" ref="K27:K30" si="17">IF(C27&lt;10,"D",IF(C27&lt;12,"C",IF(C27&lt;14,"C+",IF(C27&lt;15,"B",IF(C27&lt;16,"B+",IF(C27&lt;18,"A",IF(C27&lt;20,"A+")))))))</f>
        <v>A</v>
      </c>
      <c r="L27" s="15"/>
      <c r="M27" s="15"/>
      <c r="N27" s="19">
        <f t="shared" ref="N27:N30" si="18">D27*F27</f>
        <v>16</v>
      </c>
      <c r="O27" s="19">
        <f t="shared" ref="O27:O30" si="19">E27*F27</f>
        <v>16</v>
      </c>
    </row>
    <row r="28" spans="2:15" ht="32.25" thickBot="1" x14ac:dyDescent="0.3">
      <c r="B28" s="95" t="s">
        <v>122</v>
      </c>
      <c r="C28" s="16">
        <f t="shared" si="15"/>
        <v>16</v>
      </c>
      <c r="D28" s="205">
        <v>16</v>
      </c>
      <c r="E28" s="206">
        <v>16</v>
      </c>
      <c r="F28" s="17">
        <v>2</v>
      </c>
      <c r="G28" s="18">
        <f t="shared" si="16"/>
        <v>32</v>
      </c>
      <c r="H28" s="202">
        <v>15.846153846153847</v>
      </c>
      <c r="I28" s="203">
        <v>15.846153846153847</v>
      </c>
      <c r="J28" s="35"/>
      <c r="K28" s="16" t="str">
        <f t="shared" si="17"/>
        <v>A</v>
      </c>
      <c r="L28" s="15"/>
      <c r="M28" s="15"/>
      <c r="N28" s="19">
        <f t="shared" si="18"/>
        <v>32</v>
      </c>
      <c r="O28" s="19">
        <f t="shared" si="19"/>
        <v>32</v>
      </c>
    </row>
    <row r="29" spans="2:15" ht="32.25" thickBot="1" x14ac:dyDescent="0.3">
      <c r="B29" s="95" t="s">
        <v>72</v>
      </c>
      <c r="C29" s="16">
        <f t="shared" si="15"/>
        <v>12</v>
      </c>
      <c r="D29" s="205">
        <v>12</v>
      </c>
      <c r="E29" s="206">
        <v>12</v>
      </c>
      <c r="F29" s="17">
        <v>1</v>
      </c>
      <c r="G29" s="18">
        <f t="shared" si="16"/>
        <v>12</v>
      </c>
      <c r="H29" s="202">
        <v>12.76923076923077</v>
      </c>
      <c r="I29" s="203">
        <v>12.76923076923077</v>
      </c>
      <c r="J29" s="35"/>
      <c r="K29" s="16" t="str">
        <f t="shared" si="17"/>
        <v>C+</v>
      </c>
      <c r="L29" s="15"/>
      <c r="M29" s="15"/>
      <c r="N29" s="19">
        <f t="shared" si="18"/>
        <v>12</v>
      </c>
      <c r="O29" s="19">
        <f t="shared" si="19"/>
        <v>12</v>
      </c>
    </row>
    <row r="30" spans="2:15" ht="32.25" thickBot="1" x14ac:dyDescent="0.3">
      <c r="B30" s="95" t="s">
        <v>121</v>
      </c>
      <c r="C30" s="16">
        <f>D30</f>
        <v>17</v>
      </c>
      <c r="D30" s="205">
        <v>17</v>
      </c>
      <c r="E30" s="206"/>
      <c r="F30" s="17">
        <v>1</v>
      </c>
      <c r="G30" s="18">
        <f t="shared" si="16"/>
        <v>17</v>
      </c>
      <c r="H30" s="202">
        <v>17</v>
      </c>
      <c r="I30" s="203"/>
      <c r="J30" s="35"/>
      <c r="K30" s="16" t="str">
        <f t="shared" si="17"/>
        <v>A</v>
      </c>
      <c r="L30" s="15"/>
      <c r="M30" s="15"/>
      <c r="N30" s="19">
        <f t="shared" si="18"/>
        <v>17</v>
      </c>
      <c r="O30" s="19">
        <f t="shared" si="19"/>
        <v>0</v>
      </c>
    </row>
    <row r="31" spans="2:15" ht="16.5" thickBot="1" x14ac:dyDescent="0.3">
      <c r="B31" s="95" t="s">
        <v>36</v>
      </c>
      <c r="C31" s="96"/>
      <c r="D31" s="96"/>
      <c r="E31" s="96"/>
      <c r="F31" s="96"/>
      <c r="G31" s="96"/>
      <c r="H31" s="96"/>
      <c r="I31" s="96"/>
      <c r="J31" s="96"/>
      <c r="K31" s="97"/>
      <c r="L31" s="15"/>
      <c r="M31" s="15"/>
      <c r="N31" s="15">
        <f>SUM(N5:N30)</f>
        <v>274</v>
      </c>
      <c r="O31" s="15">
        <f>SUM(O5:O30)</f>
        <v>257</v>
      </c>
    </row>
    <row r="32" spans="2:15" ht="16.5" thickBot="1" x14ac:dyDescent="0.3">
      <c r="B32" s="21" t="s">
        <v>34</v>
      </c>
      <c r="C32" s="195">
        <f>(SUM(G27:G30)/SUM(F27:F30))</f>
        <v>15.4</v>
      </c>
      <c r="D32" s="195"/>
      <c r="E32" s="195"/>
      <c r="F32" s="204" t="s">
        <v>32</v>
      </c>
      <c r="G32" s="204"/>
      <c r="H32" s="99"/>
      <c r="I32" s="163"/>
      <c r="J32" s="163"/>
      <c r="K32" s="164"/>
      <c r="L32" s="15"/>
      <c r="M32" s="15"/>
      <c r="N32" s="15">
        <v>31</v>
      </c>
      <c r="O32" s="15">
        <v>31</v>
      </c>
    </row>
    <row r="33" spans="2:15" ht="16.5" thickBot="1" x14ac:dyDescent="0.3">
      <c r="B33" s="178"/>
      <c r="C33" s="179"/>
      <c r="D33" s="179"/>
      <c r="E33" s="179"/>
      <c r="F33" s="179"/>
      <c r="G33" s="179"/>
      <c r="H33" s="179"/>
      <c r="I33" s="179"/>
      <c r="J33" s="179"/>
      <c r="K33" s="180"/>
      <c r="L33" s="15"/>
      <c r="M33" s="15"/>
      <c r="N33" s="15">
        <f>N31/N32</f>
        <v>8.8387096774193541</v>
      </c>
      <c r="O33" s="15">
        <f>O31/O32</f>
        <v>8.2903225806451619</v>
      </c>
    </row>
    <row r="34" spans="2:15" ht="48" thickBot="1" x14ac:dyDescent="0.3">
      <c r="B34" s="22" t="s">
        <v>37</v>
      </c>
      <c r="C34" s="23" t="s">
        <v>38</v>
      </c>
      <c r="D34" s="99">
        <v>10.220000000000001</v>
      </c>
      <c r="E34" s="24" t="s">
        <v>39</v>
      </c>
      <c r="F34" s="190">
        <v>11.9</v>
      </c>
      <c r="G34" s="190"/>
      <c r="H34" s="24" t="s">
        <v>40</v>
      </c>
      <c r="I34" s="190">
        <v>8.4499999999999993</v>
      </c>
      <c r="J34" s="190"/>
      <c r="K34" s="25"/>
      <c r="L34" s="26"/>
      <c r="M34" s="26"/>
      <c r="N34" s="26"/>
      <c r="O34" s="26"/>
    </row>
    <row r="35" spans="2:15" ht="15.75" x14ac:dyDescent="0.25">
      <c r="B35" s="74"/>
      <c r="C35" s="193" t="s">
        <v>130</v>
      </c>
      <c r="D35" s="193"/>
      <c r="E35" s="75"/>
      <c r="F35" s="75"/>
      <c r="G35" s="76"/>
      <c r="H35" s="145"/>
      <c r="I35" s="146"/>
      <c r="J35" s="146"/>
      <c r="K35" s="147"/>
      <c r="L35" s="15"/>
      <c r="M35" s="15"/>
      <c r="N35" s="15"/>
      <c r="O35" s="15"/>
    </row>
    <row r="36" spans="2:15" ht="15.75" x14ac:dyDescent="0.25">
      <c r="B36" s="77" t="s">
        <v>41</v>
      </c>
      <c r="C36" s="194">
        <f>N33</f>
        <v>8.8387096774193541</v>
      </c>
      <c r="D36" s="194"/>
      <c r="E36" s="79" t="s">
        <v>131</v>
      </c>
      <c r="F36" s="80">
        <f>(G5+G6+G7+G8+G9+G13+G14+G15+G20+G16+G21+G22+G23+G27+G28+G29+G30)/31</f>
        <v>8.8387096774193541</v>
      </c>
      <c r="G36" s="81" t="s">
        <v>42</v>
      </c>
      <c r="H36" s="191" t="s">
        <v>43</v>
      </c>
      <c r="I36" s="192"/>
      <c r="J36" s="27" t="s">
        <v>152</v>
      </c>
      <c r="K36" s="28" t="s">
        <v>113</v>
      </c>
      <c r="L36" s="15"/>
      <c r="M36" s="15"/>
      <c r="N36" s="15"/>
      <c r="O36" s="15"/>
    </row>
    <row r="37" spans="2:15" ht="12.75" customHeight="1" x14ac:dyDescent="0.25">
      <c r="B37" s="77"/>
      <c r="C37" s="78"/>
      <c r="D37" s="78"/>
      <c r="E37" s="79"/>
      <c r="F37" s="80"/>
      <c r="G37" s="81"/>
      <c r="H37" s="100"/>
      <c r="I37" s="101"/>
      <c r="J37" s="27"/>
      <c r="K37" s="28"/>
      <c r="L37" s="15"/>
      <c r="M37" s="15"/>
      <c r="N37" s="15"/>
      <c r="O37" s="15"/>
    </row>
    <row r="38" spans="2:15" ht="18" customHeight="1" x14ac:dyDescent="0.25">
      <c r="B38" s="102" t="s">
        <v>132</v>
      </c>
      <c r="C38" s="103" t="s">
        <v>133</v>
      </c>
      <c r="D38" s="103" t="s">
        <v>134</v>
      </c>
      <c r="E38" s="104" t="s">
        <v>135</v>
      </c>
      <c r="F38" s="105">
        <f>AVERAGE(B39:C39:D39)</f>
        <v>8.2862365591397857</v>
      </c>
      <c r="G38" s="106" t="s">
        <v>42</v>
      </c>
      <c r="H38" s="171" t="s">
        <v>136</v>
      </c>
      <c r="I38" s="172"/>
      <c r="J38" s="173" t="s">
        <v>155</v>
      </c>
      <c r="K38" s="174"/>
      <c r="L38" s="15"/>
      <c r="M38" s="15"/>
      <c r="N38" s="15"/>
      <c r="O38" s="15"/>
    </row>
    <row r="39" spans="2:15" ht="28.5" customHeight="1" thickBot="1" x14ac:dyDescent="0.3">
      <c r="B39" s="107">
        <v>8.18</v>
      </c>
      <c r="C39" s="108">
        <v>7.84</v>
      </c>
      <c r="D39" s="108">
        <f>F36</f>
        <v>8.8387096774193541</v>
      </c>
      <c r="E39" s="109"/>
      <c r="F39" s="110"/>
      <c r="G39" s="111"/>
      <c r="H39" s="101"/>
      <c r="I39" s="101"/>
      <c r="J39" s="27"/>
      <c r="K39" s="28"/>
      <c r="L39" s="15"/>
      <c r="M39" s="15"/>
      <c r="N39" s="15"/>
      <c r="O39" s="15"/>
    </row>
    <row r="40" spans="2:15" ht="16.5" thickBot="1" x14ac:dyDescent="0.3">
      <c r="B40" s="175" t="s">
        <v>44</v>
      </c>
      <c r="C40" s="176"/>
      <c r="D40" s="176"/>
      <c r="E40" s="176"/>
      <c r="F40" s="176"/>
      <c r="G40" s="176"/>
      <c r="H40" s="176"/>
      <c r="I40" s="176"/>
      <c r="J40" s="176"/>
      <c r="K40" s="177"/>
      <c r="L40" s="15"/>
      <c r="M40" s="15"/>
      <c r="N40" s="15"/>
      <c r="O40" s="15"/>
    </row>
    <row r="41" spans="2:15" ht="16.5" thickBot="1" x14ac:dyDescent="0.3">
      <c r="B41" s="162" t="s">
        <v>45</v>
      </c>
      <c r="C41" s="163"/>
      <c r="D41" s="163"/>
      <c r="E41" s="163"/>
      <c r="F41" s="163"/>
      <c r="G41" s="163"/>
      <c r="H41" s="163"/>
      <c r="I41" s="163"/>
      <c r="J41" s="163"/>
      <c r="K41" s="164"/>
      <c r="L41" s="15"/>
      <c r="M41" s="15"/>
      <c r="N41" s="15"/>
      <c r="O41" s="15"/>
    </row>
    <row r="42" spans="2:15" ht="16.5" thickBot="1" x14ac:dyDescent="0.3">
      <c r="B42" s="22" t="s">
        <v>46</v>
      </c>
      <c r="C42" s="178" t="s">
        <v>47</v>
      </c>
      <c r="D42" s="179"/>
      <c r="E42" s="180"/>
      <c r="F42" s="165" t="s">
        <v>48</v>
      </c>
      <c r="G42" s="166"/>
      <c r="H42" s="166"/>
      <c r="I42" s="166"/>
      <c r="J42" s="166"/>
      <c r="K42" s="167"/>
      <c r="L42" s="15"/>
      <c r="M42" s="15"/>
      <c r="N42" s="15"/>
      <c r="O42" s="15"/>
    </row>
    <row r="43" spans="2:15" ht="16.5" thickBot="1" x14ac:dyDescent="0.3">
      <c r="B43" s="29" t="s">
        <v>49</v>
      </c>
      <c r="C43" s="181" t="str">
        <f>IF(F38&lt;10,"CNA",IF(F38&lt;12,"CMA",IF(F38&lt;14,"CA",IF(F38&lt;16,"CBA",IF(F38&lt;20,"CTBA")))))</f>
        <v>CNA</v>
      </c>
      <c r="D43" s="182" t="e">
        <f>IF(#REF!&lt;10,"D",IF(#REF!&lt;12,"C",IF(#REF!&lt;14,"C+",IF(#REF!&lt;15,"B",IF(#REF!&lt;16,"B+",IF(#REF!&lt;18,"A",IF(#REF!&lt;20,"A+")))))))</f>
        <v>#REF!</v>
      </c>
      <c r="E43" s="183" t="e">
        <f>IF(#REF!&lt;10,"D",IF(#REF!&lt;12,"C",IF(#REF!&lt;14,"C+",IF(#REF!&lt;15,"B",IF(#REF!&lt;16,"B+",IF(#REF!&lt;18,"A",IF(#REF!&lt;20,"A+")))))))</f>
        <v>#REF!</v>
      </c>
      <c r="F43" s="168"/>
      <c r="G43" s="169"/>
      <c r="H43" s="169"/>
      <c r="I43" s="169"/>
      <c r="J43" s="169"/>
      <c r="K43" s="170"/>
      <c r="L43" s="15"/>
      <c r="M43" s="15"/>
      <c r="N43" s="15"/>
      <c r="O43" s="15"/>
    </row>
    <row r="44" spans="2:15" ht="16.5" thickBot="1" x14ac:dyDescent="0.3">
      <c r="B44" s="30" t="s">
        <v>50</v>
      </c>
      <c r="C44" s="184" t="e">
        <f>IF(#REF!&lt;10,"D",IF(#REF!&lt;12,"C",IF(#REF!&lt;14,"C+",IF(#REF!&lt;15,"B",IF(#REF!&lt;16,"B+",IF(#REF!&lt;18,"A",IF(#REF!&lt;20,"A+")))))))</f>
        <v>#REF!</v>
      </c>
      <c r="D44" s="185" t="e">
        <f>IF(#REF!&lt;10,"D",IF(#REF!&lt;12,"C",IF(#REF!&lt;14,"C+",IF(#REF!&lt;15,"B",IF(#REF!&lt;16,"B+",IF(#REF!&lt;18,"A",IF(#REF!&lt;20,"A+")))))))</f>
        <v>#REF!</v>
      </c>
      <c r="E44" s="186" t="e">
        <f>IF(#REF!&lt;10,"D",IF(#REF!&lt;12,"C",IF(#REF!&lt;14,"C+",IF(#REF!&lt;15,"B",IF(#REF!&lt;16,"B+",IF(#REF!&lt;18,"A",IF(#REF!&lt;20,"A+")))))))</f>
        <v>#REF!</v>
      </c>
      <c r="F44" s="162" t="s">
        <v>51</v>
      </c>
      <c r="G44" s="163"/>
      <c r="H44" s="163"/>
      <c r="I44" s="164"/>
      <c r="J44" s="165" t="s">
        <v>52</v>
      </c>
      <c r="K44" s="167"/>
      <c r="L44" s="15"/>
      <c r="M44" s="15"/>
      <c r="N44" s="15"/>
      <c r="O44" s="15"/>
    </row>
    <row r="45" spans="2:15" ht="16.5" thickBot="1" x14ac:dyDescent="0.3">
      <c r="B45" s="31" t="s">
        <v>53</v>
      </c>
      <c r="C45" s="187" t="e">
        <f>IF(#REF!&lt;10,"D",IF(#REF!&lt;12,"C",IF(#REF!&lt;14,"C+",IF(#REF!&lt;15,"B",IF(#REF!&lt;16,"B+",IF(#REF!&lt;18,"A",IF(#REF!&lt;20,"A+")))))))</f>
        <v>#REF!</v>
      </c>
      <c r="D45" s="188" t="e">
        <f>IF(#REF!&lt;10,"D",IF(#REF!&lt;12,"C",IF(#REF!&lt;14,"C+",IF(#REF!&lt;15,"B",IF(#REF!&lt;16,"B+",IF(#REF!&lt;18,"A",IF(#REF!&lt;20,"A+")))))))</f>
        <v>#REF!</v>
      </c>
      <c r="E45" s="189" t="e">
        <f>IF(#REF!&lt;10,"D",IF(#REF!&lt;12,"C",IF(#REF!&lt;14,"C+",IF(#REF!&lt;15,"B",IF(#REF!&lt;16,"B+",IF(#REF!&lt;18,"A",IF(#REF!&lt;20,"A+")))))))</f>
        <v>#REF!</v>
      </c>
      <c r="F45" s="162" t="s">
        <v>54</v>
      </c>
      <c r="G45" s="163"/>
      <c r="H45" s="163"/>
      <c r="I45" s="164"/>
      <c r="J45" s="160" t="s">
        <v>55</v>
      </c>
      <c r="K45" s="161"/>
      <c r="L45" s="15"/>
      <c r="M45" s="15"/>
      <c r="N45" s="15"/>
      <c r="O45" s="15"/>
    </row>
    <row r="46" spans="2:15" ht="16.5" thickBot="1" x14ac:dyDescent="0.3">
      <c r="B46" s="23" t="s">
        <v>56</v>
      </c>
      <c r="C46" s="165" t="s">
        <v>57</v>
      </c>
      <c r="D46" s="166"/>
      <c r="E46" s="167"/>
      <c r="F46" s="162" t="s">
        <v>58</v>
      </c>
      <c r="G46" s="163"/>
      <c r="H46" s="163"/>
      <c r="I46" s="164"/>
      <c r="J46" s="160"/>
      <c r="K46" s="161"/>
      <c r="L46" s="15"/>
      <c r="M46" s="15"/>
      <c r="N46" s="15"/>
      <c r="O46" s="15"/>
    </row>
    <row r="47" spans="2:15" ht="16.5" thickBot="1" x14ac:dyDescent="0.3">
      <c r="B47" s="23" t="s">
        <v>59</v>
      </c>
      <c r="C47" s="168"/>
      <c r="D47" s="169"/>
      <c r="E47" s="170"/>
      <c r="F47" s="162" t="s">
        <v>60</v>
      </c>
      <c r="G47" s="163"/>
      <c r="H47" s="163"/>
      <c r="I47" s="164"/>
      <c r="J47" s="154" t="s">
        <v>61</v>
      </c>
      <c r="K47" s="155"/>
      <c r="L47" s="15"/>
      <c r="M47" s="15"/>
      <c r="N47" s="15"/>
      <c r="O47" s="15"/>
    </row>
    <row r="48" spans="2:15" ht="31.5" x14ac:dyDescent="0.25">
      <c r="B48" s="22" t="s">
        <v>62</v>
      </c>
      <c r="C48" s="145"/>
      <c r="D48" s="146"/>
      <c r="E48" s="147"/>
      <c r="F48" s="145"/>
      <c r="G48" s="146"/>
      <c r="H48" s="146"/>
      <c r="I48" s="147"/>
      <c r="J48" s="154" t="s">
        <v>63</v>
      </c>
      <c r="K48" s="155"/>
      <c r="L48" s="15"/>
      <c r="M48" s="15"/>
      <c r="N48" s="15"/>
      <c r="O48" s="15"/>
    </row>
    <row r="49" spans="2:15" ht="15.75" x14ac:dyDescent="0.25">
      <c r="B49" s="32"/>
      <c r="C49" s="148"/>
      <c r="D49" s="149"/>
      <c r="E49" s="150"/>
      <c r="F49" s="148"/>
      <c r="G49" s="149"/>
      <c r="H49" s="149"/>
      <c r="I49" s="150"/>
      <c r="J49" s="156"/>
      <c r="K49" s="157"/>
      <c r="L49" s="15"/>
      <c r="M49" s="15"/>
      <c r="N49" s="15"/>
      <c r="O49" s="15"/>
    </row>
    <row r="50" spans="2:15" ht="15.75" x14ac:dyDescent="0.25">
      <c r="B50" s="32"/>
      <c r="C50" s="148"/>
      <c r="D50" s="149"/>
      <c r="E50" s="150"/>
      <c r="F50" s="148"/>
      <c r="G50" s="149"/>
      <c r="H50" s="149"/>
      <c r="I50" s="150"/>
      <c r="J50" s="156"/>
      <c r="K50" s="157"/>
      <c r="L50" s="15"/>
      <c r="M50" s="15"/>
      <c r="N50" s="15"/>
      <c r="O50" s="15"/>
    </row>
    <row r="51" spans="2:15" ht="16.5" thickBot="1" x14ac:dyDescent="0.3">
      <c r="B51" s="31"/>
      <c r="C51" s="151"/>
      <c r="D51" s="152"/>
      <c r="E51" s="153"/>
      <c r="F51" s="151"/>
      <c r="G51" s="152"/>
      <c r="H51" s="152"/>
      <c r="I51" s="153"/>
      <c r="J51" s="158"/>
      <c r="K51" s="159"/>
      <c r="L51" s="15"/>
      <c r="M51" s="15"/>
      <c r="N51" s="15"/>
      <c r="O51" s="15"/>
    </row>
  </sheetData>
  <mergeCells count="83">
    <mergeCell ref="J50:K50"/>
    <mergeCell ref="J51:K51"/>
    <mergeCell ref="D22:E22"/>
    <mergeCell ref="D23:E23"/>
    <mergeCell ref="D27:E27"/>
    <mergeCell ref="D28:E28"/>
    <mergeCell ref="D29:E29"/>
    <mergeCell ref="B24:K24"/>
    <mergeCell ref="B33:K33"/>
    <mergeCell ref="C25:E25"/>
    <mergeCell ref="F25:G25"/>
    <mergeCell ref="I25:K25"/>
    <mergeCell ref="B26:K26"/>
    <mergeCell ref="H27:I27"/>
    <mergeCell ref="H28:I28"/>
    <mergeCell ref="H29:I29"/>
    <mergeCell ref="D8:E8"/>
    <mergeCell ref="D9:E9"/>
    <mergeCell ref="D13:E13"/>
    <mergeCell ref="D14:E14"/>
    <mergeCell ref="D15:E15"/>
    <mergeCell ref="H13:I13"/>
    <mergeCell ref="H4:I4"/>
    <mergeCell ref="H5:I5"/>
    <mergeCell ref="H6:I6"/>
    <mergeCell ref="H7:I7"/>
    <mergeCell ref="H8:I8"/>
    <mergeCell ref="H9:I9"/>
    <mergeCell ref="B10:K10"/>
    <mergeCell ref="C11:E11"/>
    <mergeCell ref="F11:G11"/>
    <mergeCell ref="I11:K11"/>
    <mergeCell ref="B12:K12"/>
    <mergeCell ref="D4:E4"/>
    <mergeCell ref="D5:E5"/>
    <mergeCell ref="D6:E6"/>
    <mergeCell ref="D7:E7"/>
    <mergeCell ref="H14:I14"/>
    <mergeCell ref="H15:I15"/>
    <mergeCell ref="H16:I16"/>
    <mergeCell ref="B17:K17"/>
    <mergeCell ref="C18:E18"/>
    <mergeCell ref="F18:G18"/>
    <mergeCell ref="I18:K18"/>
    <mergeCell ref="D16:E16"/>
    <mergeCell ref="B19:K19"/>
    <mergeCell ref="H20:I20"/>
    <mergeCell ref="H21:I21"/>
    <mergeCell ref="H22:I22"/>
    <mergeCell ref="H23:I23"/>
    <mergeCell ref="D20:E20"/>
    <mergeCell ref="D21:E21"/>
    <mergeCell ref="H30:I30"/>
    <mergeCell ref="C32:E32"/>
    <mergeCell ref="F32:G32"/>
    <mergeCell ref="I32:K32"/>
    <mergeCell ref="D30:E30"/>
    <mergeCell ref="F34:G34"/>
    <mergeCell ref="I34:J34"/>
    <mergeCell ref="H35:K35"/>
    <mergeCell ref="H36:I36"/>
    <mergeCell ref="C35:D35"/>
    <mergeCell ref="C36:D36"/>
    <mergeCell ref="H38:I38"/>
    <mergeCell ref="J38:K38"/>
    <mergeCell ref="B40:K40"/>
    <mergeCell ref="B41:K41"/>
    <mergeCell ref="C42:E42"/>
    <mergeCell ref="F42:K43"/>
    <mergeCell ref="C43:E45"/>
    <mergeCell ref="J49:K49"/>
    <mergeCell ref="F44:I44"/>
    <mergeCell ref="J44:K44"/>
    <mergeCell ref="F45:I45"/>
    <mergeCell ref="J45:K45"/>
    <mergeCell ref="J46:K46"/>
    <mergeCell ref="J47:K47"/>
    <mergeCell ref="J48:K48"/>
    <mergeCell ref="C46:E47"/>
    <mergeCell ref="F46:I46"/>
    <mergeCell ref="F47:I47"/>
    <mergeCell ref="C48:E51"/>
    <mergeCell ref="F48:I5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1"/>
  <sheetViews>
    <sheetView tabSelected="1" topLeftCell="A35" zoomScale="90" zoomScaleNormal="90" workbookViewId="0">
      <selection activeCell="B4" sqref="B4:K51"/>
    </sheetView>
  </sheetViews>
  <sheetFormatPr baseColWidth="10" defaultRowHeight="15" x14ac:dyDescent="0.25"/>
  <cols>
    <col min="2" max="2" width="44.140625" customWidth="1"/>
    <col min="3" max="3" width="12.140625" customWidth="1"/>
    <col min="5" max="5" width="16.28515625" customWidth="1"/>
    <col min="7" max="7" width="13.7109375" customWidth="1"/>
    <col min="11" max="11" width="16.42578125" customWidth="1"/>
  </cols>
  <sheetData>
    <row r="3" spans="2:15" ht="15.75" thickBot="1" x14ac:dyDescent="0.3"/>
    <row r="4" spans="2:15" ht="16.5" thickBot="1" x14ac:dyDescent="0.3">
      <c r="B4" s="93" t="s">
        <v>25</v>
      </c>
      <c r="C4" s="94" t="s">
        <v>129</v>
      </c>
      <c r="D4" s="213" t="s">
        <v>130</v>
      </c>
      <c r="E4" s="214"/>
      <c r="F4" s="94" t="s">
        <v>26</v>
      </c>
      <c r="G4" s="93" t="s">
        <v>27</v>
      </c>
      <c r="H4" s="213" t="s">
        <v>28</v>
      </c>
      <c r="I4" s="214"/>
      <c r="J4" s="94" t="s">
        <v>23</v>
      </c>
      <c r="K4" s="94" t="s">
        <v>29</v>
      </c>
      <c r="L4" s="15"/>
      <c r="M4" s="15"/>
      <c r="N4" s="15"/>
      <c r="O4" s="15"/>
    </row>
    <row r="5" spans="2:15" ht="32.25" thickBot="1" x14ac:dyDescent="0.3">
      <c r="B5" s="95" t="s">
        <v>68</v>
      </c>
      <c r="C5" s="16">
        <f>(D5+E5)/2</f>
        <v>8</v>
      </c>
      <c r="D5" s="205">
        <v>8</v>
      </c>
      <c r="E5" s="206">
        <v>8</v>
      </c>
      <c r="F5" s="17">
        <v>3</v>
      </c>
      <c r="G5" s="18">
        <f>C5*F5</f>
        <v>24</v>
      </c>
      <c r="H5" s="202">
        <v>11.461538461538462</v>
      </c>
      <c r="I5" s="203">
        <v>11.461538461538462</v>
      </c>
      <c r="J5" s="35"/>
      <c r="K5" s="16" t="str">
        <f>IF(C5&lt;10,"D",IF(C5&lt;12,"C",IF(C5&lt;14,"C+",IF(C5&lt;15,"B",IF(C5&lt;16,"B+",IF(C5&lt;18,"A",IF(C5&lt;20,"A+")))))))</f>
        <v>D</v>
      </c>
      <c r="L5" s="15"/>
      <c r="M5" s="15"/>
      <c r="N5" s="19">
        <f>D5*F5</f>
        <v>24</v>
      </c>
      <c r="O5" s="19">
        <f>E5*F5</f>
        <v>24</v>
      </c>
    </row>
    <row r="6" spans="2:15" ht="32.25" thickBot="1" x14ac:dyDescent="0.3">
      <c r="B6" s="95" t="s">
        <v>115</v>
      </c>
      <c r="C6" s="16">
        <f t="shared" ref="C6:C9" si="0">(D6+E6)/2</f>
        <v>5</v>
      </c>
      <c r="D6" s="205">
        <v>5</v>
      </c>
      <c r="E6" s="206">
        <v>5</v>
      </c>
      <c r="F6" s="17">
        <v>1</v>
      </c>
      <c r="G6" s="18">
        <f t="shared" ref="G6:G9" si="1">C6*F6</f>
        <v>5</v>
      </c>
      <c r="H6" s="202">
        <v>7.1538461538461542</v>
      </c>
      <c r="I6" s="203">
        <v>7.1538461538461542</v>
      </c>
      <c r="J6" s="35"/>
      <c r="K6" s="16" t="str">
        <f t="shared" ref="K6:K9" si="2">IF(C6&lt;10,"D",IF(C6&lt;12,"C",IF(C6&lt;14,"C+",IF(C6&lt;15,"B",IF(C6&lt;16,"B+",IF(C6&lt;18,"A",IF(C6&lt;20,"A+")))))))</f>
        <v>D</v>
      </c>
      <c r="L6" s="15"/>
      <c r="M6" s="15"/>
      <c r="N6" s="19">
        <f t="shared" ref="N6:N9" si="3">D6*F6</f>
        <v>5</v>
      </c>
      <c r="O6" s="19">
        <f t="shared" ref="O6:O9" si="4">E6*F6</f>
        <v>5</v>
      </c>
    </row>
    <row r="7" spans="2:15" ht="32.25" thickBot="1" x14ac:dyDescent="0.3">
      <c r="B7" s="95" t="s">
        <v>116</v>
      </c>
      <c r="C7" s="16">
        <f t="shared" si="0"/>
        <v>8</v>
      </c>
      <c r="D7" s="205">
        <v>8</v>
      </c>
      <c r="E7" s="206">
        <v>8</v>
      </c>
      <c r="F7" s="17">
        <v>2</v>
      </c>
      <c r="G7" s="18">
        <f t="shared" si="1"/>
        <v>16</v>
      </c>
      <c r="H7" s="202">
        <v>10.423076923076923</v>
      </c>
      <c r="I7" s="203">
        <v>10.423076923076923</v>
      </c>
      <c r="J7" s="35"/>
      <c r="K7" s="16" t="str">
        <f t="shared" si="2"/>
        <v>D</v>
      </c>
      <c r="L7" s="15"/>
      <c r="M7" s="15"/>
      <c r="N7" s="19">
        <f t="shared" si="3"/>
        <v>16</v>
      </c>
      <c r="O7" s="19">
        <f t="shared" si="4"/>
        <v>16</v>
      </c>
    </row>
    <row r="8" spans="2:15" ht="32.25" thickBot="1" x14ac:dyDescent="0.3">
      <c r="B8" s="95" t="s">
        <v>117</v>
      </c>
      <c r="C8" s="16">
        <f t="shared" si="0"/>
        <v>8</v>
      </c>
      <c r="D8" s="205">
        <v>8</v>
      </c>
      <c r="E8" s="206">
        <v>8</v>
      </c>
      <c r="F8" s="17">
        <v>1</v>
      </c>
      <c r="G8" s="18">
        <f t="shared" si="1"/>
        <v>8</v>
      </c>
      <c r="H8" s="202">
        <v>9.2307692307692299</v>
      </c>
      <c r="I8" s="203">
        <v>9.2307692307692299</v>
      </c>
      <c r="J8" s="35"/>
      <c r="K8" s="16" t="str">
        <f t="shared" si="2"/>
        <v>D</v>
      </c>
      <c r="L8" s="15"/>
      <c r="M8" s="15"/>
      <c r="N8" s="19">
        <f t="shared" si="3"/>
        <v>8</v>
      </c>
      <c r="O8" s="19">
        <f t="shared" si="4"/>
        <v>8</v>
      </c>
    </row>
    <row r="9" spans="2:15" ht="32.25" thickBot="1" x14ac:dyDescent="0.3">
      <c r="B9" s="95" t="s">
        <v>64</v>
      </c>
      <c r="C9" s="16">
        <f t="shared" si="0"/>
        <v>8</v>
      </c>
      <c r="D9" s="205">
        <v>8</v>
      </c>
      <c r="E9" s="206">
        <v>8</v>
      </c>
      <c r="F9" s="17">
        <v>2</v>
      </c>
      <c r="G9" s="18">
        <f t="shared" si="1"/>
        <v>16</v>
      </c>
      <c r="H9" s="202">
        <v>9.9230769230769234</v>
      </c>
      <c r="I9" s="203">
        <v>9.9230769230769234</v>
      </c>
      <c r="J9" s="35"/>
      <c r="K9" s="16" t="str">
        <f t="shared" si="2"/>
        <v>D</v>
      </c>
      <c r="L9" s="15"/>
      <c r="M9" s="15"/>
      <c r="N9" s="19">
        <f t="shared" si="3"/>
        <v>16</v>
      </c>
      <c r="O9" s="19">
        <f t="shared" si="4"/>
        <v>16</v>
      </c>
    </row>
    <row r="10" spans="2:15" ht="16.5" thickBot="1" x14ac:dyDescent="0.3">
      <c r="B10" s="207" t="s">
        <v>30</v>
      </c>
      <c r="C10" s="208"/>
      <c r="D10" s="208"/>
      <c r="E10" s="208"/>
      <c r="F10" s="208"/>
      <c r="G10" s="208"/>
      <c r="H10" s="208"/>
      <c r="I10" s="208"/>
      <c r="J10" s="208"/>
      <c r="K10" s="209"/>
      <c r="L10" s="15"/>
      <c r="M10" s="15"/>
      <c r="N10" s="15"/>
      <c r="O10" s="15"/>
    </row>
    <row r="11" spans="2:15" ht="16.5" thickBot="1" x14ac:dyDescent="0.3">
      <c r="B11" s="20" t="s">
        <v>31</v>
      </c>
      <c r="C11" s="195">
        <f>(SUM(G5:G9)/SUM(F5:F9))</f>
        <v>7.666666666666667</v>
      </c>
      <c r="D11" s="195"/>
      <c r="E11" s="195"/>
      <c r="F11" s="196" t="s">
        <v>32</v>
      </c>
      <c r="G11" s="196"/>
      <c r="H11" s="98"/>
      <c r="I11" s="190"/>
      <c r="J11" s="190"/>
      <c r="K11" s="197"/>
      <c r="L11" s="15"/>
      <c r="M11" s="15"/>
      <c r="N11" s="15"/>
      <c r="O11" s="15"/>
    </row>
    <row r="12" spans="2:15" ht="16.5" thickBot="1" x14ac:dyDescent="0.3">
      <c r="B12" s="198"/>
      <c r="C12" s="199"/>
      <c r="D12" s="199"/>
      <c r="E12" s="199"/>
      <c r="F12" s="199"/>
      <c r="G12" s="199"/>
      <c r="H12" s="199"/>
      <c r="I12" s="199"/>
      <c r="J12" s="199"/>
      <c r="K12" s="201"/>
      <c r="L12" s="15"/>
      <c r="M12" s="15"/>
      <c r="N12" s="15"/>
      <c r="O12" s="15"/>
    </row>
    <row r="13" spans="2:15" ht="32.25" thickBot="1" x14ac:dyDescent="0.3">
      <c r="B13" s="95" t="s">
        <v>65</v>
      </c>
      <c r="C13" s="16">
        <f t="shared" ref="C13:C16" si="5">(D13+E13)/2</f>
        <v>11</v>
      </c>
      <c r="D13" s="205">
        <v>11</v>
      </c>
      <c r="E13" s="206">
        <v>11</v>
      </c>
      <c r="F13" s="17">
        <v>2</v>
      </c>
      <c r="G13" s="18">
        <f t="shared" ref="G13:G16" si="6">C13*F13</f>
        <v>22</v>
      </c>
      <c r="H13" s="202">
        <v>11.384615384615385</v>
      </c>
      <c r="I13" s="203">
        <v>11.384615384615385</v>
      </c>
      <c r="J13" s="35"/>
      <c r="K13" s="16" t="str">
        <f t="shared" ref="K13:K16" si="7">IF(C13&lt;10,"D",IF(C13&lt;12,"C",IF(C13&lt;14,"C+",IF(C13&lt;15,"B",IF(C13&lt;16,"B+",IF(C13&lt;18,"A",IF(C13&lt;20,"A+")))))))</f>
        <v>C</v>
      </c>
      <c r="L13" s="15"/>
      <c r="M13" s="15"/>
      <c r="N13" s="19">
        <f t="shared" ref="N13:N16" si="8">D13*F13</f>
        <v>22</v>
      </c>
      <c r="O13" s="19">
        <f t="shared" ref="O13:O16" si="9">E13*F13</f>
        <v>22</v>
      </c>
    </row>
    <row r="14" spans="2:15" ht="32.25" thickBot="1" x14ac:dyDescent="0.3">
      <c r="B14" s="95" t="s">
        <v>118</v>
      </c>
      <c r="C14" s="16">
        <f t="shared" si="5"/>
        <v>7</v>
      </c>
      <c r="D14" s="205">
        <v>7</v>
      </c>
      <c r="E14" s="206">
        <v>7</v>
      </c>
      <c r="F14" s="17">
        <v>2</v>
      </c>
      <c r="G14" s="18">
        <f t="shared" si="6"/>
        <v>14</v>
      </c>
      <c r="H14" s="202">
        <v>10.692307692307692</v>
      </c>
      <c r="I14" s="203">
        <v>10.692307692307692</v>
      </c>
      <c r="J14" s="35"/>
      <c r="K14" s="16" t="str">
        <f t="shared" si="7"/>
        <v>D</v>
      </c>
      <c r="L14" s="15"/>
      <c r="M14" s="15"/>
      <c r="N14" s="19">
        <f t="shared" si="8"/>
        <v>14</v>
      </c>
      <c r="O14" s="19">
        <f t="shared" si="9"/>
        <v>14</v>
      </c>
    </row>
    <row r="15" spans="2:15" ht="32.25" thickBot="1" x14ac:dyDescent="0.3">
      <c r="B15" s="95" t="s">
        <v>119</v>
      </c>
      <c r="C15" s="16">
        <f t="shared" si="5"/>
        <v>10</v>
      </c>
      <c r="D15" s="205">
        <v>10</v>
      </c>
      <c r="E15" s="206">
        <v>10</v>
      </c>
      <c r="F15" s="17">
        <v>2</v>
      </c>
      <c r="G15" s="18">
        <f t="shared" si="6"/>
        <v>20</v>
      </c>
      <c r="H15" s="202">
        <v>11.692307692307692</v>
      </c>
      <c r="I15" s="203">
        <v>11.692307692307692</v>
      </c>
      <c r="J15" s="35"/>
      <c r="K15" s="16" t="str">
        <f t="shared" si="7"/>
        <v>C</v>
      </c>
      <c r="L15" s="15"/>
      <c r="M15" s="15"/>
      <c r="N15" s="19">
        <f t="shared" si="8"/>
        <v>20</v>
      </c>
      <c r="O15" s="19">
        <f t="shared" si="9"/>
        <v>20</v>
      </c>
    </row>
    <row r="16" spans="2:15" ht="32.25" thickBot="1" x14ac:dyDescent="0.3">
      <c r="B16" s="95" t="s">
        <v>66</v>
      </c>
      <c r="C16" s="16">
        <f t="shared" si="5"/>
        <v>16</v>
      </c>
      <c r="D16" s="205">
        <v>16</v>
      </c>
      <c r="E16" s="206">
        <v>16</v>
      </c>
      <c r="F16" s="17">
        <v>1</v>
      </c>
      <c r="G16" s="18">
        <f t="shared" si="6"/>
        <v>16</v>
      </c>
      <c r="H16" s="202">
        <v>16</v>
      </c>
      <c r="I16" s="203"/>
      <c r="J16" s="35"/>
      <c r="K16" s="16" t="str">
        <f t="shared" si="7"/>
        <v>A</v>
      </c>
      <c r="L16" s="15"/>
      <c r="M16" s="15"/>
      <c r="N16" s="19">
        <f t="shared" si="8"/>
        <v>16</v>
      </c>
      <c r="O16" s="19">
        <f t="shared" si="9"/>
        <v>16</v>
      </c>
    </row>
    <row r="17" spans="2:15" ht="16.5" thickBot="1" x14ac:dyDescent="0.3">
      <c r="B17" s="207" t="s">
        <v>33</v>
      </c>
      <c r="C17" s="208"/>
      <c r="D17" s="208"/>
      <c r="E17" s="208"/>
      <c r="F17" s="208"/>
      <c r="G17" s="208"/>
      <c r="H17" s="208"/>
      <c r="I17" s="208"/>
      <c r="J17" s="208"/>
      <c r="K17" s="209"/>
      <c r="L17" s="15"/>
      <c r="M17" s="15"/>
      <c r="N17" s="15"/>
      <c r="O17" s="15"/>
    </row>
    <row r="18" spans="2:15" ht="16.5" thickBot="1" x14ac:dyDescent="0.3">
      <c r="B18" s="20" t="s">
        <v>34</v>
      </c>
      <c r="C18" s="195">
        <f>(SUM(G13:G16)/SUM(F13:F16))</f>
        <v>10.285714285714286</v>
      </c>
      <c r="D18" s="195"/>
      <c r="E18" s="195"/>
      <c r="F18" s="196" t="s">
        <v>32</v>
      </c>
      <c r="G18" s="196"/>
      <c r="H18" s="98"/>
      <c r="I18" s="190"/>
      <c r="J18" s="190"/>
      <c r="K18" s="197"/>
      <c r="L18" s="15"/>
      <c r="M18" s="15"/>
      <c r="N18" s="15"/>
      <c r="O18" s="15"/>
    </row>
    <row r="19" spans="2:15" ht="16.5" thickBot="1" x14ac:dyDescent="0.3">
      <c r="B19" s="210"/>
      <c r="C19" s="211"/>
      <c r="D19" s="211"/>
      <c r="E19" s="211"/>
      <c r="F19" s="211"/>
      <c r="G19" s="211"/>
      <c r="H19" s="211"/>
      <c r="I19" s="211"/>
      <c r="J19" s="211"/>
      <c r="K19" s="212"/>
      <c r="L19" s="15"/>
      <c r="M19" s="15"/>
      <c r="N19" s="15"/>
      <c r="O19" s="15"/>
    </row>
    <row r="20" spans="2:15" ht="32.25" thickBot="1" x14ac:dyDescent="0.3">
      <c r="B20" s="95" t="s">
        <v>69</v>
      </c>
      <c r="C20" s="16">
        <f t="shared" ref="C20:C23" si="10">(D20+E20)/2</f>
        <v>6</v>
      </c>
      <c r="D20" s="205">
        <v>6</v>
      </c>
      <c r="E20" s="206">
        <v>6</v>
      </c>
      <c r="F20" s="17">
        <v>2</v>
      </c>
      <c r="G20" s="18">
        <f t="shared" ref="G20:G23" si="11">C20*F20</f>
        <v>12</v>
      </c>
      <c r="H20" s="202">
        <v>8.2307692307692299</v>
      </c>
      <c r="I20" s="203">
        <v>8.2307692307692299</v>
      </c>
      <c r="J20" s="35"/>
      <c r="K20" s="16" t="str">
        <f t="shared" ref="K20:K23" si="12">IF(C20&lt;10,"D",IF(C20&lt;12,"C",IF(C20&lt;14,"C+",IF(C20&lt;15,"B",IF(C20&lt;16,"B+",IF(C20&lt;18,"A",IF(C20&lt;20,"A+")))))))</f>
        <v>D</v>
      </c>
      <c r="L20" s="15"/>
      <c r="M20" s="15"/>
      <c r="N20" s="19">
        <f t="shared" ref="N20:N23" si="13">D20*F20</f>
        <v>12</v>
      </c>
      <c r="O20" s="19">
        <f t="shared" ref="O20:O23" si="14">E20*F20</f>
        <v>12</v>
      </c>
    </row>
    <row r="21" spans="2:15" ht="32.25" thickBot="1" x14ac:dyDescent="0.3">
      <c r="B21" s="95" t="s">
        <v>70</v>
      </c>
      <c r="C21" s="16">
        <f t="shared" si="10"/>
        <v>3</v>
      </c>
      <c r="D21" s="205">
        <v>3</v>
      </c>
      <c r="E21" s="206">
        <v>3</v>
      </c>
      <c r="F21" s="17">
        <v>4</v>
      </c>
      <c r="G21" s="18">
        <f t="shared" si="11"/>
        <v>12</v>
      </c>
      <c r="H21" s="202">
        <v>4.2692307692307692</v>
      </c>
      <c r="I21" s="203">
        <v>4.2692307692307692</v>
      </c>
      <c r="J21" s="35"/>
      <c r="K21" s="16" t="str">
        <f t="shared" si="12"/>
        <v>D</v>
      </c>
      <c r="L21" s="15"/>
      <c r="M21" s="15"/>
      <c r="N21" s="19">
        <f t="shared" si="13"/>
        <v>12</v>
      </c>
      <c r="O21" s="19">
        <f t="shared" si="14"/>
        <v>12</v>
      </c>
    </row>
    <row r="22" spans="2:15" ht="32.25" thickBot="1" x14ac:dyDescent="0.3">
      <c r="B22" s="95" t="s">
        <v>120</v>
      </c>
      <c r="C22" s="16">
        <f t="shared" si="10"/>
        <v>5</v>
      </c>
      <c r="D22" s="205">
        <v>5</v>
      </c>
      <c r="E22" s="206">
        <v>5</v>
      </c>
      <c r="F22" s="17">
        <v>2</v>
      </c>
      <c r="G22" s="18">
        <f t="shared" si="11"/>
        <v>10</v>
      </c>
      <c r="H22" s="202">
        <v>5.6538461538461542</v>
      </c>
      <c r="I22" s="203">
        <v>5.6538461538461542</v>
      </c>
      <c r="J22" s="35"/>
      <c r="K22" s="16" t="str">
        <f t="shared" si="12"/>
        <v>D</v>
      </c>
      <c r="L22" s="15"/>
      <c r="M22" s="15"/>
      <c r="N22" s="19">
        <f t="shared" si="13"/>
        <v>10</v>
      </c>
      <c r="O22" s="19">
        <f t="shared" si="14"/>
        <v>10</v>
      </c>
    </row>
    <row r="23" spans="2:15" ht="32.25" thickBot="1" x14ac:dyDescent="0.3">
      <c r="B23" s="95" t="s">
        <v>71</v>
      </c>
      <c r="C23" s="16">
        <f t="shared" si="10"/>
        <v>7</v>
      </c>
      <c r="D23" s="205">
        <v>7</v>
      </c>
      <c r="E23" s="206">
        <v>7</v>
      </c>
      <c r="F23" s="17">
        <v>2</v>
      </c>
      <c r="G23" s="18">
        <f t="shared" si="11"/>
        <v>14</v>
      </c>
      <c r="H23" s="202">
        <v>9.7692307692307701</v>
      </c>
      <c r="I23" s="203">
        <v>9.7692307692307701</v>
      </c>
      <c r="J23" s="35"/>
      <c r="K23" s="16" t="str">
        <f t="shared" si="12"/>
        <v>D</v>
      </c>
      <c r="L23" s="15"/>
      <c r="M23" s="15"/>
      <c r="N23" s="19">
        <f t="shared" si="13"/>
        <v>14</v>
      </c>
      <c r="O23" s="19">
        <f t="shared" si="14"/>
        <v>14</v>
      </c>
    </row>
    <row r="24" spans="2:15" ht="16.5" thickBot="1" x14ac:dyDescent="0.3">
      <c r="B24" s="207" t="s">
        <v>35</v>
      </c>
      <c r="C24" s="208"/>
      <c r="D24" s="208"/>
      <c r="E24" s="208"/>
      <c r="F24" s="208"/>
      <c r="G24" s="208"/>
      <c r="H24" s="208"/>
      <c r="I24" s="208"/>
      <c r="J24" s="208"/>
      <c r="K24" s="209"/>
      <c r="L24" s="15"/>
      <c r="M24" s="15"/>
      <c r="N24" s="15"/>
      <c r="O24" s="15"/>
    </row>
    <row r="25" spans="2:15" ht="16.5" thickBot="1" x14ac:dyDescent="0.3">
      <c r="B25" s="20" t="s">
        <v>31</v>
      </c>
      <c r="C25" s="195">
        <f>(SUM(G20:G23)/SUM(F20:F23))</f>
        <v>4.8</v>
      </c>
      <c r="D25" s="195"/>
      <c r="E25" s="195"/>
      <c r="F25" s="196" t="s">
        <v>32</v>
      </c>
      <c r="G25" s="196"/>
      <c r="H25" s="98"/>
      <c r="I25" s="190"/>
      <c r="J25" s="190"/>
      <c r="K25" s="197"/>
      <c r="L25" s="15"/>
      <c r="M25" s="15"/>
      <c r="N25" s="15"/>
      <c r="O25" s="15"/>
    </row>
    <row r="26" spans="2:15" ht="16.5" thickBot="1" x14ac:dyDescent="0.3">
      <c r="B26" s="198"/>
      <c r="C26" s="199"/>
      <c r="D26" s="199"/>
      <c r="E26" s="199"/>
      <c r="F26" s="199"/>
      <c r="G26" s="199"/>
      <c r="H26" s="200"/>
      <c r="I26" s="200"/>
      <c r="J26" s="200"/>
      <c r="K26" s="201"/>
      <c r="L26" s="15"/>
      <c r="M26" s="15"/>
      <c r="N26" s="15"/>
      <c r="O26" s="15"/>
    </row>
    <row r="27" spans="2:15" ht="32.25" thickBot="1" x14ac:dyDescent="0.3">
      <c r="B27" s="95" t="s">
        <v>67</v>
      </c>
      <c r="C27" s="16">
        <f t="shared" ref="C27:C30" si="15">(D27+E27)/2</f>
        <v>16</v>
      </c>
      <c r="D27" s="205">
        <v>16</v>
      </c>
      <c r="E27" s="206">
        <v>16</v>
      </c>
      <c r="F27" s="17">
        <v>1</v>
      </c>
      <c r="G27" s="18">
        <f t="shared" ref="G27:G30" si="16">C27*F27</f>
        <v>16</v>
      </c>
      <c r="H27" s="202">
        <v>16</v>
      </c>
      <c r="I27" s="203">
        <v>16</v>
      </c>
      <c r="J27" s="35"/>
      <c r="K27" s="16" t="str">
        <f t="shared" ref="K27:K30" si="17">IF(C27&lt;10,"D",IF(C27&lt;12,"C",IF(C27&lt;14,"C+",IF(C27&lt;15,"B",IF(C27&lt;16,"B+",IF(C27&lt;18,"A",IF(C27&lt;20,"A+")))))))</f>
        <v>A</v>
      </c>
      <c r="L27" s="15"/>
      <c r="M27" s="15"/>
      <c r="N27" s="19">
        <f t="shared" ref="N27:N30" si="18">D27*F27</f>
        <v>16</v>
      </c>
      <c r="O27" s="19">
        <f t="shared" ref="O27:O30" si="19">E27*F27</f>
        <v>16</v>
      </c>
    </row>
    <row r="28" spans="2:15" ht="32.25" thickBot="1" x14ac:dyDescent="0.3">
      <c r="B28" s="95" t="s">
        <v>122</v>
      </c>
      <c r="C28" s="16">
        <f t="shared" si="15"/>
        <v>15</v>
      </c>
      <c r="D28" s="205">
        <v>15</v>
      </c>
      <c r="E28" s="206">
        <v>15</v>
      </c>
      <c r="F28" s="17">
        <v>2</v>
      </c>
      <c r="G28" s="18">
        <f t="shared" si="16"/>
        <v>30</v>
      </c>
      <c r="H28" s="202">
        <v>15.846153846153847</v>
      </c>
      <c r="I28" s="203">
        <v>15.846153846153847</v>
      </c>
      <c r="J28" s="35"/>
      <c r="K28" s="16" t="str">
        <f t="shared" si="17"/>
        <v>B+</v>
      </c>
      <c r="L28" s="15"/>
      <c r="M28" s="15"/>
      <c r="N28" s="19">
        <f t="shared" si="18"/>
        <v>30</v>
      </c>
      <c r="O28" s="19">
        <f t="shared" si="19"/>
        <v>30</v>
      </c>
    </row>
    <row r="29" spans="2:15" ht="32.25" thickBot="1" x14ac:dyDescent="0.3">
      <c r="B29" s="95" t="s">
        <v>72</v>
      </c>
      <c r="C29" s="16">
        <f t="shared" si="15"/>
        <v>10</v>
      </c>
      <c r="D29" s="205">
        <v>10</v>
      </c>
      <c r="E29" s="206">
        <v>10</v>
      </c>
      <c r="F29" s="17">
        <v>1</v>
      </c>
      <c r="G29" s="18">
        <f t="shared" si="16"/>
        <v>10</v>
      </c>
      <c r="H29" s="202">
        <v>12.76923076923077</v>
      </c>
      <c r="I29" s="203">
        <v>12.76923076923077</v>
      </c>
      <c r="J29" s="35"/>
      <c r="K29" s="16" t="str">
        <f t="shared" si="17"/>
        <v>C</v>
      </c>
      <c r="L29" s="15"/>
      <c r="M29" s="15"/>
      <c r="N29" s="19">
        <f t="shared" si="18"/>
        <v>10</v>
      </c>
      <c r="O29" s="19">
        <f t="shared" si="19"/>
        <v>10</v>
      </c>
    </row>
    <row r="30" spans="2:15" ht="32.25" thickBot="1" x14ac:dyDescent="0.3">
      <c r="B30" s="95" t="s">
        <v>121</v>
      </c>
      <c r="C30" s="16">
        <f>D30</f>
        <v>17</v>
      </c>
      <c r="D30" s="205">
        <v>17</v>
      </c>
      <c r="E30" s="206"/>
      <c r="F30" s="17">
        <v>1</v>
      </c>
      <c r="G30" s="18">
        <f t="shared" si="16"/>
        <v>17</v>
      </c>
      <c r="H30" s="202">
        <v>17</v>
      </c>
      <c r="I30" s="203"/>
      <c r="J30" s="35"/>
      <c r="K30" s="16" t="str">
        <f t="shared" si="17"/>
        <v>A</v>
      </c>
      <c r="L30" s="15"/>
      <c r="M30" s="15"/>
      <c r="N30" s="19">
        <f t="shared" si="18"/>
        <v>17</v>
      </c>
      <c r="O30" s="19">
        <f t="shared" si="19"/>
        <v>0</v>
      </c>
    </row>
    <row r="31" spans="2:15" ht="16.5" thickBot="1" x14ac:dyDescent="0.3">
      <c r="B31" s="95" t="s">
        <v>36</v>
      </c>
      <c r="C31" s="96"/>
      <c r="D31" s="96"/>
      <c r="E31" s="96"/>
      <c r="F31" s="96"/>
      <c r="G31" s="96"/>
      <c r="H31" s="96"/>
      <c r="I31" s="96"/>
      <c r="J31" s="96"/>
      <c r="K31" s="97"/>
      <c r="L31" s="15"/>
      <c r="M31" s="15"/>
      <c r="N31" s="15">
        <f>SUM(N5:N30)</f>
        <v>262</v>
      </c>
      <c r="O31" s="15">
        <f>SUM(O5:O30)</f>
        <v>245</v>
      </c>
    </row>
    <row r="32" spans="2:15" ht="16.5" thickBot="1" x14ac:dyDescent="0.3">
      <c r="B32" s="21" t="s">
        <v>34</v>
      </c>
      <c r="C32" s="195">
        <f>(SUM(G27:G30)/SUM(F27:F30))</f>
        <v>14.6</v>
      </c>
      <c r="D32" s="195"/>
      <c r="E32" s="195"/>
      <c r="F32" s="204" t="s">
        <v>32</v>
      </c>
      <c r="G32" s="204"/>
      <c r="H32" s="99"/>
      <c r="I32" s="163"/>
      <c r="J32" s="163"/>
      <c r="K32" s="164"/>
      <c r="L32" s="15"/>
      <c r="M32" s="15"/>
      <c r="N32" s="15">
        <v>31</v>
      </c>
      <c r="O32" s="15">
        <v>31</v>
      </c>
    </row>
    <row r="33" spans="2:15" ht="16.5" thickBot="1" x14ac:dyDescent="0.3">
      <c r="B33" s="178"/>
      <c r="C33" s="179"/>
      <c r="D33" s="179"/>
      <c r="E33" s="179"/>
      <c r="F33" s="179"/>
      <c r="G33" s="179"/>
      <c r="H33" s="179"/>
      <c r="I33" s="179"/>
      <c r="J33" s="179"/>
      <c r="K33" s="180"/>
      <c r="L33" s="15"/>
      <c r="M33" s="15"/>
      <c r="N33" s="15">
        <f>N31/N32</f>
        <v>8.4516129032258061</v>
      </c>
      <c r="O33" s="15">
        <f>O31/O32</f>
        <v>7.903225806451613</v>
      </c>
    </row>
    <row r="34" spans="2:15" ht="48" thickBot="1" x14ac:dyDescent="0.3">
      <c r="B34" s="22" t="s">
        <v>37</v>
      </c>
      <c r="C34" s="23" t="s">
        <v>38</v>
      </c>
      <c r="D34" s="99">
        <v>10.220000000000001</v>
      </c>
      <c r="E34" s="24" t="s">
        <v>39</v>
      </c>
      <c r="F34" s="190">
        <v>11.9</v>
      </c>
      <c r="G34" s="190"/>
      <c r="H34" s="24" t="s">
        <v>40</v>
      </c>
      <c r="I34" s="190">
        <v>8.4499999999999993</v>
      </c>
      <c r="J34" s="190"/>
      <c r="K34" s="25"/>
      <c r="L34" s="26"/>
      <c r="M34" s="26"/>
      <c r="N34" s="26"/>
      <c r="O34" s="26"/>
    </row>
    <row r="35" spans="2:15" ht="15.75" x14ac:dyDescent="0.25">
      <c r="B35" s="74"/>
      <c r="C35" s="193" t="s">
        <v>130</v>
      </c>
      <c r="D35" s="193"/>
      <c r="E35" s="75"/>
      <c r="F35" s="75"/>
      <c r="G35" s="76"/>
      <c r="H35" s="145"/>
      <c r="I35" s="146"/>
      <c r="J35" s="146"/>
      <c r="K35" s="147"/>
      <c r="L35" s="15"/>
      <c r="M35" s="15"/>
      <c r="N35" s="15"/>
      <c r="O35" s="15"/>
    </row>
    <row r="36" spans="2:15" ht="15.75" x14ac:dyDescent="0.25">
      <c r="B36" s="77" t="s">
        <v>41</v>
      </c>
      <c r="C36" s="194">
        <f>N33</f>
        <v>8.4516129032258061</v>
      </c>
      <c r="D36" s="194"/>
      <c r="E36" s="79" t="s">
        <v>131</v>
      </c>
      <c r="F36" s="80">
        <f>(G5+G6+G7+G8+G9+G13+G14+G15+G20+G16+G21+G22+G23+G27+G28+G29+G30)/31</f>
        <v>8.4516129032258061</v>
      </c>
      <c r="G36" s="81" t="s">
        <v>42</v>
      </c>
      <c r="H36" s="191" t="s">
        <v>43</v>
      </c>
      <c r="I36" s="192"/>
      <c r="J36" s="27" t="s">
        <v>153</v>
      </c>
      <c r="K36" s="28" t="s">
        <v>113</v>
      </c>
      <c r="L36" s="15"/>
      <c r="M36" s="15"/>
      <c r="N36" s="15"/>
      <c r="O36" s="15"/>
    </row>
    <row r="37" spans="2:15" ht="12.75" customHeight="1" x14ac:dyDescent="0.25">
      <c r="B37" s="77"/>
      <c r="C37" s="78"/>
      <c r="D37" s="78"/>
      <c r="E37" s="79"/>
      <c r="F37" s="80"/>
      <c r="G37" s="81"/>
      <c r="H37" s="100"/>
      <c r="I37" s="101"/>
      <c r="J37" s="27"/>
      <c r="K37" s="28"/>
      <c r="L37" s="15"/>
      <c r="M37" s="15"/>
      <c r="N37" s="15"/>
      <c r="O37" s="15"/>
    </row>
    <row r="38" spans="2:15" ht="18" customHeight="1" x14ac:dyDescent="0.25">
      <c r="B38" s="102" t="s">
        <v>132</v>
      </c>
      <c r="C38" s="103" t="s">
        <v>133</v>
      </c>
      <c r="D38" s="103" t="s">
        <v>134</v>
      </c>
      <c r="E38" s="104" t="s">
        <v>135</v>
      </c>
      <c r="F38" s="105">
        <f>AVERAGE(B39:C39:D39)</f>
        <v>8.3772043010752686</v>
      </c>
      <c r="G38" s="106" t="s">
        <v>42</v>
      </c>
      <c r="H38" s="171" t="s">
        <v>136</v>
      </c>
      <c r="I38" s="172"/>
      <c r="J38" s="173" t="s">
        <v>154</v>
      </c>
      <c r="K38" s="174"/>
      <c r="L38" s="15"/>
      <c r="M38" s="15"/>
      <c r="N38" s="15"/>
      <c r="O38" s="15"/>
    </row>
    <row r="39" spans="2:15" ht="23.25" customHeight="1" thickBot="1" x14ac:dyDescent="0.3">
      <c r="B39" s="107">
        <v>8.4499999999999993</v>
      </c>
      <c r="C39" s="108">
        <v>8.23</v>
      </c>
      <c r="D39" s="108">
        <f>F36</f>
        <v>8.4516129032258061</v>
      </c>
      <c r="E39" s="109"/>
      <c r="F39" s="110"/>
      <c r="G39" s="111"/>
      <c r="H39" s="101"/>
      <c r="I39" s="101"/>
      <c r="J39" s="27"/>
      <c r="K39" s="28"/>
      <c r="L39" s="15"/>
      <c r="M39" s="15"/>
      <c r="N39" s="15"/>
      <c r="O39" s="15"/>
    </row>
    <row r="40" spans="2:15" ht="16.5" thickBot="1" x14ac:dyDescent="0.3">
      <c r="B40" s="175" t="s">
        <v>44</v>
      </c>
      <c r="C40" s="176"/>
      <c r="D40" s="176"/>
      <c r="E40" s="176"/>
      <c r="F40" s="176"/>
      <c r="G40" s="176"/>
      <c r="H40" s="176"/>
      <c r="I40" s="176"/>
      <c r="J40" s="176"/>
      <c r="K40" s="177"/>
      <c r="L40" s="15"/>
      <c r="M40" s="15"/>
      <c r="N40" s="15"/>
      <c r="O40" s="15"/>
    </row>
    <row r="41" spans="2:15" ht="16.5" thickBot="1" x14ac:dyDescent="0.3">
      <c r="B41" s="162" t="s">
        <v>45</v>
      </c>
      <c r="C41" s="163"/>
      <c r="D41" s="163"/>
      <c r="E41" s="163"/>
      <c r="F41" s="163"/>
      <c r="G41" s="163"/>
      <c r="H41" s="163"/>
      <c r="I41" s="163"/>
      <c r="J41" s="163"/>
      <c r="K41" s="164"/>
      <c r="L41" s="15"/>
      <c r="M41" s="15"/>
      <c r="N41" s="15"/>
      <c r="O41" s="15"/>
    </row>
    <row r="42" spans="2:15" ht="16.5" thickBot="1" x14ac:dyDescent="0.3">
      <c r="B42" s="22" t="s">
        <v>46</v>
      </c>
      <c r="C42" s="178" t="s">
        <v>47</v>
      </c>
      <c r="D42" s="179"/>
      <c r="E42" s="180"/>
      <c r="F42" s="165" t="s">
        <v>48</v>
      </c>
      <c r="G42" s="166"/>
      <c r="H42" s="166"/>
      <c r="I42" s="166"/>
      <c r="J42" s="166"/>
      <c r="K42" s="167"/>
      <c r="L42" s="15"/>
      <c r="M42" s="15"/>
      <c r="N42" s="15"/>
      <c r="O42" s="15"/>
    </row>
    <row r="43" spans="2:15" ht="16.5" thickBot="1" x14ac:dyDescent="0.3">
      <c r="B43" s="29" t="s">
        <v>49</v>
      </c>
      <c r="C43" s="181" t="str">
        <f>IF(F38&lt;10,"CNA",IF(F38&lt;12,"CMA",IF(F38&lt;14,"CA",IF(F38&lt;16,"CBA",IF(F38&lt;20,"CTBA")))))</f>
        <v>CNA</v>
      </c>
      <c r="D43" s="182" t="e">
        <f>IF(#REF!&lt;10,"D",IF(#REF!&lt;12,"C",IF(#REF!&lt;14,"C+",IF(#REF!&lt;15,"B",IF(#REF!&lt;16,"B+",IF(#REF!&lt;18,"A",IF(#REF!&lt;20,"A+")))))))</f>
        <v>#REF!</v>
      </c>
      <c r="E43" s="183" t="e">
        <f>IF(#REF!&lt;10,"D",IF(#REF!&lt;12,"C",IF(#REF!&lt;14,"C+",IF(#REF!&lt;15,"B",IF(#REF!&lt;16,"B+",IF(#REF!&lt;18,"A",IF(#REF!&lt;20,"A+")))))))</f>
        <v>#REF!</v>
      </c>
      <c r="F43" s="168"/>
      <c r="G43" s="169"/>
      <c r="H43" s="169"/>
      <c r="I43" s="169"/>
      <c r="J43" s="169"/>
      <c r="K43" s="170"/>
      <c r="L43" s="15"/>
      <c r="M43" s="15"/>
      <c r="N43" s="15"/>
      <c r="O43" s="15"/>
    </row>
    <row r="44" spans="2:15" ht="16.5" thickBot="1" x14ac:dyDescent="0.3">
      <c r="B44" s="30" t="s">
        <v>50</v>
      </c>
      <c r="C44" s="184" t="e">
        <f>IF(#REF!&lt;10,"D",IF(#REF!&lt;12,"C",IF(#REF!&lt;14,"C+",IF(#REF!&lt;15,"B",IF(#REF!&lt;16,"B+",IF(#REF!&lt;18,"A",IF(#REF!&lt;20,"A+")))))))</f>
        <v>#REF!</v>
      </c>
      <c r="D44" s="185" t="e">
        <f>IF(#REF!&lt;10,"D",IF(#REF!&lt;12,"C",IF(#REF!&lt;14,"C+",IF(#REF!&lt;15,"B",IF(#REF!&lt;16,"B+",IF(#REF!&lt;18,"A",IF(#REF!&lt;20,"A+")))))))</f>
        <v>#REF!</v>
      </c>
      <c r="E44" s="186" t="e">
        <f>IF(#REF!&lt;10,"D",IF(#REF!&lt;12,"C",IF(#REF!&lt;14,"C+",IF(#REF!&lt;15,"B",IF(#REF!&lt;16,"B+",IF(#REF!&lt;18,"A",IF(#REF!&lt;20,"A+")))))))</f>
        <v>#REF!</v>
      </c>
      <c r="F44" s="162" t="s">
        <v>51</v>
      </c>
      <c r="G44" s="163"/>
      <c r="H44" s="163"/>
      <c r="I44" s="164"/>
      <c r="J44" s="165" t="s">
        <v>52</v>
      </c>
      <c r="K44" s="167"/>
      <c r="L44" s="15"/>
      <c r="M44" s="15"/>
      <c r="N44" s="15"/>
      <c r="O44" s="15"/>
    </row>
    <row r="45" spans="2:15" ht="16.5" thickBot="1" x14ac:dyDescent="0.3">
      <c r="B45" s="31" t="s">
        <v>53</v>
      </c>
      <c r="C45" s="187" t="e">
        <f>IF(#REF!&lt;10,"D",IF(#REF!&lt;12,"C",IF(#REF!&lt;14,"C+",IF(#REF!&lt;15,"B",IF(#REF!&lt;16,"B+",IF(#REF!&lt;18,"A",IF(#REF!&lt;20,"A+")))))))</f>
        <v>#REF!</v>
      </c>
      <c r="D45" s="188" t="e">
        <f>IF(#REF!&lt;10,"D",IF(#REF!&lt;12,"C",IF(#REF!&lt;14,"C+",IF(#REF!&lt;15,"B",IF(#REF!&lt;16,"B+",IF(#REF!&lt;18,"A",IF(#REF!&lt;20,"A+")))))))</f>
        <v>#REF!</v>
      </c>
      <c r="E45" s="189" t="e">
        <f>IF(#REF!&lt;10,"D",IF(#REF!&lt;12,"C",IF(#REF!&lt;14,"C+",IF(#REF!&lt;15,"B",IF(#REF!&lt;16,"B+",IF(#REF!&lt;18,"A",IF(#REF!&lt;20,"A+")))))))</f>
        <v>#REF!</v>
      </c>
      <c r="F45" s="162" t="s">
        <v>54</v>
      </c>
      <c r="G45" s="163"/>
      <c r="H45" s="163"/>
      <c r="I45" s="164"/>
      <c r="J45" s="160" t="s">
        <v>55</v>
      </c>
      <c r="K45" s="161"/>
      <c r="L45" s="15"/>
      <c r="M45" s="15"/>
      <c r="N45" s="15"/>
      <c r="O45" s="15"/>
    </row>
    <row r="46" spans="2:15" ht="16.5" thickBot="1" x14ac:dyDescent="0.3">
      <c r="B46" s="23" t="s">
        <v>56</v>
      </c>
      <c r="C46" s="165" t="s">
        <v>57</v>
      </c>
      <c r="D46" s="166"/>
      <c r="E46" s="167"/>
      <c r="F46" s="162" t="s">
        <v>58</v>
      </c>
      <c r="G46" s="163"/>
      <c r="H46" s="163"/>
      <c r="I46" s="164"/>
      <c r="J46" s="160"/>
      <c r="K46" s="161"/>
      <c r="L46" s="15"/>
      <c r="M46" s="15"/>
      <c r="N46" s="15"/>
      <c r="O46" s="15"/>
    </row>
    <row r="47" spans="2:15" ht="16.5" thickBot="1" x14ac:dyDescent="0.3">
      <c r="B47" s="23" t="s">
        <v>59</v>
      </c>
      <c r="C47" s="168"/>
      <c r="D47" s="169"/>
      <c r="E47" s="170"/>
      <c r="F47" s="162" t="s">
        <v>60</v>
      </c>
      <c r="G47" s="163"/>
      <c r="H47" s="163"/>
      <c r="I47" s="164"/>
      <c r="J47" s="154" t="s">
        <v>61</v>
      </c>
      <c r="K47" s="155"/>
      <c r="L47" s="15"/>
      <c r="M47" s="15"/>
      <c r="N47" s="15"/>
      <c r="O47" s="15"/>
    </row>
    <row r="48" spans="2:15" ht="31.5" x14ac:dyDescent="0.25">
      <c r="B48" s="22" t="s">
        <v>62</v>
      </c>
      <c r="C48" s="145"/>
      <c r="D48" s="146"/>
      <c r="E48" s="147"/>
      <c r="F48" s="145"/>
      <c r="G48" s="146"/>
      <c r="H48" s="146"/>
      <c r="I48" s="147"/>
      <c r="J48" s="154" t="s">
        <v>63</v>
      </c>
      <c r="K48" s="155"/>
      <c r="L48" s="15"/>
      <c r="M48" s="15"/>
      <c r="N48" s="15"/>
      <c r="O48" s="15"/>
    </row>
    <row r="49" spans="2:15" ht="15.75" x14ac:dyDescent="0.25">
      <c r="B49" s="32"/>
      <c r="C49" s="148"/>
      <c r="D49" s="149"/>
      <c r="E49" s="150"/>
      <c r="F49" s="148"/>
      <c r="G49" s="149"/>
      <c r="H49" s="149"/>
      <c r="I49" s="150"/>
      <c r="J49" s="156"/>
      <c r="K49" s="157"/>
      <c r="L49" s="15"/>
      <c r="M49" s="15"/>
      <c r="N49" s="15"/>
      <c r="O49" s="15"/>
    </row>
    <row r="50" spans="2:15" ht="15.75" x14ac:dyDescent="0.25">
      <c r="B50" s="32"/>
      <c r="C50" s="148"/>
      <c r="D50" s="149"/>
      <c r="E50" s="150"/>
      <c r="F50" s="148"/>
      <c r="G50" s="149"/>
      <c r="H50" s="149"/>
      <c r="I50" s="150"/>
      <c r="J50" s="156"/>
      <c r="K50" s="157"/>
      <c r="L50" s="15"/>
      <c r="M50" s="15"/>
      <c r="N50" s="15"/>
      <c r="O50" s="15"/>
    </row>
    <row r="51" spans="2:15" ht="16.5" thickBot="1" x14ac:dyDescent="0.3">
      <c r="B51" s="31"/>
      <c r="C51" s="151"/>
      <c r="D51" s="152"/>
      <c r="E51" s="153"/>
      <c r="F51" s="151"/>
      <c r="G51" s="152"/>
      <c r="H51" s="152"/>
      <c r="I51" s="153"/>
      <c r="J51" s="158"/>
      <c r="K51" s="159"/>
      <c r="L51" s="15"/>
      <c r="M51" s="15"/>
      <c r="N51" s="15"/>
      <c r="O51" s="15"/>
    </row>
  </sheetData>
  <mergeCells count="83">
    <mergeCell ref="D28:E28"/>
    <mergeCell ref="D29:E29"/>
    <mergeCell ref="D30:E30"/>
    <mergeCell ref="C35:D35"/>
    <mergeCell ref="C36:D36"/>
    <mergeCell ref="B33:K33"/>
    <mergeCell ref="H28:I28"/>
    <mergeCell ref="H29:I29"/>
    <mergeCell ref="H30:I30"/>
    <mergeCell ref="C32:E32"/>
    <mergeCell ref="F32:G32"/>
    <mergeCell ref="I32:K32"/>
    <mergeCell ref="F34:G34"/>
    <mergeCell ref="I34:J34"/>
    <mergeCell ref="D27:E27"/>
    <mergeCell ref="B24:K24"/>
    <mergeCell ref="C25:E25"/>
    <mergeCell ref="F25:G25"/>
    <mergeCell ref="I25:K25"/>
    <mergeCell ref="B26:K26"/>
    <mergeCell ref="H27:I27"/>
    <mergeCell ref="D14:E14"/>
    <mergeCell ref="D15:E15"/>
    <mergeCell ref="D16:E16"/>
    <mergeCell ref="D20:E20"/>
    <mergeCell ref="D21:E21"/>
    <mergeCell ref="D6:E6"/>
    <mergeCell ref="D7:E7"/>
    <mergeCell ref="D8:E8"/>
    <mergeCell ref="D9:E9"/>
    <mergeCell ref="D13:E13"/>
    <mergeCell ref="H14:I14"/>
    <mergeCell ref="H15:I15"/>
    <mergeCell ref="H13:I13"/>
    <mergeCell ref="H4:I4"/>
    <mergeCell ref="H5:I5"/>
    <mergeCell ref="H6:I6"/>
    <mergeCell ref="H7:I7"/>
    <mergeCell ref="H8:I8"/>
    <mergeCell ref="H9:I9"/>
    <mergeCell ref="B10:K10"/>
    <mergeCell ref="C11:E11"/>
    <mergeCell ref="F11:G11"/>
    <mergeCell ref="I11:K11"/>
    <mergeCell ref="B12:K12"/>
    <mergeCell ref="D4:E4"/>
    <mergeCell ref="D5:E5"/>
    <mergeCell ref="H16:I16"/>
    <mergeCell ref="B17:K17"/>
    <mergeCell ref="C18:E18"/>
    <mergeCell ref="F18:G18"/>
    <mergeCell ref="I18:K18"/>
    <mergeCell ref="B19:K19"/>
    <mergeCell ref="H20:I20"/>
    <mergeCell ref="H21:I21"/>
    <mergeCell ref="H22:I22"/>
    <mergeCell ref="H23:I23"/>
    <mergeCell ref="D22:E22"/>
    <mergeCell ref="D23:E23"/>
    <mergeCell ref="H35:K35"/>
    <mergeCell ref="H36:I36"/>
    <mergeCell ref="H38:I38"/>
    <mergeCell ref="J38:K38"/>
    <mergeCell ref="B40:K40"/>
    <mergeCell ref="B41:K41"/>
    <mergeCell ref="C42:E42"/>
    <mergeCell ref="F42:K43"/>
    <mergeCell ref="C43:E45"/>
    <mergeCell ref="J46:K46"/>
    <mergeCell ref="F44:I44"/>
    <mergeCell ref="J44:K44"/>
    <mergeCell ref="F45:I45"/>
    <mergeCell ref="J45:K45"/>
    <mergeCell ref="J47:K47"/>
    <mergeCell ref="J48:K48"/>
    <mergeCell ref="J49:K49"/>
    <mergeCell ref="C46:E47"/>
    <mergeCell ref="F46:I46"/>
    <mergeCell ref="F47:I47"/>
    <mergeCell ref="C48:E51"/>
    <mergeCell ref="F48:I51"/>
    <mergeCell ref="J50:K50"/>
    <mergeCell ref="J51:K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SEQUENCE 5</vt:lpstr>
      <vt:lpstr>SEQUENCE 6</vt:lpstr>
      <vt:lpstr>BORDEREAU</vt:lpstr>
      <vt:lpstr>APOULIE</vt:lpstr>
      <vt:lpstr>ASSENA</vt:lpstr>
      <vt:lpstr>BISSO</vt:lpstr>
      <vt:lpstr>LOMA</vt:lpstr>
      <vt:lpstr>MADJI</vt:lpstr>
      <vt:lpstr>MANGWA</vt:lpstr>
      <vt:lpstr>MBARGA A.</vt:lpstr>
      <vt:lpstr>MBARGA N.</vt:lpstr>
      <vt:lpstr>MEKOUL</vt:lpstr>
      <vt:lpstr>MEWOULA</vt:lpstr>
      <vt:lpstr>MPENE</vt:lpstr>
      <vt:lpstr>NGECHEJI</vt:lpstr>
      <vt:lpstr>NKE</vt:lpstr>
      <vt:lpstr>NKENGUE</vt:lpstr>
      <vt:lpstr>POUGNONG</vt:lpstr>
      <vt:lpstr>SAMBOKOLONG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florampeck</dc:creator>
  <cp:lastModifiedBy>ch'croute</cp:lastModifiedBy>
  <dcterms:created xsi:type="dcterms:W3CDTF">2020-10-20T19:24:02Z</dcterms:created>
  <dcterms:modified xsi:type="dcterms:W3CDTF">2026-06-10T20:49:19Z</dcterms:modified>
</cp:coreProperties>
</file>