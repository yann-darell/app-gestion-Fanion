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'croute\Desktop\BULLETIN COPRIFAN\bulletin fanion 2025-2026\5e\Trim 2\"/>
    </mc:Choice>
  </mc:AlternateContent>
  <bookViews>
    <workbookView xWindow="360" yWindow="330" windowWidth="18675" windowHeight="8235" tabRatio="830" activeTab="4"/>
  </bookViews>
  <sheets>
    <sheet name="SEQUENCE 3" sheetId="16" r:id="rId1"/>
    <sheet name="SEQUENCE 4" sheetId="18" r:id="rId2"/>
    <sheet name="BORDEREAU" sheetId="19" r:id="rId3"/>
    <sheet name="BILICK " sheetId="21" r:id="rId4"/>
    <sheet name="MEKOULOU" sheetId="28" r:id="rId5"/>
    <sheet name="BILOA" sheetId="22" r:id="rId6"/>
    <sheet name="KIPO " sheetId="23" r:id="rId7"/>
    <sheet name="MAGNE" sheetId="24" r:id="rId8"/>
    <sheet name="NZOKOU" sheetId="25" r:id="rId9"/>
    <sheet name="YEMENI" sheetId="27" r:id="rId10"/>
  </sheets>
  <calcPr calcId="162913"/>
</workbook>
</file>

<file path=xl/calcChain.xml><?xml version="1.0" encoding="utf-8"?>
<calcChain xmlns="http://schemas.openxmlformats.org/spreadsheetml/2006/main">
  <c r="F42" i="28" l="1"/>
  <c r="E42" i="28"/>
  <c r="D42" i="28"/>
  <c r="F41" i="28"/>
  <c r="E41" i="28"/>
  <c r="D41" i="28"/>
  <c r="F40" i="28"/>
  <c r="E40" i="28"/>
  <c r="P29" i="28"/>
  <c r="O29" i="28"/>
  <c r="L29" i="28"/>
  <c r="H29" i="28"/>
  <c r="D29" i="28"/>
  <c r="P28" i="28"/>
  <c r="O28" i="28"/>
  <c r="D28" i="28"/>
  <c r="L28" i="28" s="1"/>
  <c r="P27" i="28"/>
  <c r="O27" i="28"/>
  <c r="D27" i="28"/>
  <c r="L27" i="28" s="1"/>
  <c r="P26" i="28"/>
  <c r="O26" i="28"/>
  <c r="D26" i="28"/>
  <c r="H26" i="28" s="1"/>
  <c r="P22" i="28"/>
  <c r="O22" i="28"/>
  <c r="D22" i="28"/>
  <c r="L22" i="28" s="1"/>
  <c r="P21" i="28"/>
  <c r="O21" i="28"/>
  <c r="D21" i="28"/>
  <c r="H21" i="28" s="1"/>
  <c r="P20" i="28"/>
  <c r="O20" i="28"/>
  <c r="D20" i="28"/>
  <c r="L20" i="28" s="1"/>
  <c r="P16" i="28"/>
  <c r="O16" i="28"/>
  <c r="D16" i="28"/>
  <c r="L16" i="28" s="1"/>
  <c r="P15" i="28"/>
  <c r="O15" i="28"/>
  <c r="D15" i="28"/>
  <c r="L15" i="28" s="1"/>
  <c r="P14" i="28"/>
  <c r="O14" i="28"/>
  <c r="L14" i="28"/>
  <c r="H14" i="28"/>
  <c r="D14" i="28"/>
  <c r="P13" i="28"/>
  <c r="O13" i="28"/>
  <c r="L13" i="28"/>
  <c r="D13" i="28"/>
  <c r="H13" i="28" s="1"/>
  <c r="P9" i="28"/>
  <c r="O9" i="28"/>
  <c r="D9" i="28"/>
  <c r="L9" i="28" s="1"/>
  <c r="P8" i="28"/>
  <c r="O8" i="28"/>
  <c r="D8" i="28"/>
  <c r="L8" i="28" s="1"/>
  <c r="P7" i="28"/>
  <c r="O7" i="28"/>
  <c r="D7" i="28"/>
  <c r="L7" i="28" s="1"/>
  <c r="P6" i="28"/>
  <c r="O6" i="28"/>
  <c r="D6" i="28"/>
  <c r="L6" i="28" s="1"/>
  <c r="P5" i="28"/>
  <c r="O5" i="28"/>
  <c r="D5" i="28"/>
  <c r="L5" i="28" s="1"/>
  <c r="F42" i="27"/>
  <c r="E42" i="27"/>
  <c r="D42" i="27"/>
  <c r="F41" i="27"/>
  <c r="E41" i="27"/>
  <c r="D41" i="27"/>
  <c r="F40" i="27"/>
  <c r="E40" i="27"/>
  <c r="P29" i="27"/>
  <c r="O29" i="27"/>
  <c r="L29" i="27"/>
  <c r="D29" i="27"/>
  <c r="H29" i="27" s="1"/>
  <c r="P28" i="27"/>
  <c r="O28" i="27"/>
  <c r="D28" i="27"/>
  <c r="L28" i="27" s="1"/>
  <c r="P27" i="27"/>
  <c r="O27" i="27"/>
  <c r="D27" i="27"/>
  <c r="L27" i="27" s="1"/>
  <c r="P26" i="27"/>
  <c r="O26" i="27"/>
  <c r="D26" i="27"/>
  <c r="L26" i="27" s="1"/>
  <c r="P22" i="27"/>
  <c r="O22" i="27"/>
  <c r="D22" i="27"/>
  <c r="L22" i="27" s="1"/>
  <c r="P21" i="27"/>
  <c r="O21" i="27"/>
  <c r="D21" i="27"/>
  <c r="L21" i="27" s="1"/>
  <c r="P20" i="27"/>
  <c r="O20" i="27"/>
  <c r="D20" i="27"/>
  <c r="L20" i="27" s="1"/>
  <c r="P16" i="27"/>
  <c r="O16" i="27"/>
  <c r="D16" i="27"/>
  <c r="L16" i="27" s="1"/>
  <c r="P15" i="27"/>
  <c r="O15" i="27"/>
  <c r="D15" i="27"/>
  <c r="L15" i="27" s="1"/>
  <c r="P14" i="27"/>
  <c r="O14" i="27"/>
  <c r="D14" i="27"/>
  <c r="L14" i="27" s="1"/>
  <c r="P13" i="27"/>
  <c r="O13" i="27"/>
  <c r="D13" i="27"/>
  <c r="H13" i="27" s="1"/>
  <c r="P9" i="27"/>
  <c r="O9" i="27"/>
  <c r="D9" i="27"/>
  <c r="L9" i="27" s="1"/>
  <c r="P8" i="27"/>
  <c r="O8" i="27"/>
  <c r="D8" i="27"/>
  <c r="H8" i="27" s="1"/>
  <c r="P7" i="27"/>
  <c r="O7" i="27"/>
  <c r="D7" i="27"/>
  <c r="H7" i="27" s="1"/>
  <c r="P6" i="27"/>
  <c r="O6" i="27"/>
  <c r="D6" i="27"/>
  <c r="L6" i="27" s="1"/>
  <c r="P5" i="27"/>
  <c r="O5" i="27"/>
  <c r="D5" i="27"/>
  <c r="L5" i="27" s="1"/>
  <c r="F42" i="25"/>
  <c r="E42" i="25"/>
  <c r="D42" i="25"/>
  <c r="F41" i="25"/>
  <c r="E41" i="25"/>
  <c r="D41" i="25"/>
  <c r="F40" i="25"/>
  <c r="E40" i="25"/>
  <c r="P29" i="25"/>
  <c r="O29" i="25"/>
  <c r="H29" i="25"/>
  <c r="P28" i="25"/>
  <c r="O28" i="25"/>
  <c r="L28" i="25"/>
  <c r="P27" i="25"/>
  <c r="O27" i="25"/>
  <c r="L27" i="25"/>
  <c r="P26" i="25"/>
  <c r="O26" i="25"/>
  <c r="L26" i="25"/>
  <c r="H26" i="25"/>
  <c r="P22" i="25"/>
  <c r="O22" i="25"/>
  <c r="L22" i="25"/>
  <c r="P21" i="25"/>
  <c r="O21" i="25"/>
  <c r="L21" i="25"/>
  <c r="P20" i="25"/>
  <c r="O20" i="25"/>
  <c r="H20" i="25"/>
  <c r="P16" i="25"/>
  <c r="O16" i="25"/>
  <c r="L16" i="25"/>
  <c r="P15" i="25"/>
  <c r="O15" i="25"/>
  <c r="L15" i="25"/>
  <c r="P14" i="25"/>
  <c r="O14" i="25"/>
  <c r="L14" i="25"/>
  <c r="H14" i="25"/>
  <c r="P13" i="25"/>
  <c r="O13" i="25"/>
  <c r="L13" i="25"/>
  <c r="H13" i="25"/>
  <c r="P9" i="25"/>
  <c r="O9" i="25"/>
  <c r="L9" i="25"/>
  <c r="P8" i="25"/>
  <c r="O8" i="25"/>
  <c r="L8" i="25"/>
  <c r="H8" i="25"/>
  <c r="P7" i="25"/>
  <c r="O7" i="25"/>
  <c r="L7" i="25"/>
  <c r="H7" i="25"/>
  <c r="P6" i="25"/>
  <c r="O6" i="25"/>
  <c r="L6" i="25"/>
  <c r="P5" i="25"/>
  <c r="P30" i="25" s="1"/>
  <c r="P32" i="25" s="1"/>
  <c r="O5" i="25"/>
  <c r="L5" i="25"/>
  <c r="F42" i="24"/>
  <c r="E42" i="24"/>
  <c r="D42" i="24"/>
  <c r="F41" i="24"/>
  <c r="E41" i="24"/>
  <c r="D41" i="24"/>
  <c r="F40" i="24"/>
  <c r="E40" i="24"/>
  <c r="P29" i="24"/>
  <c r="O29" i="24"/>
  <c r="L29" i="24"/>
  <c r="D29" i="24"/>
  <c r="H29" i="24" s="1"/>
  <c r="P28" i="24"/>
  <c r="O28" i="24"/>
  <c r="D28" i="24"/>
  <c r="L28" i="24" s="1"/>
  <c r="P27" i="24"/>
  <c r="O27" i="24"/>
  <c r="D27" i="24"/>
  <c r="L27" i="24" s="1"/>
  <c r="P26" i="24"/>
  <c r="O26" i="24"/>
  <c r="L26" i="24"/>
  <c r="H26" i="24"/>
  <c r="D26" i="24"/>
  <c r="P22" i="24"/>
  <c r="O22" i="24"/>
  <c r="D22" i="24"/>
  <c r="L22" i="24" s="1"/>
  <c r="P21" i="24"/>
  <c r="O21" i="24"/>
  <c r="D21" i="24"/>
  <c r="L21" i="24" s="1"/>
  <c r="P20" i="24"/>
  <c r="O20" i="24"/>
  <c r="L20" i="24"/>
  <c r="H20" i="24"/>
  <c r="D20" i="24"/>
  <c r="P16" i="24"/>
  <c r="O16" i="24"/>
  <c r="D16" i="24"/>
  <c r="L16" i="24" s="1"/>
  <c r="P15" i="24"/>
  <c r="O15" i="24"/>
  <c r="D15" i="24"/>
  <c r="L15" i="24" s="1"/>
  <c r="P14" i="24"/>
  <c r="O14" i="24"/>
  <c r="L14" i="24"/>
  <c r="H14" i="24"/>
  <c r="D14" i="24"/>
  <c r="P13" i="24"/>
  <c r="O13" i="24"/>
  <c r="L13" i="24"/>
  <c r="D13" i="24"/>
  <c r="H13" i="24" s="1"/>
  <c r="P9" i="24"/>
  <c r="O9" i="24"/>
  <c r="D9" i="24"/>
  <c r="L9" i="24" s="1"/>
  <c r="P8" i="24"/>
  <c r="O8" i="24"/>
  <c r="L8" i="24"/>
  <c r="H8" i="24"/>
  <c r="D8" i="24"/>
  <c r="P7" i="24"/>
  <c r="O7" i="24"/>
  <c r="L7" i="24"/>
  <c r="D7" i="24"/>
  <c r="H7" i="24" s="1"/>
  <c r="P6" i="24"/>
  <c r="O6" i="24"/>
  <c r="D6" i="24"/>
  <c r="L6" i="24" s="1"/>
  <c r="P5" i="24"/>
  <c r="P30" i="24" s="1"/>
  <c r="P32" i="24" s="1"/>
  <c r="E35" i="24" s="1"/>
  <c r="O5" i="24"/>
  <c r="O30" i="24" s="1"/>
  <c r="O32" i="24" s="1"/>
  <c r="D35" i="24" s="1"/>
  <c r="D5" i="24"/>
  <c r="L5" i="24" s="1"/>
  <c r="F42" i="23"/>
  <c r="E42" i="23"/>
  <c r="D42" i="23"/>
  <c r="F41" i="23"/>
  <c r="E41" i="23"/>
  <c r="D41" i="23"/>
  <c r="F40" i="23"/>
  <c r="E40" i="23"/>
  <c r="P29" i="23"/>
  <c r="O29" i="23"/>
  <c r="L29" i="23"/>
  <c r="D29" i="23"/>
  <c r="H29" i="23" s="1"/>
  <c r="P28" i="23"/>
  <c r="O28" i="23"/>
  <c r="D28" i="23"/>
  <c r="L28" i="23" s="1"/>
  <c r="P27" i="23"/>
  <c r="O27" i="23"/>
  <c r="D27" i="23"/>
  <c r="L27" i="23" s="1"/>
  <c r="P26" i="23"/>
  <c r="O26" i="23"/>
  <c r="L26" i="23"/>
  <c r="H26" i="23"/>
  <c r="D26" i="23"/>
  <c r="P22" i="23"/>
  <c r="O22" i="23"/>
  <c r="D22" i="23"/>
  <c r="L22" i="23" s="1"/>
  <c r="P21" i="23"/>
  <c r="O21" i="23"/>
  <c r="D21" i="23"/>
  <c r="L21" i="23" s="1"/>
  <c r="P20" i="23"/>
  <c r="O20" i="23"/>
  <c r="L20" i="23"/>
  <c r="H20" i="23"/>
  <c r="D20" i="23"/>
  <c r="P16" i="23"/>
  <c r="O16" i="23"/>
  <c r="D16" i="23"/>
  <c r="L16" i="23" s="1"/>
  <c r="P15" i="23"/>
  <c r="O15" i="23"/>
  <c r="D15" i="23"/>
  <c r="L15" i="23" s="1"/>
  <c r="P14" i="23"/>
  <c r="O14" i="23"/>
  <c r="L14" i="23"/>
  <c r="H14" i="23"/>
  <c r="D14" i="23"/>
  <c r="P13" i="23"/>
  <c r="O13" i="23"/>
  <c r="L13" i="23"/>
  <c r="D13" i="23"/>
  <c r="H13" i="23" s="1"/>
  <c r="P9" i="23"/>
  <c r="O9" i="23"/>
  <c r="D9" i="23"/>
  <c r="L9" i="23" s="1"/>
  <c r="P8" i="23"/>
  <c r="O8" i="23"/>
  <c r="L8" i="23"/>
  <c r="H8" i="23"/>
  <c r="D8" i="23"/>
  <c r="P7" i="23"/>
  <c r="O7" i="23"/>
  <c r="L7" i="23"/>
  <c r="D7" i="23"/>
  <c r="H7" i="23" s="1"/>
  <c r="P6" i="23"/>
  <c r="O6" i="23"/>
  <c r="D6" i="23"/>
  <c r="L6" i="23" s="1"/>
  <c r="P5" i="23"/>
  <c r="P30" i="23" s="1"/>
  <c r="P32" i="23" s="1"/>
  <c r="E35" i="23" s="1"/>
  <c r="O5" i="23"/>
  <c r="O30" i="23" s="1"/>
  <c r="O32" i="23" s="1"/>
  <c r="D35" i="23" s="1"/>
  <c r="D5" i="23"/>
  <c r="L5" i="23" s="1"/>
  <c r="F42" i="22"/>
  <c r="E42" i="22"/>
  <c r="D42" i="22"/>
  <c r="F41" i="22"/>
  <c r="E41" i="22"/>
  <c r="D41" i="22"/>
  <c r="F40" i="22"/>
  <c r="E40" i="22"/>
  <c r="P29" i="22"/>
  <c r="O29" i="22"/>
  <c r="L29" i="22"/>
  <c r="H29" i="22"/>
  <c r="D29" i="22"/>
  <c r="P28" i="22"/>
  <c r="O28" i="22"/>
  <c r="D28" i="22"/>
  <c r="L28" i="22" s="1"/>
  <c r="P27" i="22"/>
  <c r="O27" i="22"/>
  <c r="D27" i="22"/>
  <c r="H27" i="22" s="1"/>
  <c r="P26" i="22"/>
  <c r="O26" i="22"/>
  <c r="L26" i="22"/>
  <c r="H26" i="22"/>
  <c r="D26" i="22"/>
  <c r="P22" i="22"/>
  <c r="O22" i="22"/>
  <c r="D22" i="22"/>
  <c r="L22" i="22" s="1"/>
  <c r="P21" i="22"/>
  <c r="O21" i="22"/>
  <c r="D21" i="22"/>
  <c r="L21" i="22" s="1"/>
  <c r="P20" i="22"/>
  <c r="O20" i="22"/>
  <c r="L20" i="22"/>
  <c r="H20" i="22"/>
  <c r="D20" i="22"/>
  <c r="P16" i="22"/>
  <c r="O16" i="22"/>
  <c r="D16" i="22"/>
  <c r="L16" i="22" s="1"/>
  <c r="P15" i="22"/>
  <c r="O15" i="22"/>
  <c r="D15" i="22"/>
  <c r="L15" i="22" s="1"/>
  <c r="P14" i="22"/>
  <c r="O14" i="22"/>
  <c r="L14" i="22"/>
  <c r="H14" i="22"/>
  <c r="D14" i="22"/>
  <c r="P13" i="22"/>
  <c r="O13" i="22"/>
  <c r="L13" i="22"/>
  <c r="H13" i="22"/>
  <c r="D13" i="22"/>
  <c r="P9" i="22"/>
  <c r="O9" i="22"/>
  <c r="D9" i="22"/>
  <c r="L9" i="22" s="1"/>
  <c r="P8" i="22"/>
  <c r="O8" i="22"/>
  <c r="L8" i="22"/>
  <c r="H8" i="22"/>
  <c r="D8" i="22"/>
  <c r="P7" i="22"/>
  <c r="O7" i="22"/>
  <c r="L7" i="22"/>
  <c r="H7" i="22"/>
  <c r="D7" i="22"/>
  <c r="P6" i="22"/>
  <c r="O6" i="22"/>
  <c r="D6" i="22"/>
  <c r="L6" i="22" s="1"/>
  <c r="P5" i="22"/>
  <c r="P30" i="22" s="1"/>
  <c r="P32" i="22" s="1"/>
  <c r="E35" i="22" s="1"/>
  <c r="O5" i="22"/>
  <c r="O30" i="22" s="1"/>
  <c r="O32" i="22" s="1"/>
  <c r="D35" i="22" s="1"/>
  <c r="D5" i="22"/>
  <c r="H5" i="22" s="1"/>
  <c r="P75" i="19"/>
  <c r="G78" i="19"/>
  <c r="G77" i="19"/>
  <c r="P30" i="27" l="1"/>
  <c r="P32" i="27" s="1"/>
  <c r="E35" i="27" s="1"/>
  <c r="L8" i="27"/>
  <c r="H26" i="27"/>
  <c r="H14" i="27"/>
  <c r="L13" i="27"/>
  <c r="H20" i="27"/>
  <c r="O30" i="27"/>
  <c r="O32" i="27" s="1"/>
  <c r="D35" i="27" s="1"/>
  <c r="L7" i="27"/>
  <c r="L29" i="25"/>
  <c r="L20" i="25"/>
  <c r="O30" i="25"/>
  <c r="O32" i="25" s="1"/>
  <c r="D35" i="25" s="1"/>
  <c r="H20" i="28"/>
  <c r="P30" i="28"/>
  <c r="P32" i="28" s="1"/>
  <c r="E35" i="28" s="1"/>
  <c r="L26" i="28"/>
  <c r="H7" i="28"/>
  <c r="H8" i="28"/>
  <c r="O30" i="28"/>
  <c r="O32" i="28" s="1"/>
  <c r="D35" i="28" s="1"/>
  <c r="H5" i="28"/>
  <c r="H9" i="28"/>
  <c r="H15" i="28"/>
  <c r="H27" i="28"/>
  <c r="H6" i="28"/>
  <c r="H16" i="28"/>
  <c r="L21" i="28"/>
  <c r="H22" i="28"/>
  <c r="D24" i="28" s="1"/>
  <c r="H28" i="28"/>
  <c r="H5" i="27"/>
  <c r="H9" i="27"/>
  <c r="H15" i="27"/>
  <c r="H21" i="27"/>
  <c r="H27" i="27"/>
  <c r="H6" i="27"/>
  <c r="H16" i="27"/>
  <c r="H22" i="27"/>
  <c r="D24" i="27" s="1"/>
  <c r="H28" i="27"/>
  <c r="H5" i="25"/>
  <c r="H9" i="25"/>
  <c r="H15" i="25"/>
  <c r="H21" i="25"/>
  <c r="H27" i="25"/>
  <c r="H6" i="25"/>
  <c r="H16" i="25"/>
  <c r="H22" i="25"/>
  <c r="H28" i="25"/>
  <c r="H5" i="24"/>
  <c r="H9" i="24"/>
  <c r="H15" i="24"/>
  <c r="D18" i="24" s="1"/>
  <c r="H21" i="24"/>
  <c r="D24" i="24" s="1"/>
  <c r="H27" i="24"/>
  <c r="D31" i="24" s="1"/>
  <c r="H6" i="24"/>
  <c r="H16" i="24"/>
  <c r="H22" i="24"/>
  <c r="H28" i="24"/>
  <c r="H5" i="23"/>
  <c r="H9" i="23"/>
  <c r="H15" i="23"/>
  <c r="D18" i="23" s="1"/>
  <c r="H21" i="23"/>
  <c r="D24" i="23" s="1"/>
  <c r="H27" i="23"/>
  <c r="D31" i="23" s="1"/>
  <c r="H6" i="23"/>
  <c r="H16" i="23"/>
  <c r="H22" i="23"/>
  <c r="H28" i="23"/>
  <c r="D18" i="22"/>
  <c r="H9" i="22"/>
  <c r="H15" i="22"/>
  <c r="G35" i="22" s="1"/>
  <c r="D40" i="22" s="1"/>
  <c r="H21" i="22"/>
  <c r="D24" i="22" s="1"/>
  <c r="L5" i="22"/>
  <c r="H6" i="22"/>
  <c r="D11" i="22" s="1"/>
  <c r="H16" i="22"/>
  <c r="H22" i="22"/>
  <c r="L27" i="22"/>
  <c r="H28" i="22"/>
  <c r="D31" i="22" s="1"/>
  <c r="S53" i="19"/>
  <c r="P52" i="19"/>
  <c r="O52" i="19"/>
  <c r="Q52" i="19" s="1"/>
  <c r="R52" i="19" s="1"/>
  <c r="S52" i="19" s="1"/>
  <c r="K52" i="19"/>
  <c r="L52" i="19" s="1"/>
  <c r="I52" i="19"/>
  <c r="H52" i="19"/>
  <c r="J52" i="19" s="1"/>
  <c r="L53" i="19"/>
  <c r="E53" i="19"/>
  <c r="A40" i="19"/>
  <c r="A24" i="19"/>
  <c r="H48" i="19" s="1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18" i="27" l="1"/>
  <c r="D31" i="27"/>
  <c r="D31" i="25"/>
  <c r="D18" i="25"/>
  <c r="D24" i="25"/>
  <c r="D31" i="28"/>
  <c r="D18" i="28"/>
  <c r="G35" i="28"/>
  <c r="D40" i="28" s="1"/>
  <c r="D11" i="28"/>
  <c r="G35" i="27"/>
  <c r="D40" i="27" s="1"/>
  <c r="D11" i="27"/>
  <c r="G35" i="25"/>
  <c r="D40" i="25" s="1"/>
  <c r="D11" i="25"/>
  <c r="G35" i="24"/>
  <c r="D40" i="24" s="1"/>
  <c r="D11" i="24"/>
  <c r="G35" i="23"/>
  <c r="D40" i="23" s="1"/>
  <c r="D11" i="23"/>
  <c r="A6" i="19"/>
  <c r="A7" i="19"/>
  <c r="A8" i="19"/>
  <c r="A9" i="19" l="1"/>
  <c r="B52" i="19" s="1"/>
  <c r="D52" i="19" s="1"/>
  <c r="E52" i="19" s="1"/>
  <c r="A10" i="19"/>
  <c r="A11" i="19"/>
  <c r="A5" i="19"/>
  <c r="B46" i="19" s="1"/>
  <c r="A23" i="19"/>
  <c r="A19" i="19"/>
  <c r="A20" i="19"/>
  <c r="A21" i="19"/>
  <c r="A22" i="19"/>
  <c r="A18" i="19"/>
  <c r="C52" i="19" l="1"/>
  <c r="H46" i="19"/>
  <c r="C47" i="19"/>
  <c r="C48" i="19"/>
  <c r="B47" i="19"/>
  <c r="F42" i="21" l="1"/>
  <c r="E42" i="21"/>
  <c r="D42" i="21"/>
  <c r="F41" i="21"/>
  <c r="E41" i="21"/>
  <c r="D41" i="21"/>
  <c r="F40" i="21"/>
  <c r="E40" i="21"/>
  <c r="P29" i="21"/>
  <c r="O29" i="21"/>
  <c r="D29" i="21"/>
  <c r="H29" i="21" s="1"/>
  <c r="P28" i="21"/>
  <c r="O28" i="21"/>
  <c r="D28" i="21"/>
  <c r="L28" i="21" s="1"/>
  <c r="P27" i="21"/>
  <c r="O27" i="21"/>
  <c r="D27" i="21"/>
  <c r="L27" i="21" s="1"/>
  <c r="P26" i="21"/>
  <c r="O26" i="21"/>
  <c r="D26" i="21"/>
  <c r="L26" i="21" s="1"/>
  <c r="P22" i="21"/>
  <c r="O22" i="21"/>
  <c r="D22" i="21"/>
  <c r="L22" i="21" s="1"/>
  <c r="P21" i="21"/>
  <c r="O21" i="21"/>
  <c r="D21" i="21"/>
  <c r="L21" i="21" s="1"/>
  <c r="P20" i="21"/>
  <c r="O20" i="21"/>
  <c r="D20" i="21"/>
  <c r="H20" i="21" s="1"/>
  <c r="P16" i="21"/>
  <c r="O16" i="21"/>
  <c r="D16" i="21"/>
  <c r="L16" i="21" s="1"/>
  <c r="P15" i="21"/>
  <c r="O15" i="21"/>
  <c r="D15" i="21"/>
  <c r="L15" i="21" s="1"/>
  <c r="P14" i="21"/>
  <c r="O14" i="21"/>
  <c r="D14" i="21"/>
  <c r="H14" i="21" s="1"/>
  <c r="P13" i="21"/>
  <c r="O13" i="21"/>
  <c r="D13" i="21"/>
  <c r="H13" i="21" s="1"/>
  <c r="P9" i="21"/>
  <c r="O9" i="21"/>
  <c r="D9" i="21"/>
  <c r="L9" i="21" s="1"/>
  <c r="P8" i="21"/>
  <c r="O8" i="21"/>
  <c r="D8" i="21"/>
  <c r="H8" i="21" s="1"/>
  <c r="P7" i="21"/>
  <c r="O7" i="21"/>
  <c r="D7" i="21"/>
  <c r="H7" i="21" s="1"/>
  <c r="P6" i="21"/>
  <c r="O6" i="21"/>
  <c r="D6" i="21"/>
  <c r="L6" i="21" s="1"/>
  <c r="P5" i="21"/>
  <c r="O5" i="21"/>
  <c r="D5" i="21"/>
  <c r="L5" i="21" s="1"/>
  <c r="L29" i="21" l="1"/>
  <c r="L20" i="21"/>
  <c r="L8" i="21"/>
  <c r="P30" i="21"/>
  <c r="P32" i="21" s="1"/>
  <c r="E35" i="21" s="1"/>
  <c r="H26" i="21"/>
  <c r="L14" i="21"/>
  <c r="L13" i="21"/>
  <c r="L7" i="21"/>
  <c r="O30" i="21"/>
  <c r="O32" i="21" s="1"/>
  <c r="D35" i="21" s="1"/>
  <c r="H9" i="21"/>
  <c r="H21" i="21"/>
  <c r="H5" i="21"/>
  <c r="H15" i="21"/>
  <c r="H27" i="21"/>
  <c r="H6" i="21"/>
  <c r="H16" i="21"/>
  <c r="H22" i="21"/>
  <c r="H28" i="21"/>
  <c r="D31" i="21" l="1"/>
  <c r="D24" i="21"/>
  <c r="D18" i="21"/>
  <c r="G35" i="21"/>
  <c r="D40" i="21" s="1"/>
  <c r="D11" i="21"/>
  <c r="H51" i="19"/>
  <c r="H49" i="19"/>
  <c r="H47" i="19" l="1"/>
  <c r="I47" i="19" s="1"/>
  <c r="J48" i="19"/>
  <c r="K48" i="19" s="1"/>
  <c r="I51" i="19"/>
  <c r="J51" i="19"/>
  <c r="K51" i="19" s="1"/>
  <c r="I49" i="19"/>
  <c r="J49" i="19"/>
  <c r="K49" i="19" s="1"/>
  <c r="H50" i="19"/>
  <c r="B38" i="16"/>
  <c r="J47" i="19" l="1"/>
  <c r="K47" i="19" s="1"/>
  <c r="I48" i="19"/>
  <c r="I50" i="19"/>
  <c r="J50" i="19"/>
  <c r="K50" i="19" s="1"/>
  <c r="J46" i="19"/>
  <c r="K46" i="19" s="1"/>
  <c r="I46" i="19"/>
  <c r="B34" i="16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S37" i="18" l="1"/>
  <c r="T37" i="18" s="1"/>
  <c r="D33" i="19"/>
  <c r="C33" i="19"/>
  <c r="D17" i="19"/>
  <c r="C17" i="19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S35" i="16" l="1"/>
  <c r="T35" i="16" s="1"/>
  <c r="F35" i="18" l="1"/>
  <c r="F37" i="16" l="1"/>
  <c r="U12" i="19" l="1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L49" i="19" l="1"/>
  <c r="L50" i="19"/>
  <c r="L47" i="19"/>
  <c r="L48" i="19"/>
  <c r="L51" i="19"/>
  <c r="L46" i="19"/>
  <c r="U39" i="19"/>
  <c r="U34" i="19"/>
  <c r="A35" i="19" l="1"/>
  <c r="A36" i="19"/>
  <c r="A37" i="19"/>
  <c r="A34" i="19"/>
  <c r="A38" i="19"/>
  <c r="A39" i="19"/>
  <c r="C51" i="19"/>
  <c r="B50" i="19"/>
  <c r="D50" i="19" s="1"/>
  <c r="E50" i="19" s="1"/>
  <c r="C50" i="19"/>
  <c r="C49" i="19"/>
  <c r="D47" i="19"/>
  <c r="E47" i="19" s="1"/>
  <c r="B49" i="19"/>
  <c r="D49" i="19" s="1"/>
  <c r="E49" i="19" s="1"/>
  <c r="B48" i="19"/>
  <c r="D48" i="19" s="1"/>
  <c r="E48" i="19" s="1"/>
  <c r="C46" i="19"/>
  <c r="B51" i="19"/>
  <c r="D51" i="19" s="1"/>
  <c r="E51" i="19" s="1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O50" i="19" l="1"/>
  <c r="P50" i="19" s="1"/>
  <c r="O51" i="19"/>
  <c r="P51" i="19" s="1"/>
  <c r="Q51" i="19" s="1"/>
  <c r="R51" i="19" s="1"/>
  <c r="S51" i="19" s="1"/>
  <c r="O48" i="19"/>
  <c r="Q50" i="19"/>
  <c r="R50" i="19" s="1"/>
  <c r="S50" i="19" s="1"/>
  <c r="O47" i="19"/>
  <c r="O49" i="19"/>
  <c r="O46" i="19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T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S48" i="18" s="1"/>
  <c r="T48" i="18" s="1"/>
  <c r="B48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S40" i="18" s="1"/>
  <c r="T40" i="18" s="1"/>
  <c r="B40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37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E35" i="18"/>
  <c r="D35" i="18"/>
  <c r="C35" i="18"/>
  <c r="B35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A34" i="18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29" i="18"/>
  <c r="B57" i="18" s="1"/>
  <c r="B28" i="18"/>
  <c r="B56" i="18" s="1"/>
  <c r="B27" i="18"/>
  <c r="B55" i="18" s="1"/>
  <c r="B26" i="18"/>
  <c r="B54" i="18" s="1"/>
  <c r="B25" i="18"/>
  <c r="B53" i="18" s="1"/>
  <c r="B24" i="18"/>
  <c r="B52" i="18" s="1"/>
  <c r="B23" i="18"/>
  <c r="B51" i="18" s="1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M52" i="16"/>
  <c r="M51" i="16"/>
  <c r="M50" i="16"/>
  <c r="M49" i="16"/>
  <c r="M48" i="16"/>
  <c r="M47" i="16"/>
  <c r="M46" i="16"/>
  <c r="M45" i="16"/>
  <c r="M44" i="16"/>
  <c r="M43" i="16"/>
  <c r="M42" i="16"/>
  <c r="M41" i="16"/>
  <c r="M40" i="16"/>
  <c r="M39" i="16"/>
  <c r="M38" i="16"/>
  <c r="M37" i="16"/>
  <c r="M36" i="16"/>
  <c r="M34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4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4" i="16"/>
  <c r="T51" i="16"/>
  <c r="F43" i="16"/>
  <c r="F42" i="16"/>
  <c r="F41" i="16"/>
  <c r="F40" i="16"/>
  <c r="F39" i="16"/>
  <c r="F38" i="16"/>
  <c r="F36" i="16"/>
  <c r="F34" i="16"/>
  <c r="Q46" i="19" l="1"/>
  <c r="R46" i="19" s="1"/>
  <c r="S46" i="19" s="1"/>
  <c r="P46" i="19"/>
  <c r="P47" i="19"/>
  <c r="Q47" i="19"/>
  <c r="R47" i="19" s="1"/>
  <c r="S47" i="19" s="1"/>
  <c r="P49" i="19"/>
  <c r="Q49" i="19"/>
  <c r="R49" i="19" s="1"/>
  <c r="S49" i="19" s="1"/>
  <c r="P48" i="19"/>
  <c r="Q48" i="19"/>
  <c r="R48" i="19" s="1"/>
  <c r="S48" i="19" s="1"/>
  <c r="S44" i="18"/>
  <c r="T44" i="18" s="1"/>
  <c r="S41" i="18"/>
  <c r="T41" i="18" s="1"/>
  <c r="S42" i="18"/>
  <c r="T42" i="18" s="1"/>
  <c r="S46" i="18"/>
  <c r="T46" i="18" s="1"/>
  <c r="S45" i="18"/>
  <c r="T45" i="18" s="1"/>
  <c r="S43" i="18"/>
  <c r="T43" i="18" s="1"/>
  <c r="S47" i="18"/>
  <c r="T47" i="18" s="1"/>
  <c r="S50" i="18"/>
  <c r="T50" i="18" s="1"/>
  <c r="S33" i="18"/>
  <c r="T33" i="18" s="1"/>
  <c r="S36" i="18"/>
  <c r="T36" i="18" s="1"/>
  <c r="S30" i="18"/>
  <c r="S34" i="18"/>
  <c r="T34" i="18" s="1"/>
  <c r="S38" i="18"/>
  <c r="T38" i="18" s="1"/>
  <c r="S35" i="18"/>
  <c r="T35" i="18" s="1"/>
  <c r="S39" i="18"/>
  <c r="T39" i="18" s="1"/>
  <c r="T58" i="18" l="1"/>
  <c r="F34" i="19" l="1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E34" i="19"/>
  <c r="P41" i="19" l="1"/>
  <c r="L41" i="19"/>
  <c r="T41" i="19"/>
  <c r="H41" i="19"/>
  <c r="Q41" i="19"/>
  <c r="M41" i="19"/>
  <c r="I41" i="19"/>
  <c r="E41" i="19"/>
  <c r="S41" i="19"/>
  <c r="O41" i="19"/>
  <c r="K41" i="19"/>
  <c r="G41" i="19"/>
  <c r="R41" i="19"/>
  <c r="N41" i="19"/>
  <c r="J41" i="19"/>
  <c r="F41" i="19"/>
  <c r="U25" i="19"/>
  <c r="U41" i="19" l="1"/>
  <c r="M28" i="19"/>
  <c r="T28" i="19"/>
  <c r="P28" i="19"/>
  <c r="H28" i="19"/>
  <c r="S28" i="19"/>
  <c r="O28" i="19"/>
  <c r="K28" i="19"/>
  <c r="G28" i="19"/>
  <c r="U28" i="19"/>
  <c r="Q28" i="19"/>
  <c r="I28" i="19"/>
  <c r="L28" i="19"/>
  <c r="E28" i="19"/>
  <c r="R28" i="19"/>
  <c r="N28" i="19"/>
  <c r="J28" i="19"/>
  <c r="F28" i="19"/>
  <c r="R37" i="16" l="1"/>
  <c r="R40" i="16"/>
  <c r="R43" i="16"/>
  <c r="R45" i="16"/>
  <c r="R49" i="16"/>
  <c r="R34" i="16"/>
  <c r="R36" i="16"/>
  <c r="R38" i="16"/>
  <c r="R39" i="16"/>
  <c r="R41" i="16"/>
  <c r="R42" i="16"/>
  <c r="R44" i="16"/>
  <c r="R46" i="16"/>
  <c r="R47" i="16"/>
  <c r="R48" i="16"/>
  <c r="R52" i="16"/>
  <c r="A35" i="16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B30" i="16"/>
  <c r="B59" i="16" s="1"/>
  <c r="B29" i="16"/>
  <c r="B58" i="16" s="1"/>
  <c r="B28" i="16"/>
  <c r="B57" i="16" s="1"/>
  <c r="B27" i="16"/>
  <c r="B56" i="16" s="1"/>
  <c r="B26" i="16"/>
  <c r="B55" i="16" s="1"/>
  <c r="B25" i="16"/>
  <c r="B54" i="16" s="1"/>
  <c r="B24" i="16"/>
  <c r="B53" i="16" s="1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7" i="16"/>
  <c r="B3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R31" i="16" l="1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F52" i="16"/>
  <c r="F51" i="16"/>
  <c r="F50" i="16"/>
  <c r="F49" i="16"/>
  <c r="F48" i="16"/>
  <c r="F47" i="16"/>
  <c r="F46" i="16"/>
  <c r="F45" i="16"/>
  <c r="F44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P52" i="16"/>
  <c r="P51" i="16"/>
  <c r="P50" i="16"/>
  <c r="P49" i="16"/>
  <c r="P48" i="16"/>
  <c r="P47" i="16"/>
  <c r="P46" i="16"/>
  <c r="P45" i="16"/>
  <c r="P44" i="16"/>
  <c r="P43" i="16"/>
  <c r="P42" i="16"/>
  <c r="P41" i="16"/>
  <c r="P40" i="16"/>
  <c r="P39" i="16"/>
  <c r="P38" i="16"/>
  <c r="P37" i="16"/>
  <c r="P36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39" i="16"/>
  <c r="O38" i="16"/>
  <c r="O37" i="16"/>
  <c r="O36" i="16"/>
  <c r="O34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Q52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4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H34" i="16" l="1"/>
  <c r="H31" i="16"/>
  <c r="M31" i="16"/>
  <c r="Q34" i="16"/>
  <c r="Q31" i="16"/>
  <c r="C34" i="16"/>
  <c r="C31" i="16"/>
  <c r="G34" i="16"/>
  <c r="G31" i="16"/>
  <c r="I34" i="16"/>
  <c r="I31" i="16"/>
  <c r="K31" i="16"/>
  <c r="E34" i="16"/>
  <c r="E31" i="16"/>
  <c r="D34" i="16"/>
  <c r="D31" i="16"/>
  <c r="F31" i="16"/>
  <c r="O31" i="16"/>
  <c r="O40" i="16"/>
  <c r="S40" i="16" s="1"/>
  <c r="T40" i="16" s="1"/>
  <c r="J36" i="16"/>
  <c r="S36" i="16" s="1"/>
  <c r="T36" i="16" s="1"/>
  <c r="J31" i="16"/>
  <c r="N31" i="16"/>
  <c r="N34" i="16"/>
  <c r="P31" i="16"/>
  <c r="P34" i="16"/>
  <c r="L31" i="16"/>
  <c r="S41" i="16"/>
  <c r="T41" i="16" s="1"/>
  <c r="S37" i="16"/>
  <c r="T37" i="16" s="1"/>
  <c r="S39" i="16"/>
  <c r="T39" i="16" s="1"/>
  <c r="S43" i="16"/>
  <c r="T43" i="16" s="1"/>
  <c r="S42" i="16"/>
  <c r="T42" i="16" s="1"/>
  <c r="S44" i="16"/>
  <c r="T44" i="16" s="1"/>
  <c r="S46" i="16"/>
  <c r="T46" i="16" s="1"/>
  <c r="S50" i="16"/>
  <c r="T50" i="16" s="1"/>
  <c r="S52" i="16"/>
  <c r="T52" i="16" s="1"/>
  <c r="S38" i="16"/>
  <c r="T38" i="16" s="1"/>
  <c r="S48" i="16"/>
  <c r="T48" i="16" s="1"/>
  <c r="S49" i="16"/>
  <c r="T49" i="16" s="1"/>
  <c r="S45" i="16"/>
  <c r="T45" i="16" s="1"/>
  <c r="S47" i="16"/>
  <c r="T47" i="16" s="1"/>
  <c r="S31" i="16" l="1"/>
  <c r="S34" i="16"/>
  <c r="T34" i="16" l="1"/>
  <c r="T60" i="16" s="1"/>
  <c r="D46" i="19" l="1"/>
  <c r="E46" i="19" s="1"/>
</calcChain>
</file>

<file path=xl/sharedStrings.xml><?xml version="1.0" encoding="utf-8"?>
<sst xmlns="http://schemas.openxmlformats.org/spreadsheetml/2006/main" count="1043" uniqueCount="140">
  <si>
    <t>Noms et Prénoms</t>
  </si>
  <si>
    <t>Anglais</t>
  </si>
  <si>
    <t>N°</t>
  </si>
  <si>
    <t>SVTEEHB</t>
  </si>
  <si>
    <t>ECM</t>
  </si>
  <si>
    <t>EAC</t>
  </si>
  <si>
    <t>EPS</t>
  </si>
  <si>
    <t>ESF</t>
  </si>
  <si>
    <t>LCN</t>
  </si>
  <si>
    <t>Exp Ecr</t>
  </si>
  <si>
    <t>Infos</t>
  </si>
  <si>
    <t>Maths</t>
  </si>
  <si>
    <t>Géo</t>
  </si>
  <si>
    <t>Hist</t>
  </si>
  <si>
    <t>TM</t>
  </si>
  <si>
    <t>Exp Ora</t>
  </si>
  <si>
    <t>Cor ort</t>
  </si>
  <si>
    <t>Etu tex</t>
  </si>
  <si>
    <t>TOTAL</t>
  </si>
  <si>
    <t>MOYENNE</t>
  </si>
  <si>
    <t>MOY</t>
  </si>
  <si>
    <t>Rang</t>
  </si>
  <si>
    <t>Moyenne Générale</t>
  </si>
  <si>
    <t>SVT</t>
  </si>
  <si>
    <t>MATIERES</t>
  </si>
  <si>
    <t>Coef</t>
  </si>
  <si>
    <t>Moy × Coef</t>
  </si>
  <si>
    <t xml:space="preserve">Moy Gle Classe </t>
  </si>
  <si>
    <t>Appréciations</t>
  </si>
  <si>
    <t xml:space="preserve">Total du GROUPE I                       : </t>
  </si>
  <si>
    <t xml:space="preserve">      Moyenne du Groupe :                                       </t>
  </si>
  <si>
    <t xml:space="preserve"> Rang de l’élève :</t>
  </si>
  <si>
    <t xml:space="preserve">Total du GROUPE II                       : </t>
  </si>
  <si>
    <t xml:space="preserve">       Moyenne du Groupe :                                       </t>
  </si>
  <si>
    <t xml:space="preserve">Total du GROUPE III                       : </t>
  </si>
  <si>
    <t xml:space="preserve">Total du GROUPE IV  : </t>
  </si>
  <si>
    <t>Total Général (GI + GII + GIII+GIV) =</t>
  </si>
  <si>
    <r>
      <t xml:space="preserve">Moy Gle de la Classe :                             </t>
    </r>
    <r>
      <rPr>
        <b/>
        <sz val="12"/>
        <color theme="1"/>
        <rFont val="Times New Roman"/>
        <family val="1"/>
      </rPr>
      <t xml:space="preserve">                     </t>
    </r>
  </si>
  <si>
    <t xml:space="preserve"> Moy du 1er :  </t>
  </si>
  <si>
    <t xml:space="preserve"> Moy du Dernier :</t>
  </si>
  <si>
    <t xml:space="preserve">Moyennes de l’Elève :                                                            </t>
  </si>
  <si>
    <t>/20</t>
  </si>
  <si>
    <t xml:space="preserve">          Rang de l’élève :                           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</si>
  <si>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Trimestrielle n’est pas égale à la moyenne arithmétique des séquences</t>
    </r>
  </si>
  <si>
    <r>
      <t xml:space="preserve">DECISIONS ET OBSERVATIONS / </t>
    </r>
    <r>
      <rPr>
        <i/>
        <sz val="12"/>
        <color theme="1"/>
        <rFont val="Times New Roman"/>
        <family val="1"/>
      </rPr>
      <t>Décisions And Observations</t>
    </r>
  </si>
  <si>
    <r>
      <t>DISCIPLINE /</t>
    </r>
    <r>
      <rPr>
        <i/>
        <sz val="12"/>
        <color theme="1"/>
        <rFont val="Times New Roman"/>
        <family val="1"/>
      </rPr>
      <t xml:space="preserve"> Disciplin</t>
    </r>
  </si>
  <si>
    <t>Appréciation du travail de l’élève</t>
  </si>
  <si>
    <r>
      <t xml:space="preserve">TRAVAIL / </t>
    </r>
    <r>
      <rPr>
        <i/>
        <sz val="12"/>
        <color theme="1"/>
        <rFont val="Times New Roman"/>
        <family val="1"/>
      </rPr>
      <t>Academic Work</t>
    </r>
  </si>
  <si>
    <t>Nb d’Heures :</t>
  </si>
  <si>
    <t>Nb de jrnées :</t>
  </si>
  <si>
    <r>
      <t xml:space="preserve">Tableau d’honneur / </t>
    </r>
    <r>
      <rPr>
        <i/>
        <sz val="12"/>
        <color theme="1"/>
        <rFont val="Times New Roman"/>
        <family val="1"/>
      </rPr>
      <t>Honour roll</t>
    </r>
  </si>
  <si>
    <t>Observations et Visa du Principal</t>
  </si>
  <si>
    <r>
      <t>Exclusions /</t>
    </r>
    <r>
      <rPr>
        <i/>
        <sz val="12"/>
        <color theme="1"/>
        <rFont val="Times New Roman"/>
        <family val="1"/>
      </rPr>
      <t xml:space="preserve"> Suspensions</t>
    </r>
  </si>
  <si>
    <r>
      <t xml:space="preserve">Encouragements / </t>
    </r>
    <r>
      <rPr>
        <i/>
        <sz val="12"/>
        <color theme="1"/>
        <rFont val="Times New Roman"/>
        <family val="1"/>
      </rPr>
      <t>Encouragements</t>
    </r>
  </si>
  <si>
    <t>Observations and Signature of Principal</t>
  </si>
  <si>
    <r>
      <t xml:space="preserve">Blâme / </t>
    </r>
    <r>
      <rPr>
        <i/>
        <sz val="12"/>
        <color theme="1"/>
        <rFont val="Times New Roman"/>
        <family val="1"/>
      </rPr>
      <t>Blame</t>
    </r>
  </si>
  <si>
    <t>Observations et Remarques du Professeur Principal</t>
  </si>
  <si>
    <r>
      <t xml:space="preserve">Félicitations / </t>
    </r>
    <r>
      <rPr>
        <i/>
        <sz val="12"/>
        <color theme="1"/>
        <rFont val="Times New Roman"/>
        <family val="1"/>
      </rPr>
      <t>Congratulations</t>
    </r>
  </si>
  <si>
    <r>
      <t xml:space="preserve">Avertissements / </t>
    </r>
    <r>
      <rPr>
        <i/>
        <sz val="12"/>
        <color theme="1"/>
        <rFont val="Times New Roman"/>
        <family val="1"/>
      </rPr>
      <t>Warnings</t>
    </r>
  </si>
  <si>
    <t>Décisions du Conseil de Classe</t>
  </si>
  <si>
    <t>Yaoundé le</t>
  </si>
  <si>
    <t>Observations et Remarques du parent de l’élève</t>
  </si>
  <si>
    <t>Le Principal</t>
  </si>
  <si>
    <t>AISSATOU HAMADOU</t>
  </si>
  <si>
    <t>BILIK PEE Pauline Remine</t>
  </si>
  <si>
    <t>BENGONO ALEGUE Dorine Mick-Ange</t>
  </si>
  <si>
    <t>KIPO LENA Siriel</t>
  </si>
  <si>
    <t>MBALLA NDZIE Françoise</t>
  </si>
  <si>
    <t>NGAMEZOM Manuela</t>
  </si>
  <si>
    <t xml:space="preserve">YEMENI Gloria Prinsesse </t>
  </si>
  <si>
    <t>Compétences Evaluées</t>
  </si>
  <si>
    <r>
      <t xml:space="preserve">Anglais
</t>
    </r>
    <r>
      <rPr>
        <i/>
        <sz val="12"/>
        <color theme="1"/>
        <rFont val="Cambria"/>
        <family val="1"/>
        <scheme val="major"/>
      </rPr>
      <t>M. DOMGUIA TAKAM Joël Ismaël</t>
    </r>
  </si>
  <si>
    <r>
      <t xml:space="preserve">Géographie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</si>
  <si>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Histoire
</t>
    </r>
    <r>
      <rPr>
        <i/>
        <sz val="12"/>
        <color theme="1"/>
        <rFont val="Cambria"/>
        <family val="1"/>
        <scheme val="major"/>
      </rPr>
      <t>Mme MINDZIE MENGUE Jeanne Raïssa</t>
    </r>
  </si>
  <si>
    <r>
      <t xml:space="preserve">EPS
</t>
    </r>
    <r>
      <rPr>
        <i/>
        <sz val="12"/>
        <color theme="1"/>
        <rFont val="Cambria"/>
        <family val="1"/>
        <scheme val="major"/>
      </rPr>
      <t>M. MATIP Erick Patrick Junior</t>
    </r>
  </si>
  <si>
    <r>
      <rPr>
        <i/>
        <sz val="10"/>
        <color theme="1"/>
        <rFont val="Times New Roman"/>
        <family val="1"/>
      </rPr>
      <t>Parler  de la diversité linguistique camerounaise</t>
    </r>
    <r>
      <rPr>
        <b/>
        <sz val="10"/>
        <color theme="1"/>
        <rFont val="Times New Roman"/>
        <family val="1"/>
      </rPr>
      <t xml:space="preserve"> </t>
    </r>
  </si>
  <si>
    <t xml:space="preserve">Déployer son savoir artistique pour utiliser le matériel et le matériau  (le crayon, le pinceau, les couleurs, les gouaches etc.) </t>
  </si>
  <si>
    <t xml:space="preserve">Use appropriate language skills and resources to talk about oneself, the family, and school community. </t>
  </si>
  <si>
    <t xml:space="preserve">corriger des erreurs volontairement insérées </t>
  </si>
  <si>
    <t>Répondre correctement à des questions sur un dialogue</t>
  </si>
  <si>
    <t xml:space="preserve">Produire à l’oral comme à l’écrit, dans une langue correcte et usuelle, un dialogue </t>
  </si>
  <si>
    <t xml:space="preserve">Promouvoir l’intégration à la vie familiale et scolaire </t>
  </si>
  <si>
    <t xml:space="preserve">S’adapter aux influences cosmiques </t>
  </si>
  <si>
    <t xml:space="preserve">Utiliser les savoirs historiques </t>
  </si>
  <si>
    <t xml:space="preserve">Identifier les éléments matériels, logiciels d’un microordinateur et distinguer les types et rôles des différents utilisateurs. </t>
  </si>
  <si>
    <t xml:space="preserve">Résoudre des situations problèmes relatives aux nombres (entiers naturels, décimaux arithmétiques, décimaux relatifs), aux droites et segments dans le plan et aux cercles. </t>
  </si>
  <si>
    <t xml:space="preserve">Résoudre, en utilisant la méthode scientifique, des situations problèmes relatives à l’insuffisance des ressources comestibles et aux propriétés physiques de la matière. </t>
  </si>
  <si>
    <t xml:space="preserve">Exécuter une course de vitesse et une course d’endurance-vitesse </t>
  </si>
  <si>
    <t xml:space="preserve">Expliquer le rôle de l’Économie Sociale et Familiale dans le cadre du développement personnel </t>
  </si>
  <si>
    <t>Utiliser le matériel, les matériaux et les techniques  pour fabriquer un balai</t>
  </si>
  <si>
    <t>ESP</t>
  </si>
  <si>
    <t>ALL</t>
  </si>
  <si>
    <t>MATRICULE</t>
  </si>
  <si>
    <t>SEXE</t>
  </si>
  <si>
    <t>MOYENNE GENERALE</t>
  </si>
  <si>
    <t>Sexe</t>
  </si>
  <si>
    <t>Matricule</t>
  </si>
  <si>
    <t>BILOA Daniel Aurel</t>
  </si>
  <si>
    <t>MAGNE Princesse Yness</t>
  </si>
  <si>
    <t>NZOKOU MANKON Loic</t>
  </si>
  <si>
    <t>1 er/ère</t>
  </si>
  <si>
    <t>2 ème</t>
  </si>
  <si>
    <t>3 ème</t>
  </si>
  <si>
    <t>4 ème</t>
  </si>
  <si>
    <t>5 ème</t>
  </si>
  <si>
    <t>6 ème</t>
  </si>
  <si>
    <t>F</t>
  </si>
  <si>
    <t>M</t>
  </si>
  <si>
    <t>NZOKOU NANKON Loic</t>
  </si>
  <si>
    <r>
      <t xml:space="preserve">ECM
</t>
    </r>
    <r>
      <rPr>
        <i/>
        <sz val="12"/>
        <color theme="1"/>
        <rFont val="Cambria"/>
        <family val="1"/>
        <scheme val="major"/>
      </rPr>
      <t>M. BANING Jacques Steven</t>
    </r>
  </si>
  <si>
    <r>
      <t xml:space="preserve">Espagnol
</t>
    </r>
    <r>
      <rPr>
        <i/>
        <sz val="12"/>
        <color theme="1"/>
        <rFont val="Cambria"/>
        <family val="1"/>
        <scheme val="major"/>
      </rPr>
      <t>Mme MBOGUE Madeleine</t>
    </r>
  </si>
  <si>
    <r>
      <t xml:space="preserve">Mathématiques
</t>
    </r>
    <r>
      <rPr>
        <i/>
        <sz val="12"/>
        <color theme="1"/>
        <rFont val="Cambria"/>
        <family val="1"/>
        <scheme val="major"/>
      </rPr>
      <t>M. MPECK Yann Darell</t>
    </r>
  </si>
  <si>
    <r>
      <t xml:space="preserve">SVTEEHB
</t>
    </r>
    <r>
      <rPr>
        <i/>
        <sz val="12"/>
        <color theme="1"/>
        <rFont val="Cambria"/>
        <family val="1"/>
        <scheme val="major"/>
      </rPr>
      <t>Mme DONFACK DONGO Darice Franca</t>
    </r>
  </si>
  <si>
    <r>
      <t xml:space="preserve">Allemand
</t>
    </r>
    <r>
      <rPr>
        <i/>
        <sz val="12"/>
        <color theme="1"/>
        <rFont val="Cambria"/>
        <family val="1"/>
        <scheme val="major"/>
      </rPr>
      <t>M. TCHOUAMENI PAYO</t>
    </r>
  </si>
  <si>
    <r>
      <t xml:space="preserve">ESF
</t>
    </r>
    <r>
      <rPr>
        <i/>
        <sz val="12"/>
        <color theme="1"/>
        <rFont val="Cambria"/>
        <family val="1"/>
        <scheme val="major"/>
      </rPr>
      <t>Mme MPECK Gérarldine Samuelle</t>
    </r>
  </si>
  <si>
    <r>
      <t xml:space="preserve">Travail Manuel
</t>
    </r>
    <r>
      <rPr>
        <i/>
        <sz val="12"/>
        <color theme="1"/>
        <rFont val="Cambria"/>
        <family val="1"/>
        <scheme val="major"/>
      </rPr>
      <t>M. POCK NLOGA Pierre Sadrack R.</t>
    </r>
  </si>
  <si>
    <r>
      <t xml:space="preserve">Cor Ortho/ Dictée
</t>
    </r>
    <r>
      <rPr>
        <i/>
        <sz val="12"/>
        <color theme="1"/>
        <rFont val="Cambria"/>
        <family val="1"/>
        <scheme val="major"/>
      </rPr>
      <t>M. HIACK Simon</t>
    </r>
  </si>
  <si>
    <r>
      <t xml:space="preserve">Etude de Texte
</t>
    </r>
    <r>
      <rPr>
        <i/>
        <sz val="12"/>
        <color theme="1"/>
        <rFont val="Cambria"/>
        <family val="1"/>
        <scheme val="major"/>
      </rPr>
      <t>M. HIACK Simon</t>
    </r>
  </si>
  <si>
    <r>
      <t xml:space="preserve">Expression Ecrite
</t>
    </r>
    <r>
      <rPr>
        <i/>
        <sz val="12"/>
        <color theme="1"/>
        <rFont val="Cambria"/>
        <family val="1"/>
        <scheme val="major"/>
      </rPr>
      <t>M. HIACK Simon</t>
    </r>
  </si>
  <si>
    <r>
      <t xml:space="preserve">Expression Orale
</t>
    </r>
    <r>
      <rPr>
        <i/>
        <sz val="12"/>
        <color theme="1"/>
        <rFont val="Cambria"/>
        <family val="1"/>
        <scheme val="major"/>
      </rPr>
      <t>M. HIACK Simon</t>
    </r>
  </si>
  <si>
    <r>
      <t xml:space="preserve">Informatique
</t>
    </r>
    <r>
      <rPr>
        <i/>
        <sz val="12"/>
        <color theme="1"/>
        <rFont val="Cambria"/>
        <family val="1"/>
        <scheme val="major"/>
      </rPr>
      <t xml:space="preserve">M. NGATHE MVOGO André William </t>
    </r>
  </si>
  <si>
    <t>1 ère</t>
  </si>
  <si>
    <t>1er</t>
  </si>
  <si>
    <t>2ème</t>
  </si>
  <si>
    <t>3ème</t>
  </si>
  <si>
    <t>4ème</t>
  </si>
  <si>
    <t>MEKOULOU Tresor</t>
  </si>
  <si>
    <t>SEQUENCE 3</t>
  </si>
  <si>
    <t>SEQUENCE 4</t>
  </si>
  <si>
    <t>TRIMESTRE 2</t>
  </si>
  <si>
    <t>7 ème</t>
  </si>
  <si>
    <t>PAS</t>
  </si>
  <si>
    <t>TRIM 2</t>
  </si>
  <si>
    <t>SEQ 3</t>
  </si>
  <si>
    <t>SEQ 4</t>
  </si>
  <si>
    <t>/04</t>
  </si>
  <si>
    <t xml:space="preserve"> Trimestre 2 :                   </t>
  </si>
  <si>
    <t xml:space="preserve"> ème</t>
  </si>
  <si>
    <t>ème</t>
  </si>
  <si>
    <t>1ère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</si>
</sst>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i/>
      <sz val="12"/>
      <color theme="1"/>
      <name val="Times New Roman"/>
      <family val="1"/>
    </font>
    <font>
      <i/>
      <sz val="12"/>
      <color theme="1"/>
      <name val="Cambria"/>
      <family val="1"/>
      <scheme val="major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 tint="4.9989318521683403E-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6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/>
    <xf numFmtId="0" fontId="1" fillId="0" borderId="1" xfId="0" applyFont="1" applyBorder="1"/>
    <xf numFmtId="2" fontId="1" fillId="0" borderId="1" xfId="0" applyNumberFormat="1" applyFont="1" applyBorder="1"/>
    <xf numFmtId="0" fontId="1" fillId="0" borderId="0" xfId="0" applyFont="1"/>
    <xf numFmtId="2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Fill="1" applyBorder="1"/>
    <xf numFmtId="2" fontId="3" fillId="0" borderId="1" xfId="0" applyNumberFormat="1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2" fontId="8" fillId="0" borderId="5" xfId="0" applyNumberFormat="1" applyFont="1" applyBorder="1" applyAlignment="1">
      <alignment vertical="center" wrapText="1"/>
    </xf>
    <xf numFmtId="2" fontId="7" fillId="0" borderId="5" xfId="0" applyNumberFormat="1" applyFont="1" applyBorder="1" applyAlignment="1">
      <alignment vertical="center" wrapText="1"/>
    </xf>
    <xf numFmtId="2" fontId="8" fillId="0" borderId="4" xfId="0" applyNumberFormat="1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2" fontId="7" fillId="0" borderId="2" xfId="0" applyNumberFormat="1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2" fontId="7" fillId="0" borderId="0" xfId="0" applyNumberFormat="1" applyFont="1" applyAlignment="1">
      <alignment horizontal="center" vertical="center"/>
    </xf>
    <xf numFmtId="2" fontId="7" fillId="0" borderId="8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left" vertical="center" wrapText="1"/>
    </xf>
    <xf numFmtId="2" fontId="14" fillId="0" borderId="4" xfId="0" applyNumberFormat="1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vertical="center"/>
    </xf>
    <xf numFmtId="2" fontId="12" fillId="0" borderId="4" xfId="0" applyNumberFormat="1" applyFont="1" applyBorder="1" applyAlignment="1">
      <alignment horizontal="left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15" fillId="0" borderId="1" xfId="0" applyFont="1" applyBorder="1"/>
    <xf numFmtId="0" fontId="2" fillId="0" borderId="1" xfId="0" applyFont="1" applyBorder="1" applyAlignment="1">
      <alignment horizontal="center"/>
    </xf>
    <xf numFmtId="0" fontId="15" fillId="2" borderId="1" xfId="0" applyFont="1" applyFill="1" applyBorder="1"/>
    <xf numFmtId="0" fontId="15" fillId="3" borderId="1" xfId="0" applyFont="1" applyFill="1" applyBorder="1"/>
    <xf numFmtId="0" fontId="15" fillId="0" borderId="0" xfId="0" applyFont="1" applyBorder="1" applyAlignment="1"/>
    <xf numFmtId="0" fontId="1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Fill="1" applyBorder="1"/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2" fontId="7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right" wrapText="1"/>
    </xf>
    <xf numFmtId="2" fontId="7" fillId="2" borderId="0" xfId="0" applyNumberFormat="1" applyFont="1" applyFill="1" applyBorder="1" applyAlignment="1">
      <alignment horizontal="right" vertical="center" wrapText="1"/>
    </xf>
    <xf numFmtId="0" fontId="7" fillId="0" borderId="17" xfId="0" applyFont="1" applyBorder="1" applyAlignment="1">
      <alignment horizontal="center"/>
    </xf>
    <xf numFmtId="2" fontId="16" fillId="2" borderId="1" xfId="0" applyNumberFormat="1" applyFont="1" applyFill="1" applyBorder="1"/>
    <xf numFmtId="2" fontId="17" fillId="2" borderId="1" xfId="0" applyNumberFormat="1" applyFont="1" applyFill="1" applyBorder="1"/>
    <xf numFmtId="2" fontId="7" fillId="4" borderId="1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7" fillId="8" borderId="1" xfId="0" applyNumberFormat="1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7" fillId="9" borderId="1" xfId="0" applyNumberFormat="1" applyFont="1" applyFill="1" applyBorder="1" applyAlignment="1">
      <alignment horizontal="center"/>
    </xf>
    <xf numFmtId="2" fontId="7" fillId="7" borderId="17" xfId="0" applyNumberFormat="1" applyFont="1" applyFill="1" applyBorder="1" applyAlignment="1">
      <alignment horizontal="center"/>
    </xf>
    <xf numFmtId="2" fontId="7" fillId="7" borderId="18" xfId="0" applyNumberFormat="1" applyFont="1" applyFill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6" borderId="17" xfId="0" applyFont="1" applyFill="1" applyBorder="1" applyAlignment="1">
      <alignment horizontal="center"/>
    </xf>
    <xf numFmtId="0" fontId="15" fillId="6" borderId="19" xfId="0" applyFont="1" applyFill="1" applyBorder="1" applyAlignment="1">
      <alignment horizontal="center"/>
    </xf>
    <xf numFmtId="0" fontId="15" fillId="6" borderId="18" xfId="0" applyFont="1" applyFill="1" applyBorder="1" applyAlignment="1">
      <alignment horizontal="center"/>
    </xf>
    <xf numFmtId="0" fontId="15" fillId="4" borderId="17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15" fillId="9" borderId="17" xfId="0" applyFont="1" applyFill="1" applyBorder="1" applyAlignment="1">
      <alignment horizontal="center"/>
    </xf>
    <xf numFmtId="0" fontId="15" fillId="9" borderId="19" xfId="0" applyFont="1" applyFill="1" applyBorder="1" applyAlignment="1">
      <alignment horizontal="center"/>
    </xf>
    <xf numFmtId="0" fontId="15" fillId="9" borderId="18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vertical="center" wrapText="1"/>
    </xf>
    <xf numFmtId="2" fontId="7" fillId="0" borderId="6" xfId="0" applyNumberFormat="1" applyFont="1" applyBorder="1" applyAlignment="1">
      <alignment vertical="center" wrapText="1"/>
    </xf>
    <xf numFmtId="2" fontId="7" fillId="0" borderId="7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horizontal="left" vertical="center" wrapText="1"/>
    </xf>
    <xf numFmtId="2" fontId="7" fillId="0" borderId="8" xfId="0" applyNumberFormat="1" applyFont="1" applyBorder="1" applyAlignment="1">
      <alignment horizontal="right" vertical="center" wrapText="1"/>
    </xf>
    <xf numFmtId="2" fontId="7" fillId="0" borderId="8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vertical="center" wrapText="1"/>
    </xf>
    <xf numFmtId="2" fontId="8" fillId="0" borderId="8" xfId="0" applyNumberFormat="1" applyFont="1" applyBorder="1" applyAlignment="1">
      <alignment vertical="center" wrapText="1"/>
    </xf>
    <xf numFmtId="2" fontId="8" fillId="0" borderId="3" xfId="0" applyNumberFormat="1" applyFont="1" applyBorder="1" applyAlignment="1">
      <alignment vertical="center" wrapText="1"/>
    </xf>
    <xf numFmtId="2" fontId="7" fillId="0" borderId="2" xfId="0" applyNumberFormat="1" applyFont="1" applyBorder="1" applyAlignment="1">
      <alignment vertical="center" wrapText="1"/>
    </xf>
    <xf numFmtId="2" fontId="7" fillId="0" borderId="8" xfId="0" applyNumberFormat="1" applyFont="1" applyBorder="1" applyAlignment="1">
      <alignment vertical="center" wrapText="1"/>
    </xf>
    <xf numFmtId="2" fontId="7" fillId="0" borderId="3" xfId="0" applyNumberFormat="1" applyFont="1" applyBorder="1" applyAlignment="1">
      <alignment vertical="center" wrapText="1"/>
    </xf>
    <xf numFmtId="0" fontId="8" fillId="2" borderId="11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2" fontId="8" fillId="0" borderId="6" xfId="0" applyNumberFormat="1" applyFont="1" applyBorder="1" applyAlignment="1">
      <alignment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 Des Moyennes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BORDEREAU!$U$4</c:f>
              <c:strCache>
                <c:ptCount val="1"/>
                <c:pt idx="0">
                  <c:v>MOYENNE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BORDEREAU!$B$5:$B$10</c:f>
              <c:strCache>
                <c:ptCount val="6"/>
                <c:pt idx="0">
                  <c:v>BILIK PEE Pauline Remine</c:v>
                </c:pt>
                <c:pt idx="1">
                  <c:v>BILOA Daniel Aurel</c:v>
                </c:pt>
                <c:pt idx="2">
                  <c:v>KIPO LENA Siriel</c:v>
                </c:pt>
                <c:pt idx="3">
                  <c:v>MAGNE Princesse Yness</c:v>
                </c:pt>
                <c:pt idx="4">
                  <c:v>NZOKOU NANKON Loic</c:v>
                </c:pt>
                <c:pt idx="5">
                  <c:v>YEMENI Gloria Prinsesse </c:v>
                </c:pt>
              </c:strCache>
            </c:strRef>
          </c:cat>
          <c:val>
            <c:numRef>
              <c:f>BORDEREAU!$U$5:$U$10</c:f>
              <c:numCache>
                <c:formatCode>0.00</c:formatCode>
                <c:ptCount val="6"/>
                <c:pt idx="0">
                  <c:v>12.96551724137931</c:v>
                </c:pt>
                <c:pt idx="4">
                  <c:v>9.6551724137931032</c:v>
                </c:pt>
                <c:pt idx="5">
                  <c:v>11.96551724137931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B-4FCF-811B-7719ABAE2C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5507016"/>
        <c:axId val="478644864"/>
      </c:lineChart>
      <c:catAx>
        <c:axId val="545507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44864"/>
        <c:crosses val="autoZero"/>
        <c:auto val="1"/>
        <c:lblAlgn val="ctr"/>
        <c:lblOffset val="100"/>
        <c:noMultiLvlLbl val="0"/>
      </c:catAx>
      <c:valAx>
        <c:axId val="478644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07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54</xdr:row>
      <xdr:rowOff>0</xdr:rowOff>
    </xdr:from>
    <xdr:to>
      <xdr:col>4</xdr:col>
      <xdr:colOff>800099</xdr:colOff>
      <xdr:row>68</xdr:row>
      <xdr:rowOff>66675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60"/>
  <sheetViews>
    <sheetView zoomScale="91" zoomScaleNormal="91" workbookViewId="0">
      <selection activeCell="O5" sqref="O5:O11"/>
    </sheetView>
  </sheetViews>
  <sheetFormatPr baseColWidth="10" defaultRowHeight="15" x14ac:dyDescent="0.25"/>
  <cols>
    <col min="2" max="2" width="33.28515625" bestFit="1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6" bestFit="1" customWidth="1"/>
    <col min="9" max="9" width="6.7109375" bestFit="1" customWidth="1"/>
    <col min="10" max="10" width="9.140625" bestFit="1" customWidth="1"/>
    <col min="11" max="18" width="6" bestFit="1" customWidth="1"/>
    <col min="19" max="20" width="11.5703125" bestFit="1" customWidth="1"/>
  </cols>
  <sheetData>
    <row r="4" spans="1:18" x14ac:dyDescent="0.25">
      <c r="A4" s="4" t="s">
        <v>2</v>
      </c>
      <c r="B4" s="5" t="s">
        <v>0</v>
      </c>
      <c r="C4" s="5" t="s">
        <v>1</v>
      </c>
      <c r="D4" s="5" t="s">
        <v>16</v>
      </c>
      <c r="E4" s="5" t="s">
        <v>17</v>
      </c>
      <c r="F4" s="5" t="s">
        <v>9</v>
      </c>
      <c r="G4" s="5" t="s">
        <v>15</v>
      </c>
      <c r="H4" s="5" t="s">
        <v>10</v>
      </c>
      <c r="I4" s="5" t="s">
        <v>11</v>
      </c>
      <c r="J4" s="5" t="s">
        <v>3</v>
      </c>
      <c r="K4" s="5" t="s">
        <v>4</v>
      </c>
      <c r="L4" s="5" t="s">
        <v>12</v>
      </c>
      <c r="M4" s="5" t="s">
        <v>13</v>
      </c>
      <c r="N4" s="5" t="s">
        <v>90</v>
      </c>
      <c r="O4" s="5" t="s">
        <v>6</v>
      </c>
      <c r="P4" s="5" t="s">
        <v>7</v>
      </c>
      <c r="Q4" s="5" t="s">
        <v>91</v>
      </c>
      <c r="R4" s="5" t="s">
        <v>14</v>
      </c>
    </row>
    <row r="5" spans="1:18" x14ac:dyDescent="0.25">
      <c r="A5" s="1">
        <v>1</v>
      </c>
      <c r="B5" s="1" t="s">
        <v>64</v>
      </c>
      <c r="C5" s="2">
        <v>10</v>
      </c>
      <c r="D5" s="2">
        <v>16</v>
      </c>
      <c r="E5" s="2">
        <v>12</v>
      </c>
      <c r="F5" s="2">
        <v>14</v>
      </c>
      <c r="G5" s="2">
        <v>15</v>
      </c>
      <c r="H5" s="2">
        <v>10</v>
      </c>
      <c r="I5" s="2">
        <v>13</v>
      </c>
      <c r="J5" s="2">
        <v>12</v>
      </c>
      <c r="K5" s="2">
        <v>15</v>
      </c>
      <c r="L5" s="2">
        <v>11</v>
      </c>
      <c r="M5" s="2">
        <v>16</v>
      </c>
      <c r="N5" s="2">
        <v>11</v>
      </c>
      <c r="O5" s="2">
        <v>15</v>
      </c>
      <c r="P5" s="2">
        <v>14</v>
      </c>
      <c r="Q5" s="2">
        <v>12</v>
      </c>
      <c r="R5" s="2">
        <v>16</v>
      </c>
    </row>
    <row r="6" spans="1:18" x14ac:dyDescent="0.25">
      <c r="A6" s="1">
        <f>A5+1</f>
        <v>2</v>
      </c>
      <c r="B6" s="1" t="s">
        <v>97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f t="shared" ref="A7:A29" si="0">A6+1</f>
        <v>3</v>
      </c>
      <c r="B7" s="1" t="s">
        <v>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f t="shared" si="0"/>
        <v>4</v>
      </c>
      <c r="B8" s="1" t="s">
        <v>98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f t="shared" si="0"/>
        <v>5</v>
      </c>
      <c r="B9" s="51" t="s">
        <v>99</v>
      </c>
      <c r="C9" s="2">
        <v>8</v>
      </c>
      <c r="D9" s="2">
        <v>15</v>
      </c>
      <c r="E9" s="2">
        <v>10</v>
      </c>
      <c r="F9" s="2">
        <v>10</v>
      </c>
      <c r="G9" s="2">
        <v>15</v>
      </c>
      <c r="H9" s="2">
        <v>10</v>
      </c>
      <c r="I9" s="2">
        <v>6</v>
      </c>
      <c r="J9" s="2">
        <v>7</v>
      </c>
      <c r="K9" s="2">
        <v>7</v>
      </c>
      <c r="L9" s="2">
        <v>12</v>
      </c>
      <c r="M9" s="2">
        <v>6</v>
      </c>
      <c r="N9" s="2">
        <v>12</v>
      </c>
      <c r="O9" s="2">
        <v>14</v>
      </c>
      <c r="P9" s="2">
        <v>11</v>
      </c>
      <c r="Q9" s="2">
        <v>11</v>
      </c>
      <c r="R9" s="2">
        <v>16</v>
      </c>
    </row>
    <row r="10" spans="1:18" x14ac:dyDescent="0.25">
      <c r="A10" s="1">
        <f t="shared" si="0"/>
        <v>6</v>
      </c>
      <c r="B10" s="1" t="s">
        <v>69</v>
      </c>
      <c r="C10" s="2">
        <v>15</v>
      </c>
      <c r="D10" s="2">
        <v>12</v>
      </c>
      <c r="E10" s="2">
        <v>9</v>
      </c>
      <c r="F10" s="2">
        <v>12</v>
      </c>
      <c r="G10" s="2">
        <v>15</v>
      </c>
      <c r="H10" s="2">
        <v>14</v>
      </c>
      <c r="I10" s="2">
        <v>10.5</v>
      </c>
      <c r="J10" s="2">
        <v>10</v>
      </c>
      <c r="K10" s="2">
        <v>13</v>
      </c>
      <c r="L10" s="2">
        <v>10</v>
      </c>
      <c r="M10" s="2">
        <v>10</v>
      </c>
      <c r="N10" s="2">
        <v>6</v>
      </c>
      <c r="O10" s="2">
        <v>13.5</v>
      </c>
      <c r="P10" s="2">
        <v>18</v>
      </c>
      <c r="Q10" s="2">
        <v>10</v>
      </c>
      <c r="R10" s="2">
        <v>16</v>
      </c>
    </row>
    <row r="11" spans="1:18" x14ac:dyDescent="0.25">
      <c r="A11" s="1">
        <f t="shared" si="0"/>
        <v>7</v>
      </c>
      <c r="B11" s="1" t="s">
        <v>126</v>
      </c>
      <c r="C11" s="2">
        <v>4</v>
      </c>
      <c r="D11" s="2">
        <v>11</v>
      </c>
      <c r="E11" s="2">
        <v>11</v>
      </c>
      <c r="F11" s="2">
        <v>12</v>
      </c>
      <c r="G11" s="2">
        <v>15</v>
      </c>
      <c r="H11" s="2">
        <v>4</v>
      </c>
      <c r="I11" s="2">
        <v>9</v>
      </c>
      <c r="J11" s="2">
        <v>10.5</v>
      </c>
      <c r="K11" s="2">
        <v>11</v>
      </c>
      <c r="L11" s="2">
        <v>12</v>
      </c>
      <c r="M11" s="2">
        <v>8</v>
      </c>
      <c r="N11" s="2">
        <v>7</v>
      </c>
      <c r="O11" s="2">
        <v>14</v>
      </c>
      <c r="P11" s="2">
        <v>11</v>
      </c>
      <c r="Q11" s="2">
        <v>10</v>
      </c>
      <c r="R11" s="2">
        <v>16</v>
      </c>
    </row>
    <row r="12" spans="1:18" x14ac:dyDescent="0.25">
      <c r="A12" s="1">
        <f t="shared" si="0"/>
        <v>8</v>
      </c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1">
        <f t="shared" si="0"/>
        <v>9</v>
      </c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1">
        <f t="shared" si="0"/>
        <v>10</v>
      </c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1">
        <f t="shared" si="0"/>
        <v>11</v>
      </c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1">
        <f t="shared" si="0"/>
        <v>12</v>
      </c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9" x14ac:dyDescent="0.25">
      <c r="A17" s="1">
        <f t="shared" si="0"/>
        <v>13</v>
      </c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9" x14ac:dyDescent="0.25">
      <c r="A18" s="1">
        <f t="shared" si="0"/>
        <v>14</v>
      </c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9" x14ac:dyDescent="0.25">
      <c r="A19" s="1">
        <f t="shared" si="0"/>
        <v>15</v>
      </c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9" x14ac:dyDescent="0.25">
      <c r="A20" s="1">
        <f t="shared" si="0"/>
        <v>16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25">
      <c r="A21" s="1">
        <f t="shared" si="0"/>
        <v>17</v>
      </c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25">
      <c r="A22" s="1">
        <f t="shared" si="0"/>
        <v>18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25">
      <c r="A23" s="1">
        <f t="shared" si="0"/>
        <v>19</v>
      </c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25">
      <c r="A24" s="1">
        <f t="shared" si="0"/>
        <v>20</v>
      </c>
      <c r="B24" s="1" t="e">
        <f>#REF!</f>
        <v>#REF!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25">
      <c r="A25" s="1">
        <f t="shared" si="0"/>
        <v>21</v>
      </c>
      <c r="B25" s="1" t="e">
        <f>#REF!</f>
        <v>#REF!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25">
      <c r="A26" s="1">
        <f t="shared" si="0"/>
        <v>22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25">
      <c r="A27" s="1">
        <f t="shared" si="0"/>
        <v>23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25">
      <c r="A28" s="1">
        <f t="shared" si="0"/>
        <v>24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25">
      <c r="A29" s="1">
        <f t="shared" si="0"/>
        <v>25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25">
      <c r="B30" s="1" t="e">
        <f>#REF!</f>
        <v>#REF!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25">
      <c r="C31" s="3">
        <f>AVERAGE(C5:C30)</f>
        <v>9.25</v>
      </c>
      <c r="D31" s="3">
        <f t="shared" ref="D31:R31" si="1">AVERAGE(D5:D30)</f>
        <v>13.5</v>
      </c>
      <c r="E31" s="3">
        <f t="shared" si="1"/>
        <v>10.5</v>
      </c>
      <c r="F31" s="3">
        <f t="shared" si="1"/>
        <v>12</v>
      </c>
      <c r="G31" s="3">
        <f t="shared" si="1"/>
        <v>15</v>
      </c>
      <c r="H31" s="3">
        <f t="shared" si="1"/>
        <v>9.5</v>
      </c>
      <c r="I31" s="3">
        <f t="shared" si="1"/>
        <v>9.625</v>
      </c>
      <c r="J31" s="3">
        <f t="shared" si="1"/>
        <v>9.875</v>
      </c>
      <c r="K31" s="3">
        <f t="shared" si="1"/>
        <v>11.5</v>
      </c>
      <c r="L31" s="3">
        <f t="shared" si="1"/>
        <v>11.25</v>
      </c>
      <c r="M31" s="3">
        <f t="shared" si="1"/>
        <v>10</v>
      </c>
      <c r="N31" s="3">
        <f t="shared" si="1"/>
        <v>9</v>
      </c>
      <c r="O31" s="3">
        <f t="shared" si="1"/>
        <v>14.125</v>
      </c>
      <c r="P31" s="3">
        <f t="shared" si="1"/>
        <v>13.5</v>
      </c>
      <c r="Q31" s="3">
        <f t="shared" si="1"/>
        <v>10.75</v>
      </c>
      <c r="R31" s="3">
        <f t="shared" si="1"/>
        <v>16</v>
      </c>
      <c r="S31" s="3">
        <f>AVERAGE(C31:R31)</f>
        <v>11.5859375</v>
      </c>
    </row>
    <row r="33" spans="1:20" x14ac:dyDescent="0.25">
      <c r="A33" s="4" t="s">
        <v>2</v>
      </c>
      <c r="B33" s="5" t="s">
        <v>0</v>
      </c>
      <c r="C33" s="5" t="s">
        <v>1</v>
      </c>
      <c r="D33" s="5" t="s">
        <v>16</v>
      </c>
      <c r="E33" s="5" t="s">
        <v>17</v>
      </c>
      <c r="F33" s="5" t="s">
        <v>9</v>
      </c>
      <c r="G33" s="5" t="s">
        <v>15</v>
      </c>
      <c r="H33" s="5" t="s">
        <v>10</v>
      </c>
      <c r="I33" s="5" t="s">
        <v>11</v>
      </c>
      <c r="J33" s="5" t="s">
        <v>3</v>
      </c>
      <c r="K33" s="5" t="s">
        <v>4</v>
      </c>
      <c r="L33" s="5" t="s">
        <v>12</v>
      </c>
      <c r="M33" s="5" t="s">
        <v>13</v>
      </c>
      <c r="N33" s="5" t="s">
        <v>90</v>
      </c>
      <c r="O33" s="5" t="s">
        <v>6</v>
      </c>
      <c r="P33" s="5" t="s">
        <v>7</v>
      </c>
      <c r="Q33" s="5" t="s">
        <v>91</v>
      </c>
      <c r="R33" s="5" t="s">
        <v>14</v>
      </c>
      <c r="S33" s="6" t="s">
        <v>18</v>
      </c>
      <c r="T33" s="6" t="s">
        <v>19</v>
      </c>
    </row>
    <row r="34" spans="1:20" x14ac:dyDescent="0.25">
      <c r="A34" s="1">
        <v>1</v>
      </c>
      <c r="B34" s="1" t="str">
        <f>B5</f>
        <v>BILIK PEE Pauline Remine</v>
      </c>
      <c r="C34" s="2">
        <f t="shared" ref="C34:C52" si="2">C5*3</f>
        <v>30</v>
      </c>
      <c r="D34" s="2">
        <f t="shared" ref="D34:D52" si="3">D5*1</f>
        <v>16</v>
      </c>
      <c r="E34" s="2">
        <f t="shared" ref="E34:F37" si="4">E5*2</f>
        <v>24</v>
      </c>
      <c r="F34" s="2">
        <f t="shared" si="4"/>
        <v>28</v>
      </c>
      <c r="G34" s="2">
        <f>G5*1</f>
        <v>15</v>
      </c>
      <c r="H34" s="2">
        <f t="shared" ref="H34:H52" si="5">H5*2</f>
        <v>20</v>
      </c>
      <c r="I34" s="2">
        <f t="shared" ref="I34:I52" si="6">I5*4</f>
        <v>52</v>
      </c>
      <c r="J34" s="2">
        <f t="shared" ref="J34:M52" si="7">J5*2</f>
        <v>24</v>
      </c>
      <c r="K34" s="2">
        <f t="shared" si="7"/>
        <v>30</v>
      </c>
      <c r="L34" s="2">
        <f t="shared" si="7"/>
        <v>22</v>
      </c>
      <c r="M34" s="2">
        <f t="shared" si="7"/>
        <v>32</v>
      </c>
      <c r="N34" s="2">
        <f t="shared" ref="N34:N52" si="8">N5*1</f>
        <v>11</v>
      </c>
      <c r="O34" s="2">
        <f t="shared" ref="O34:O52" si="9">O5*2</f>
        <v>30</v>
      </c>
      <c r="P34" s="2">
        <f t="shared" ref="P34:R35" si="10">P5*1</f>
        <v>14</v>
      </c>
      <c r="Q34" s="2">
        <f t="shared" si="10"/>
        <v>12</v>
      </c>
      <c r="R34" s="2">
        <f t="shared" si="10"/>
        <v>16</v>
      </c>
      <c r="S34" s="7">
        <f>SUM(C34:R34)</f>
        <v>376</v>
      </c>
      <c r="T34" s="2">
        <f t="shared" ref="T34:T52" si="11">S34/29</f>
        <v>12.96551724137931</v>
      </c>
    </row>
    <row r="35" spans="1:20" x14ac:dyDescent="0.25">
      <c r="A35" s="1">
        <f>A34+1</f>
        <v>2</v>
      </c>
      <c r="B35" s="1" t="str">
        <f t="shared" ref="B35:B59" si="12">B6</f>
        <v>BILOA Daniel Aurel</v>
      </c>
      <c r="C35" s="2">
        <f t="shared" si="2"/>
        <v>0</v>
      </c>
      <c r="D35" s="2">
        <f t="shared" si="3"/>
        <v>0</v>
      </c>
      <c r="E35" s="2">
        <f t="shared" si="4"/>
        <v>0</v>
      </c>
      <c r="F35" s="2">
        <f t="shared" si="4"/>
        <v>0</v>
      </c>
      <c r="G35" s="2">
        <f>G6*1</f>
        <v>0</v>
      </c>
      <c r="H35" s="2">
        <f t="shared" si="5"/>
        <v>0</v>
      </c>
      <c r="I35" s="2">
        <f t="shared" si="6"/>
        <v>0</v>
      </c>
      <c r="J35" s="2">
        <f t="shared" si="7"/>
        <v>0</v>
      </c>
      <c r="K35" s="2">
        <f t="shared" si="7"/>
        <v>0</v>
      </c>
      <c r="L35" s="2">
        <f t="shared" si="7"/>
        <v>0</v>
      </c>
      <c r="M35" s="2">
        <f t="shared" si="7"/>
        <v>0</v>
      </c>
      <c r="N35" s="2">
        <f t="shared" si="8"/>
        <v>0</v>
      </c>
      <c r="O35" s="2">
        <f t="shared" si="9"/>
        <v>0</v>
      </c>
      <c r="P35" s="2">
        <f t="shared" si="10"/>
        <v>0</v>
      </c>
      <c r="Q35" s="2">
        <f t="shared" si="10"/>
        <v>0</v>
      </c>
      <c r="R35" s="2">
        <f t="shared" si="10"/>
        <v>0</v>
      </c>
      <c r="S35" s="7">
        <f>SUM(C35:R35)</f>
        <v>0</v>
      </c>
      <c r="T35" s="2">
        <f t="shared" ref="T35" si="13">S35/29</f>
        <v>0</v>
      </c>
    </row>
    <row r="36" spans="1:20" x14ac:dyDescent="0.25">
      <c r="A36" s="1">
        <f t="shared" ref="A36:A58" si="14">A35+1</f>
        <v>3</v>
      </c>
      <c r="B36" s="1" t="str">
        <f t="shared" si="12"/>
        <v>KIPO LENA Siriel</v>
      </c>
      <c r="C36" s="2">
        <f t="shared" si="2"/>
        <v>0</v>
      </c>
      <c r="D36" s="2">
        <f t="shared" si="3"/>
        <v>0</v>
      </c>
      <c r="E36" s="2">
        <f t="shared" si="4"/>
        <v>0</v>
      </c>
      <c r="F36" s="2">
        <f t="shared" si="4"/>
        <v>0</v>
      </c>
      <c r="G36" s="2">
        <f t="shared" ref="G36" si="15">G7*1</f>
        <v>0</v>
      </c>
      <c r="H36" s="2">
        <f t="shared" si="5"/>
        <v>0</v>
      </c>
      <c r="I36" s="2">
        <f t="shared" si="6"/>
        <v>0</v>
      </c>
      <c r="J36" s="2">
        <f t="shared" si="7"/>
        <v>0</v>
      </c>
      <c r="K36" s="2">
        <f t="shared" si="7"/>
        <v>0</v>
      </c>
      <c r="L36" s="2">
        <f t="shared" si="7"/>
        <v>0</v>
      </c>
      <c r="M36" s="2">
        <f t="shared" si="7"/>
        <v>0</v>
      </c>
      <c r="N36" s="2">
        <f t="shared" si="8"/>
        <v>0</v>
      </c>
      <c r="O36" s="2">
        <f t="shared" si="9"/>
        <v>0</v>
      </c>
      <c r="P36" s="2">
        <f t="shared" ref="P36:R36" si="16">P7*1</f>
        <v>0</v>
      </c>
      <c r="Q36" s="2">
        <f t="shared" si="16"/>
        <v>0</v>
      </c>
      <c r="R36" s="2">
        <f t="shared" si="16"/>
        <v>0</v>
      </c>
      <c r="S36" s="7">
        <f t="shared" ref="S36:S52" si="17">SUM(C36:R36)</f>
        <v>0</v>
      </c>
      <c r="T36" s="2">
        <f t="shared" si="11"/>
        <v>0</v>
      </c>
    </row>
    <row r="37" spans="1:20" x14ac:dyDescent="0.25">
      <c r="A37" s="1">
        <f t="shared" si="14"/>
        <v>4</v>
      </c>
      <c r="B37" s="1" t="str">
        <f t="shared" si="12"/>
        <v>MAGNE Princesse Yness</v>
      </c>
      <c r="C37" s="2">
        <f t="shared" si="2"/>
        <v>0</v>
      </c>
      <c r="D37" s="2">
        <f t="shared" si="3"/>
        <v>0</v>
      </c>
      <c r="E37" s="2">
        <f t="shared" si="4"/>
        <v>0</v>
      </c>
      <c r="F37" s="2">
        <f t="shared" si="4"/>
        <v>0</v>
      </c>
      <c r="G37" s="2">
        <f t="shared" ref="G37" si="18">G8*1</f>
        <v>0</v>
      </c>
      <c r="H37" s="2">
        <f t="shared" si="5"/>
        <v>0</v>
      </c>
      <c r="I37" s="2">
        <f t="shared" si="6"/>
        <v>0</v>
      </c>
      <c r="J37" s="2">
        <f t="shared" si="7"/>
        <v>0</v>
      </c>
      <c r="K37" s="2">
        <f t="shared" si="7"/>
        <v>0</v>
      </c>
      <c r="L37" s="2">
        <f t="shared" si="7"/>
        <v>0</v>
      </c>
      <c r="M37" s="2">
        <f t="shared" si="7"/>
        <v>0</v>
      </c>
      <c r="N37" s="2">
        <f t="shared" si="8"/>
        <v>0</v>
      </c>
      <c r="O37" s="2">
        <f t="shared" si="9"/>
        <v>0</v>
      </c>
      <c r="P37" s="2">
        <f t="shared" ref="P37:R37" si="19">P8*1</f>
        <v>0</v>
      </c>
      <c r="Q37" s="2">
        <f t="shared" si="19"/>
        <v>0</v>
      </c>
      <c r="R37" s="2">
        <f t="shared" si="19"/>
        <v>0</v>
      </c>
      <c r="S37" s="7">
        <f t="shared" si="17"/>
        <v>0</v>
      </c>
      <c r="T37" s="2">
        <f t="shared" si="11"/>
        <v>0</v>
      </c>
    </row>
    <row r="38" spans="1:20" x14ac:dyDescent="0.25">
      <c r="A38" s="1">
        <f t="shared" si="14"/>
        <v>5</v>
      </c>
      <c r="B38" s="1" t="str">
        <f t="shared" si="12"/>
        <v>NZOKOU MANKON Loic</v>
      </c>
      <c r="C38" s="2">
        <f t="shared" si="2"/>
        <v>24</v>
      </c>
      <c r="D38" s="2">
        <f t="shared" si="3"/>
        <v>15</v>
      </c>
      <c r="E38" s="2">
        <f t="shared" ref="E38:E52" si="20">E9*2</f>
        <v>20</v>
      </c>
      <c r="F38" s="2">
        <f t="shared" ref="F38:F43" si="21">F9*2</f>
        <v>20</v>
      </c>
      <c r="G38" s="2">
        <f t="shared" ref="G38" si="22">G9*1</f>
        <v>15</v>
      </c>
      <c r="H38" s="2">
        <f t="shared" si="5"/>
        <v>20</v>
      </c>
      <c r="I38" s="2">
        <f t="shared" si="6"/>
        <v>24</v>
      </c>
      <c r="J38" s="2">
        <f t="shared" si="7"/>
        <v>14</v>
      </c>
      <c r="K38" s="2">
        <f t="shared" si="7"/>
        <v>14</v>
      </c>
      <c r="L38" s="2">
        <f t="shared" si="7"/>
        <v>24</v>
      </c>
      <c r="M38" s="2">
        <f t="shared" si="7"/>
        <v>12</v>
      </c>
      <c r="N38" s="2">
        <f t="shared" si="8"/>
        <v>12</v>
      </c>
      <c r="O38" s="2">
        <f t="shared" si="9"/>
        <v>28</v>
      </c>
      <c r="P38" s="2">
        <f t="shared" ref="P38:R38" si="23">P9*1</f>
        <v>11</v>
      </c>
      <c r="Q38" s="2">
        <f t="shared" si="23"/>
        <v>11</v>
      </c>
      <c r="R38" s="2">
        <f t="shared" si="23"/>
        <v>16</v>
      </c>
      <c r="S38" s="7">
        <f t="shared" si="17"/>
        <v>280</v>
      </c>
      <c r="T38" s="2">
        <f t="shared" si="11"/>
        <v>9.6551724137931032</v>
      </c>
    </row>
    <row r="39" spans="1:20" x14ac:dyDescent="0.25">
      <c r="A39" s="1">
        <f t="shared" si="14"/>
        <v>6</v>
      </c>
      <c r="B39" s="1" t="str">
        <f>B10</f>
        <v xml:space="preserve">YEMENI Gloria Prinsesse </v>
      </c>
      <c r="C39" s="2">
        <f t="shared" si="2"/>
        <v>45</v>
      </c>
      <c r="D39" s="2">
        <f t="shared" si="3"/>
        <v>12</v>
      </c>
      <c r="E39" s="2">
        <f t="shared" si="20"/>
        <v>18</v>
      </c>
      <c r="F39" s="2">
        <f t="shared" si="21"/>
        <v>24</v>
      </c>
      <c r="G39" s="2">
        <f t="shared" ref="G39" si="24">G10*1</f>
        <v>15</v>
      </c>
      <c r="H39" s="2">
        <f t="shared" si="5"/>
        <v>28</v>
      </c>
      <c r="I39" s="2">
        <f t="shared" si="6"/>
        <v>42</v>
      </c>
      <c r="J39" s="2">
        <f t="shared" si="7"/>
        <v>20</v>
      </c>
      <c r="K39" s="2">
        <f t="shared" si="7"/>
        <v>26</v>
      </c>
      <c r="L39" s="2">
        <f t="shared" si="7"/>
        <v>20</v>
      </c>
      <c r="M39" s="2">
        <f t="shared" si="7"/>
        <v>20</v>
      </c>
      <c r="N39" s="2">
        <f t="shared" si="8"/>
        <v>6</v>
      </c>
      <c r="O39" s="2">
        <f t="shared" si="9"/>
        <v>27</v>
      </c>
      <c r="P39" s="2">
        <f t="shared" ref="P39:R39" si="25">P10*1</f>
        <v>18</v>
      </c>
      <c r="Q39" s="2">
        <f t="shared" si="25"/>
        <v>10</v>
      </c>
      <c r="R39" s="2">
        <f t="shared" si="25"/>
        <v>16</v>
      </c>
      <c r="S39" s="7">
        <f t="shared" si="17"/>
        <v>347</v>
      </c>
      <c r="T39" s="2">
        <f t="shared" si="11"/>
        <v>11.96551724137931</v>
      </c>
    </row>
    <row r="40" spans="1:20" x14ac:dyDescent="0.25">
      <c r="A40" s="1">
        <f t="shared" si="14"/>
        <v>7</v>
      </c>
      <c r="B40" s="1" t="str">
        <f t="shared" si="12"/>
        <v>MEKOULOU Tresor</v>
      </c>
      <c r="C40" s="2">
        <f t="shared" si="2"/>
        <v>12</v>
      </c>
      <c r="D40" s="2">
        <f t="shared" si="3"/>
        <v>11</v>
      </c>
      <c r="E40" s="2">
        <f t="shared" si="20"/>
        <v>22</v>
      </c>
      <c r="F40" s="2">
        <f t="shared" si="21"/>
        <v>24</v>
      </c>
      <c r="G40" s="2">
        <f t="shared" ref="G40" si="26">G11*1</f>
        <v>15</v>
      </c>
      <c r="H40" s="2">
        <f t="shared" si="5"/>
        <v>8</v>
      </c>
      <c r="I40" s="2">
        <f t="shared" si="6"/>
        <v>36</v>
      </c>
      <c r="J40" s="2">
        <f t="shared" si="7"/>
        <v>21</v>
      </c>
      <c r="K40" s="2">
        <f t="shared" si="7"/>
        <v>22</v>
      </c>
      <c r="L40" s="2">
        <f t="shared" si="7"/>
        <v>24</v>
      </c>
      <c r="M40" s="2">
        <f t="shared" si="7"/>
        <v>16</v>
      </c>
      <c r="N40" s="2">
        <f t="shared" si="8"/>
        <v>7</v>
      </c>
      <c r="O40" s="2">
        <f t="shared" si="9"/>
        <v>28</v>
      </c>
      <c r="P40" s="2">
        <f t="shared" ref="P40:R40" si="27">P11*1</f>
        <v>11</v>
      </c>
      <c r="Q40" s="2">
        <f t="shared" si="27"/>
        <v>10</v>
      </c>
      <c r="R40" s="2">
        <f t="shared" si="27"/>
        <v>16</v>
      </c>
      <c r="S40" s="7">
        <f t="shared" si="17"/>
        <v>283</v>
      </c>
      <c r="T40" s="2">
        <f t="shared" si="11"/>
        <v>9.7586206896551726</v>
      </c>
    </row>
    <row r="41" spans="1:20" x14ac:dyDescent="0.25">
      <c r="A41" s="1">
        <f t="shared" si="14"/>
        <v>8</v>
      </c>
      <c r="B41" s="1">
        <f t="shared" si="12"/>
        <v>0</v>
      </c>
      <c r="C41" s="2">
        <f t="shared" si="2"/>
        <v>0</v>
      </c>
      <c r="D41" s="2">
        <f t="shared" si="3"/>
        <v>0</v>
      </c>
      <c r="E41" s="2">
        <f t="shared" si="20"/>
        <v>0</v>
      </c>
      <c r="F41" s="2">
        <f t="shared" si="21"/>
        <v>0</v>
      </c>
      <c r="G41" s="2">
        <f t="shared" ref="G41" si="28">G12*1</f>
        <v>0</v>
      </c>
      <c r="H41" s="2">
        <f t="shared" si="5"/>
        <v>0</v>
      </c>
      <c r="I41" s="2">
        <f t="shared" si="6"/>
        <v>0</v>
      </c>
      <c r="J41" s="2">
        <f t="shared" si="7"/>
        <v>0</v>
      </c>
      <c r="K41" s="2">
        <f t="shared" si="7"/>
        <v>0</v>
      </c>
      <c r="L41" s="2">
        <f t="shared" si="7"/>
        <v>0</v>
      </c>
      <c r="M41" s="2">
        <f t="shared" si="7"/>
        <v>0</v>
      </c>
      <c r="N41" s="2">
        <f t="shared" si="8"/>
        <v>0</v>
      </c>
      <c r="O41" s="2">
        <f t="shared" si="9"/>
        <v>0</v>
      </c>
      <c r="P41" s="2">
        <f t="shared" ref="P41:R41" si="29">P12*1</f>
        <v>0</v>
      </c>
      <c r="Q41" s="2">
        <f t="shared" si="29"/>
        <v>0</v>
      </c>
      <c r="R41" s="2">
        <f t="shared" si="29"/>
        <v>0</v>
      </c>
      <c r="S41" s="7">
        <f t="shared" si="17"/>
        <v>0</v>
      </c>
      <c r="T41" s="2">
        <f t="shared" si="11"/>
        <v>0</v>
      </c>
    </row>
    <row r="42" spans="1:20" x14ac:dyDescent="0.25">
      <c r="A42" s="1">
        <f t="shared" si="14"/>
        <v>9</v>
      </c>
      <c r="B42" s="1">
        <f t="shared" si="12"/>
        <v>0</v>
      </c>
      <c r="C42" s="2">
        <f t="shared" si="2"/>
        <v>0</v>
      </c>
      <c r="D42" s="2">
        <f t="shared" si="3"/>
        <v>0</v>
      </c>
      <c r="E42" s="2">
        <f t="shared" si="20"/>
        <v>0</v>
      </c>
      <c r="F42" s="2">
        <f t="shared" si="21"/>
        <v>0</v>
      </c>
      <c r="G42" s="2">
        <f t="shared" ref="G42" si="30">G13*1</f>
        <v>0</v>
      </c>
      <c r="H42" s="2">
        <f t="shared" si="5"/>
        <v>0</v>
      </c>
      <c r="I42" s="2">
        <f t="shared" si="6"/>
        <v>0</v>
      </c>
      <c r="J42" s="2">
        <f t="shared" si="7"/>
        <v>0</v>
      </c>
      <c r="K42" s="2">
        <f t="shared" si="7"/>
        <v>0</v>
      </c>
      <c r="L42" s="2">
        <f t="shared" si="7"/>
        <v>0</v>
      </c>
      <c r="M42" s="2">
        <f t="shared" si="7"/>
        <v>0</v>
      </c>
      <c r="N42" s="2">
        <f t="shared" si="8"/>
        <v>0</v>
      </c>
      <c r="O42" s="2">
        <f t="shared" si="9"/>
        <v>0</v>
      </c>
      <c r="P42" s="2">
        <f t="shared" ref="P42:R42" si="31">P13*1</f>
        <v>0</v>
      </c>
      <c r="Q42" s="2">
        <f t="shared" si="31"/>
        <v>0</v>
      </c>
      <c r="R42" s="2">
        <f t="shared" si="31"/>
        <v>0</v>
      </c>
      <c r="S42" s="7">
        <f t="shared" si="17"/>
        <v>0</v>
      </c>
      <c r="T42" s="2">
        <f t="shared" si="11"/>
        <v>0</v>
      </c>
    </row>
    <row r="43" spans="1:20" x14ac:dyDescent="0.25">
      <c r="A43" s="1">
        <f t="shared" si="14"/>
        <v>10</v>
      </c>
      <c r="B43" s="1">
        <f t="shared" si="12"/>
        <v>0</v>
      </c>
      <c r="C43" s="2">
        <f t="shared" si="2"/>
        <v>0</v>
      </c>
      <c r="D43" s="2">
        <f t="shared" si="3"/>
        <v>0</v>
      </c>
      <c r="E43" s="2">
        <f t="shared" si="20"/>
        <v>0</v>
      </c>
      <c r="F43" s="2">
        <f t="shared" si="21"/>
        <v>0</v>
      </c>
      <c r="G43" s="2">
        <f t="shared" ref="G43" si="32">G14*1</f>
        <v>0</v>
      </c>
      <c r="H43" s="2">
        <f t="shared" si="5"/>
        <v>0</v>
      </c>
      <c r="I43" s="2">
        <f t="shared" si="6"/>
        <v>0</v>
      </c>
      <c r="J43" s="2">
        <f t="shared" si="7"/>
        <v>0</v>
      </c>
      <c r="K43" s="2">
        <f t="shared" si="7"/>
        <v>0</v>
      </c>
      <c r="L43" s="2">
        <f t="shared" si="7"/>
        <v>0</v>
      </c>
      <c r="M43" s="2">
        <f t="shared" si="7"/>
        <v>0</v>
      </c>
      <c r="N43" s="2">
        <f t="shared" si="8"/>
        <v>0</v>
      </c>
      <c r="O43" s="2">
        <f t="shared" si="9"/>
        <v>0</v>
      </c>
      <c r="P43" s="2">
        <f t="shared" ref="P43:R43" si="33">P14*1</f>
        <v>0</v>
      </c>
      <c r="Q43" s="2">
        <f t="shared" si="33"/>
        <v>0</v>
      </c>
      <c r="R43" s="2">
        <f t="shared" si="33"/>
        <v>0</v>
      </c>
      <c r="S43" s="7">
        <f t="shared" si="17"/>
        <v>0</v>
      </c>
      <c r="T43" s="2">
        <f t="shared" si="11"/>
        <v>0</v>
      </c>
    </row>
    <row r="44" spans="1:20" x14ac:dyDescent="0.25">
      <c r="A44" s="1">
        <f t="shared" si="14"/>
        <v>11</v>
      </c>
      <c r="B44" s="1">
        <f t="shared" si="12"/>
        <v>0</v>
      </c>
      <c r="C44" s="2">
        <f t="shared" si="2"/>
        <v>0</v>
      </c>
      <c r="D44" s="2">
        <f t="shared" si="3"/>
        <v>0</v>
      </c>
      <c r="E44" s="2">
        <f t="shared" si="20"/>
        <v>0</v>
      </c>
      <c r="F44" s="2">
        <f t="shared" ref="F44:G44" si="34">F15*1</f>
        <v>0</v>
      </c>
      <c r="G44" s="2">
        <f t="shared" si="34"/>
        <v>0</v>
      </c>
      <c r="H44" s="2">
        <f t="shared" si="5"/>
        <v>0</v>
      </c>
      <c r="I44" s="2">
        <f t="shared" si="6"/>
        <v>0</v>
      </c>
      <c r="J44" s="2">
        <f t="shared" si="7"/>
        <v>0</v>
      </c>
      <c r="K44" s="2">
        <f t="shared" si="7"/>
        <v>0</v>
      </c>
      <c r="L44" s="2">
        <f t="shared" si="7"/>
        <v>0</v>
      </c>
      <c r="M44" s="2">
        <f t="shared" si="7"/>
        <v>0</v>
      </c>
      <c r="N44" s="2">
        <f t="shared" si="8"/>
        <v>0</v>
      </c>
      <c r="O44" s="2">
        <f t="shared" si="9"/>
        <v>0</v>
      </c>
      <c r="P44" s="2">
        <f t="shared" ref="P44:R44" si="35">P15*1</f>
        <v>0</v>
      </c>
      <c r="Q44" s="2">
        <f t="shared" si="35"/>
        <v>0</v>
      </c>
      <c r="R44" s="2">
        <f t="shared" si="35"/>
        <v>0</v>
      </c>
      <c r="S44" s="7">
        <f t="shared" si="17"/>
        <v>0</v>
      </c>
      <c r="T44" s="2">
        <f t="shared" si="11"/>
        <v>0</v>
      </c>
    </row>
    <row r="45" spans="1:20" x14ac:dyDescent="0.25">
      <c r="A45" s="1">
        <f t="shared" si="14"/>
        <v>12</v>
      </c>
      <c r="B45" s="1">
        <f t="shared" si="12"/>
        <v>0</v>
      </c>
      <c r="C45" s="2">
        <f t="shared" si="2"/>
        <v>0</v>
      </c>
      <c r="D45" s="2">
        <f t="shared" si="3"/>
        <v>0</v>
      </c>
      <c r="E45" s="2">
        <f t="shared" si="20"/>
        <v>0</v>
      </c>
      <c r="F45" s="2">
        <f t="shared" ref="F45:G45" si="36">F16*1</f>
        <v>0</v>
      </c>
      <c r="G45" s="2">
        <f t="shared" si="36"/>
        <v>0</v>
      </c>
      <c r="H45" s="2">
        <f t="shared" si="5"/>
        <v>0</v>
      </c>
      <c r="I45" s="2">
        <f t="shared" si="6"/>
        <v>0</v>
      </c>
      <c r="J45" s="2">
        <f t="shared" si="7"/>
        <v>0</v>
      </c>
      <c r="K45" s="2">
        <f t="shared" si="7"/>
        <v>0</v>
      </c>
      <c r="L45" s="2">
        <f t="shared" si="7"/>
        <v>0</v>
      </c>
      <c r="M45" s="2">
        <f t="shared" si="7"/>
        <v>0</v>
      </c>
      <c r="N45" s="2">
        <f t="shared" si="8"/>
        <v>0</v>
      </c>
      <c r="O45" s="2">
        <f t="shared" si="9"/>
        <v>0</v>
      </c>
      <c r="P45" s="2">
        <f t="shared" ref="P45:R45" si="37">P16*1</f>
        <v>0</v>
      </c>
      <c r="Q45" s="2">
        <f t="shared" si="37"/>
        <v>0</v>
      </c>
      <c r="R45" s="2">
        <f t="shared" si="37"/>
        <v>0</v>
      </c>
      <c r="S45" s="7">
        <f t="shared" si="17"/>
        <v>0</v>
      </c>
      <c r="T45" s="2">
        <f t="shared" si="11"/>
        <v>0</v>
      </c>
    </row>
    <row r="46" spans="1:20" x14ac:dyDescent="0.25">
      <c r="A46" s="1">
        <f t="shared" si="14"/>
        <v>13</v>
      </c>
      <c r="B46" s="1">
        <f t="shared" si="12"/>
        <v>0</v>
      </c>
      <c r="C46" s="2">
        <f t="shared" si="2"/>
        <v>0</v>
      </c>
      <c r="D46" s="2">
        <f t="shared" si="3"/>
        <v>0</v>
      </c>
      <c r="E46" s="2">
        <f t="shared" si="20"/>
        <v>0</v>
      </c>
      <c r="F46" s="2">
        <f t="shared" ref="F46:G46" si="38">F17*1</f>
        <v>0</v>
      </c>
      <c r="G46" s="2">
        <f t="shared" si="38"/>
        <v>0</v>
      </c>
      <c r="H46" s="2">
        <f t="shared" si="5"/>
        <v>0</v>
      </c>
      <c r="I46" s="2">
        <f t="shared" si="6"/>
        <v>0</v>
      </c>
      <c r="J46" s="2">
        <f t="shared" si="7"/>
        <v>0</v>
      </c>
      <c r="K46" s="2">
        <f t="shared" si="7"/>
        <v>0</v>
      </c>
      <c r="L46" s="2">
        <f t="shared" si="7"/>
        <v>0</v>
      </c>
      <c r="M46" s="2">
        <f t="shared" si="7"/>
        <v>0</v>
      </c>
      <c r="N46" s="2">
        <f t="shared" si="8"/>
        <v>0</v>
      </c>
      <c r="O46" s="2">
        <f t="shared" si="9"/>
        <v>0</v>
      </c>
      <c r="P46" s="2">
        <f t="shared" ref="P46:R46" si="39">P17*1</f>
        <v>0</v>
      </c>
      <c r="Q46" s="2">
        <f t="shared" si="39"/>
        <v>0</v>
      </c>
      <c r="R46" s="2">
        <f t="shared" si="39"/>
        <v>0</v>
      </c>
      <c r="S46" s="7">
        <f t="shared" si="17"/>
        <v>0</v>
      </c>
      <c r="T46" s="2">
        <f t="shared" si="11"/>
        <v>0</v>
      </c>
    </row>
    <row r="47" spans="1:20" x14ac:dyDescent="0.25">
      <c r="A47" s="1">
        <f t="shared" si="14"/>
        <v>14</v>
      </c>
      <c r="B47" s="1">
        <f t="shared" si="12"/>
        <v>0</v>
      </c>
      <c r="C47" s="2">
        <f t="shared" si="2"/>
        <v>0</v>
      </c>
      <c r="D47" s="2">
        <f t="shared" si="3"/>
        <v>0</v>
      </c>
      <c r="E47" s="2">
        <f t="shared" si="20"/>
        <v>0</v>
      </c>
      <c r="F47" s="2">
        <f t="shared" ref="F47:G47" si="40">F18*1</f>
        <v>0</v>
      </c>
      <c r="G47" s="2">
        <f t="shared" si="40"/>
        <v>0</v>
      </c>
      <c r="H47" s="2">
        <f t="shared" si="5"/>
        <v>0</v>
      </c>
      <c r="I47" s="2">
        <f t="shared" si="6"/>
        <v>0</v>
      </c>
      <c r="J47" s="2">
        <f t="shared" si="7"/>
        <v>0</v>
      </c>
      <c r="K47" s="2">
        <f t="shared" si="7"/>
        <v>0</v>
      </c>
      <c r="L47" s="2">
        <f t="shared" si="7"/>
        <v>0</v>
      </c>
      <c r="M47" s="2">
        <f t="shared" si="7"/>
        <v>0</v>
      </c>
      <c r="N47" s="2">
        <f t="shared" si="8"/>
        <v>0</v>
      </c>
      <c r="O47" s="2">
        <f t="shared" si="9"/>
        <v>0</v>
      </c>
      <c r="P47" s="2">
        <f t="shared" ref="P47:R47" si="41">P18*1</f>
        <v>0</v>
      </c>
      <c r="Q47" s="2">
        <f t="shared" si="41"/>
        <v>0</v>
      </c>
      <c r="R47" s="2">
        <f t="shared" si="41"/>
        <v>0</v>
      </c>
      <c r="S47" s="7">
        <f t="shared" si="17"/>
        <v>0</v>
      </c>
      <c r="T47" s="2">
        <f t="shared" si="11"/>
        <v>0</v>
      </c>
    </row>
    <row r="48" spans="1:20" x14ac:dyDescent="0.25">
      <c r="A48" s="1">
        <f t="shared" si="14"/>
        <v>15</v>
      </c>
      <c r="B48" s="1">
        <f t="shared" si="12"/>
        <v>0</v>
      </c>
      <c r="C48" s="2">
        <f t="shared" si="2"/>
        <v>0</v>
      </c>
      <c r="D48" s="2">
        <f t="shared" si="3"/>
        <v>0</v>
      </c>
      <c r="E48" s="2">
        <f t="shared" si="20"/>
        <v>0</v>
      </c>
      <c r="F48" s="2">
        <f t="shared" ref="F48:G48" si="42">F19*1</f>
        <v>0</v>
      </c>
      <c r="G48" s="2">
        <f t="shared" si="42"/>
        <v>0</v>
      </c>
      <c r="H48" s="2">
        <f t="shared" si="5"/>
        <v>0</v>
      </c>
      <c r="I48" s="2">
        <f t="shared" si="6"/>
        <v>0</v>
      </c>
      <c r="J48" s="2">
        <f t="shared" si="7"/>
        <v>0</v>
      </c>
      <c r="K48" s="2">
        <f t="shared" si="7"/>
        <v>0</v>
      </c>
      <c r="L48" s="2">
        <f t="shared" si="7"/>
        <v>0</v>
      </c>
      <c r="M48" s="2">
        <f t="shared" si="7"/>
        <v>0</v>
      </c>
      <c r="N48" s="2">
        <f t="shared" si="8"/>
        <v>0</v>
      </c>
      <c r="O48" s="2">
        <f t="shared" si="9"/>
        <v>0</v>
      </c>
      <c r="P48" s="2">
        <f t="shared" ref="P48:R48" si="43">P19*1</f>
        <v>0</v>
      </c>
      <c r="Q48" s="2">
        <f t="shared" si="43"/>
        <v>0</v>
      </c>
      <c r="R48" s="2">
        <f t="shared" si="43"/>
        <v>0</v>
      </c>
      <c r="S48" s="7">
        <f t="shared" si="17"/>
        <v>0</v>
      </c>
      <c r="T48" s="2">
        <f t="shared" si="11"/>
        <v>0</v>
      </c>
    </row>
    <row r="49" spans="1:20" x14ac:dyDescent="0.25">
      <c r="A49" s="1">
        <f t="shared" si="14"/>
        <v>16</v>
      </c>
      <c r="B49" s="1">
        <f t="shared" si="12"/>
        <v>0</v>
      </c>
      <c r="C49" s="2">
        <f t="shared" si="2"/>
        <v>0</v>
      </c>
      <c r="D49" s="2">
        <f t="shared" si="3"/>
        <v>0</v>
      </c>
      <c r="E49" s="2">
        <f t="shared" si="20"/>
        <v>0</v>
      </c>
      <c r="F49" s="2">
        <f t="shared" ref="F49:G49" si="44">F20*1</f>
        <v>0</v>
      </c>
      <c r="G49" s="2">
        <f t="shared" si="44"/>
        <v>0</v>
      </c>
      <c r="H49" s="2">
        <f t="shared" si="5"/>
        <v>0</v>
      </c>
      <c r="I49" s="2">
        <f t="shared" si="6"/>
        <v>0</v>
      </c>
      <c r="J49" s="2">
        <f t="shared" si="7"/>
        <v>0</v>
      </c>
      <c r="K49" s="2">
        <f t="shared" si="7"/>
        <v>0</v>
      </c>
      <c r="L49" s="2">
        <f t="shared" si="7"/>
        <v>0</v>
      </c>
      <c r="M49" s="2">
        <f t="shared" si="7"/>
        <v>0</v>
      </c>
      <c r="N49" s="2">
        <f t="shared" si="8"/>
        <v>0</v>
      </c>
      <c r="O49" s="2">
        <f t="shared" si="9"/>
        <v>0</v>
      </c>
      <c r="P49" s="2">
        <f t="shared" ref="P49:R49" si="45">P20*1</f>
        <v>0</v>
      </c>
      <c r="Q49" s="2">
        <f t="shared" si="45"/>
        <v>0</v>
      </c>
      <c r="R49" s="2">
        <f t="shared" si="45"/>
        <v>0</v>
      </c>
      <c r="S49" s="7">
        <f t="shared" si="17"/>
        <v>0</v>
      </c>
      <c r="T49" s="2">
        <f t="shared" si="11"/>
        <v>0</v>
      </c>
    </row>
    <row r="50" spans="1:20" x14ac:dyDescent="0.25">
      <c r="A50" s="1">
        <f t="shared" si="14"/>
        <v>17</v>
      </c>
      <c r="B50" s="1">
        <f t="shared" si="12"/>
        <v>0</v>
      </c>
      <c r="C50" s="2">
        <f t="shared" si="2"/>
        <v>0</v>
      </c>
      <c r="D50" s="2">
        <f t="shared" si="3"/>
        <v>0</v>
      </c>
      <c r="E50" s="2">
        <f t="shared" si="20"/>
        <v>0</v>
      </c>
      <c r="F50" s="2">
        <f t="shared" ref="F50:G50" si="46">F21*1</f>
        <v>0</v>
      </c>
      <c r="G50" s="2">
        <f t="shared" si="46"/>
        <v>0</v>
      </c>
      <c r="H50" s="2">
        <f t="shared" si="5"/>
        <v>0</v>
      </c>
      <c r="I50" s="2">
        <f t="shared" si="6"/>
        <v>0</v>
      </c>
      <c r="J50" s="2">
        <f t="shared" si="7"/>
        <v>0</v>
      </c>
      <c r="K50" s="2">
        <f t="shared" si="7"/>
        <v>0</v>
      </c>
      <c r="L50" s="2">
        <f t="shared" si="7"/>
        <v>0</v>
      </c>
      <c r="M50" s="2">
        <f t="shared" si="7"/>
        <v>0</v>
      </c>
      <c r="N50" s="2">
        <f t="shared" si="8"/>
        <v>0</v>
      </c>
      <c r="O50" s="2">
        <f t="shared" si="9"/>
        <v>0</v>
      </c>
      <c r="P50" s="2">
        <f t="shared" ref="P50" si="47">P21*1</f>
        <v>0</v>
      </c>
      <c r="Q50" s="2">
        <v>13</v>
      </c>
      <c r="R50" s="2">
        <v>15</v>
      </c>
      <c r="S50" s="7">
        <f t="shared" si="17"/>
        <v>28</v>
      </c>
      <c r="T50" s="2">
        <f t="shared" si="11"/>
        <v>0.96551724137931039</v>
      </c>
    </row>
    <row r="51" spans="1:20" x14ac:dyDescent="0.25">
      <c r="A51" s="1">
        <f t="shared" si="14"/>
        <v>18</v>
      </c>
      <c r="B51" s="1">
        <f t="shared" si="12"/>
        <v>0</v>
      </c>
      <c r="C51" s="2">
        <f t="shared" si="2"/>
        <v>0</v>
      </c>
      <c r="D51" s="2">
        <f t="shared" si="3"/>
        <v>0</v>
      </c>
      <c r="E51" s="2">
        <f t="shared" si="20"/>
        <v>0</v>
      </c>
      <c r="F51" s="2">
        <f t="shared" ref="F51:G51" si="48">F22*1</f>
        <v>0</v>
      </c>
      <c r="G51" s="2">
        <f t="shared" si="48"/>
        <v>0</v>
      </c>
      <c r="H51" s="2">
        <f t="shared" si="5"/>
        <v>0</v>
      </c>
      <c r="I51" s="2">
        <f t="shared" si="6"/>
        <v>0</v>
      </c>
      <c r="J51" s="2">
        <f t="shared" si="7"/>
        <v>0</v>
      </c>
      <c r="K51" s="2">
        <f t="shared" si="7"/>
        <v>0</v>
      </c>
      <c r="L51" s="2">
        <f t="shared" si="7"/>
        <v>0</v>
      </c>
      <c r="M51" s="2">
        <f t="shared" si="7"/>
        <v>0</v>
      </c>
      <c r="N51" s="2">
        <f t="shared" si="8"/>
        <v>0</v>
      </c>
      <c r="O51" s="2">
        <f t="shared" si="9"/>
        <v>0</v>
      </c>
      <c r="P51" s="2">
        <f t="shared" ref="P51" si="49">P22*1</f>
        <v>0</v>
      </c>
      <c r="Q51" s="2">
        <v>0</v>
      </c>
      <c r="R51" s="2">
        <v>0</v>
      </c>
      <c r="S51" s="7">
        <v>0</v>
      </c>
      <c r="T51" s="2">
        <f t="shared" si="11"/>
        <v>0</v>
      </c>
    </row>
    <row r="52" spans="1:20" x14ac:dyDescent="0.25">
      <c r="A52" s="1">
        <f t="shared" si="14"/>
        <v>19</v>
      </c>
      <c r="B52" s="1">
        <f t="shared" si="12"/>
        <v>0</v>
      </c>
      <c r="C52" s="2">
        <f t="shared" si="2"/>
        <v>0</v>
      </c>
      <c r="D52" s="2">
        <f t="shared" si="3"/>
        <v>0</v>
      </c>
      <c r="E52" s="2">
        <f t="shared" si="20"/>
        <v>0</v>
      </c>
      <c r="F52" s="2">
        <f t="shared" ref="F52:G52" si="50">F23*1</f>
        <v>0</v>
      </c>
      <c r="G52" s="2">
        <f t="shared" si="50"/>
        <v>0</v>
      </c>
      <c r="H52" s="2">
        <f t="shared" si="5"/>
        <v>0</v>
      </c>
      <c r="I52" s="2">
        <f t="shared" si="6"/>
        <v>0</v>
      </c>
      <c r="J52" s="2">
        <f t="shared" si="7"/>
        <v>0</v>
      </c>
      <c r="K52" s="2">
        <f t="shared" si="7"/>
        <v>0</v>
      </c>
      <c r="L52" s="2">
        <f t="shared" si="7"/>
        <v>0</v>
      </c>
      <c r="M52" s="2">
        <f t="shared" si="7"/>
        <v>0</v>
      </c>
      <c r="N52" s="2">
        <f t="shared" si="8"/>
        <v>0</v>
      </c>
      <c r="O52" s="2">
        <f t="shared" si="9"/>
        <v>0</v>
      </c>
      <c r="P52" s="2">
        <f t="shared" ref="P52:R52" si="51">P23*1</f>
        <v>0</v>
      </c>
      <c r="Q52" s="2">
        <f t="shared" si="51"/>
        <v>0</v>
      </c>
      <c r="R52" s="2">
        <f t="shared" si="51"/>
        <v>0</v>
      </c>
      <c r="S52" s="7">
        <f t="shared" si="17"/>
        <v>0</v>
      </c>
      <c r="T52" s="2">
        <f t="shared" si="11"/>
        <v>0</v>
      </c>
    </row>
    <row r="53" spans="1:20" x14ac:dyDescent="0.25">
      <c r="A53" s="1">
        <f t="shared" si="14"/>
        <v>20</v>
      </c>
      <c r="B53" s="1" t="e">
        <f t="shared" si="12"/>
        <v>#REF!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7"/>
      <c r="T53" s="2"/>
    </row>
    <row r="54" spans="1:20" x14ac:dyDescent="0.25">
      <c r="A54" s="1">
        <f t="shared" si="14"/>
        <v>21</v>
      </c>
      <c r="B54" s="1" t="e">
        <f t="shared" si="12"/>
        <v>#REF!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7"/>
      <c r="T54" s="2"/>
    </row>
    <row r="55" spans="1:20" x14ac:dyDescent="0.25">
      <c r="A55" s="1">
        <f t="shared" si="14"/>
        <v>22</v>
      </c>
      <c r="B55" s="1" t="e">
        <f t="shared" si="12"/>
        <v>#REF!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7"/>
      <c r="T55" s="2"/>
    </row>
    <row r="56" spans="1:20" x14ac:dyDescent="0.25">
      <c r="A56" s="1">
        <f t="shared" si="14"/>
        <v>23</v>
      </c>
      <c r="B56" s="1" t="e">
        <f t="shared" si="12"/>
        <v>#REF!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7"/>
      <c r="T56" s="2"/>
    </row>
    <row r="57" spans="1:20" x14ac:dyDescent="0.25">
      <c r="A57" s="1">
        <f t="shared" si="14"/>
        <v>24</v>
      </c>
      <c r="B57" s="1" t="e">
        <f t="shared" si="12"/>
        <v>#REF!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7"/>
      <c r="T57" s="2"/>
    </row>
    <row r="58" spans="1:20" x14ac:dyDescent="0.25">
      <c r="A58" s="1">
        <f t="shared" si="14"/>
        <v>25</v>
      </c>
      <c r="B58" s="1" t="e">
        <f t="shared" si="12"/>
        <v>#REF!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7"/>
      <c r="T58" s="2"/>
    </row>
    <row r="59" spans="1:20" x14ac:dyDescent="0.25">
      <c r="B59" s="1" t="e">
        <f t="shared" si="12"/>
        <v>#REF!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7"/>
      <c r="T59" s="2"/>
    </row>
    <row r="60" spans="1:20" x14ac:dyDescent="0.25">
      <c r="T60" s="3">
        <f>AVERAGE(T34:T59)</f>
        <v>2.3847549909255896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76"/>
  <sheetViews>
    <sheetView topLeftCell="A23" workbookViewId="0">
      <selection activeCell="U27" sqref="U27"/>
    </sheetView>
  </sheetViews>
  <sheetFormatPr baseColWidth="10" defaultRowHeight="15" x14ac:dyDescent="0.25"/>
  <cols>
    <col min="2" max="2" width="33.28515625" bestFit="1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5.5703125" bestFit="1" customWidth="1"/>
    <col min="9" max="9" width="6.7109375" bestFit="1" customWidth="1"/>
    <col min="10" max="10" width="9.140625" bestFit="1" customWidth="1"/>
    <col min="11" max="13" width="5.5703125" bestFit="1" customWidth="1"/>
    <col min="14" max="14" width="6.5703125" bestFit="1" customWidth="1"/>
    <col min="15" max="18" width="5.5703125" bestFit="1" customWidth="1"/>
    <col min="19" max="19" width="6.5703125" bestFit="1" customWidth="1"/>
    <col min="20" max="20" width="10" bestFit="1" customWidth="1"/>
  </cols>
  <sheetData>
    <row r="4" spans="1:18" x14ac:dyDescent="0.25">
      <c r="A4" s="4" t="s">
        <v>2</v>
      </c>
      <c r="B4" s="5" t="s">
        <v>0</v>
      </c>
      <c r="C4" s="5" t="s">
        <v>1</v>
      </c>
      <c r="D4" s="5" t="s">
        <v>16</v>
      </c>
      <c r="E4" s="5" t="s">
        <v>17</v>
      </c>
      <c r="F4" s="5" t="s">
        <v>9</v>
      </c>
      <c r="G4" s="5" t="s">
        <v>15</v>
      </c>
      <c r="H4" s="5" t="s">
        <v>10</v>
      </c>
      <c r="I4" s="5" t="s">
        <v>11</v>
      </c>
      <c r="J4" s="5" t="s">
        <v>3</v>
      </c>
      <c r="K4" s="5" t="s">
        <v>4</v>
      </c>
      <c r="L4" s="5" t="s">
        <v>12</v>
      </c>
      <c r="M4" s="5" t="s">
        <v>13</v>
      </c>
      <c r="N4" s="5" t="s">
        <v>90</v>
      </c>
      <c r="O4" s="5" t="s">
        <v>6</v>
      </c>
      <c r="P4" s="5" t="s">
        <v>7</v>
      </c>
      <c r="Q4" s="5" t="s">
        <v>91</v>
      </c>
      <c r="R4" s="5" t="s">
        <v>14</v>
      </c>
    </row>
    <row r="5" spans="1:18" x14ac:dyDescent="0.25">
      <c r="A5" s="1">
        <v>1</v>
      </c>
      <c r="B5" s="1" t="s">
        <v>64</v>
      </c>
      <c r="C5" s="2">
        <v>18</v>
      </c>
      <c r="D5" s="2">
        <v>11</v>
      </c>
      <c r="E5" s="2">
        <v>13</v>
      </c>
      <c r="F5" s="2">
        <v>12</v>
      </c>
      <c r="G5" s="2">
        <v>17</v>
      </c>
      <c r="H5" s="2">
        <v>13</v>
      </c>
      <c r="I5" s="2">
        <v>10</v>
      </c>
      <c r="J5" s="2">
        <v>12</v>
      </c>
      <c r="K5" s="2">
        <v>12.5</v>
      </c>
      <c r="L5" s="2">
        <v>14</v>
      </c>
      <c r="M5" s="2">
        <v>14</v>
      </c>
      <c r="N5" s="2">
        <v>13</v>
      </c>
      <c r="O5" s="2">
        <v>16</v>
      </c>
      <c r="P5" s="2">
        <v>15</v>
      </c>
      <c r="Q5" s="2">
        <v>12</v>
      </c>
      <c r="R5" s="2">
        <v>17</v>
      </c>
    </row>
    <row r="6" spans="1:18" x14ac:dyDescent="0.25">
      <c r="A6" s="1">
        <f>A5+1</f>
        <v>2</v>
      </c>
      <c r="B6" s="1" t="s">
        <v>97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f t="shared" ref="A7:A29" si="0">A6+1</f>
        <v>3</v>
      </c>
      <c r="B7" s="1" t="s">
        <v>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f t="shared" si="0"/>
        <v>4</v>
      </c>
      <c r="B8" s="1" t="s">
        <v>98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f t="shared" si="0"/>
        <v>5</v>
      </c>
      <c r="B9" s="51" t="s">
        <v>99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f t="shared" si="0"/>
        <v>6</v>
      </c>
      <c r="B10" s="1" t="s">
        <v>69</v>
      </c>
      <c r="C10" s="2">
        <v>14</v>
      </c>
      <c r="D10" s="2">
        <v>16</v>
      </c>
      <c r="E10" s="2">
        <v>11</v>
      </c>
      <c r="F10" s="2">
        <v>11</v>
      </c>
      <c r="G10" s="2">
        <v>17</v>
      </c>
      <c r="H10" s="2">
        <v>15.5</v>
      </c>
      <c r="I10" s="2">
        <v>6</v>
      </c>
      <c r="J10" s="2">
        <v>10</v>
      </c>
      <c r="K10" s="2">
        <v>12</v>
      </c>
      <c r="L10" s="2">
        <v>12</v>
      </c>
      <c r="M10" s="2">
        <v>12</v>
      </c>
      <c r="N10" s="2">
        <v>10</v>
      </c>
      <c r="O10" s="2">
        <v>14</v>
      </c>
      <c r="P10" s="2">
        <v>7.5</v>
      </c>
      <c r="Q10" s="2">
        <v>10</v>
      </c>
      <c r="R10" s="2">
        <v>17</v>
      </c>
    </row>
    <row r="11" spans="1:18" x14ac:dyDescent="0.25">
      <c r="A11" s="1">
        <f t="shared" si="0"/>
        <v>7</v>
      </c>
      <c r="B11" s="1" t="s">
        <v>126</v>
      </c>
      <c r="C11" s="2">
        <v>10</v>
      </c>
      <c r="D11" s="2">
        <v>8</v>
      </c>
      <c r="E11" s="2">
        <v>11</v>
      </c>
      <c r="F11" s="2">
        <v>10.5</v>
      </c>
      <c r="G11" s="2">
        <v>17</v>
      </c>
      <c r="H11" s="2">
        <v>11</v>
      </c>
      <c r="I11" s="2">
        <v>6</v>
      </c>
      <c r="J11" s="2">
        <v>11.5</v>
      </c>
      <c r="K11" s="2">
        <v>11</v>
      </c>
      <c r="L11" s="2">
        <v>14</v>
      </c>
      <c r="M11" s="2">
        <v>10</v>
      </c>
      <c r="N11" s="2">
        <v>7</v>
      </c>
      <c r="O11" s="2">
        <v>15</v>
      </c>
      <c r="P11" s="2">
        <v>11</v>
      </c>
      <c r="Q11" s="2">
        <v>10</v>
      </c>
      <c r="R11" s="2">
        <v>17</v>
      </c>
    </row>
    <row r="12" spans="1:18" x14ac:dyDescent="0.25">
      <c r="A12" s="1">
        <f t="shared" si="0"/>
        <v>8</v>
      </c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1">
        <f t="shared" si="0"/>
        <v>9</v>
      </c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1">
        <f t="shared" si="0"/>
        <v>10</v>
      </c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1">
        <f t="shared" si="0"/>
        <v>11</v>
      </c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1">
        <f t="shared" si="0"/>
        <v>12</v>
      </c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20" x14ac:dyDescent="0.25">
      <c r="A17" s="1">
        <f t="shared" si="0"/>
        <v>13</v>
      </c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20" x14ac:dyDescent="0.25">
      <c r="A18" s="1">
        <f t="shared" si="0"/>
        <v>14</v>
      </c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20" x14ac:dyDescent="0.25">
      <c r="A19" s="1">
        <f t="shared" si="0"/>
        <v>15</v>
      </c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20" x14ac:dyDescent="0.25">
      <c r="A20" s="1">
        <f t="shared" si="0"/>
        <v>16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A21" s="1">
        <f t="shared" si="0"/>
        <v>17</v>
      </c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A22" s="1">
        <f t="shared" si="0"/>
        <v>18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A23" s="1">
        <f t="shared" si="0"/>
        <v>19</v>
      </c>
      <c r="B23" s="8" t="e">
        <f>#REF!</f>
        <v>#REF!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20" x14ac:dyDescent="0.25">
      <c r="A24" s="1">
        <f t="shared" si="0"/>
        <v>20</v>
      </c>
      <c r="B24" s="1" t="e">
        <f>#REF!</f>
        <v>#REF!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A25" s="1">
        <f t="shared" si="0"/>
        <v>21</v>
      </c>
      <c r="B25" s="1" t="e">
        <f>#REF!</f>
        <v>#REF!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A26" s="1">
        <f t="shared" si="0"/>
        <v>22</v>
      </c>
      <c r="B26" s="1" t="e">
        <f>#REF!</f>
        <v>#REF!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A27" s="1">
        <f t="shared" si="0"/>
        <v>23</v>
      </c>
      <c r="B27" s="1" t="e">
        <f>#REF!</f>
        <v>#REF!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A28" s="1">
        <f t="shared" si="0"/>
        <v>24</v>
      </c>
      <c r="B28" s="1" t="e">
        <f>#REF!</f>
        <v>#REF!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A29" s="1">
        <f t="shared" si="0"/>
        <v>25</v>
      </c>
      <c r="B29" s="1" t="e">
        <f>#REF!</f>
        <v>#REF!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C30" s="3">
        <f>AVERAGE(C5:C29)</f>
        <v>14</v>
      </c>
      <c r="D30" s="3">
        <f t="shared" ref="D30:R30" si="1">AVERAGE(D5:D29)</f>
        <v>11.666666666666666</v>
      </c>
      <c r="E30" s="3">
        <f t="shared" si="1"/>
        <v>11.666666666666666</v>
      </c>
      <c r="F30" s="3">
        <f t="shared" si="1"/>
        <v>11.166666666666666</v>
      </c>
      <c r="G30" s="3">
        <f t="shared" si="1"/>
        <v>17</v>
      </c>
      <c r="H30" s="3">
        <f t="shared" si="1"/>
        <v>13.166666666666666</v>
      </c>
      <c r="I30" s="3">
        <f t="shared" si="1"/>
        <v>7.333333333333333</v>
      </c>
      <c r="J30" s="3">
        <f t="shared" si="1"/>
        <v>11.166666666666666</v>
      </c>
      <c r="K30" s="3">
        <f t="shared" si="1"/>
        <v>11.833333333333334</v>
      </c>
      <c r="L30" s="3">
        <f t="shared" si="1"/>
        <v>13.333333333333334</v>
      </c>
      <c r="M30" s="3">
        <f t="shared" si="1"/>
        <v>12</v>
      </c>
      <c r="N30" s="3">
        <f t="shared" si="1"/>
        <v>10</v>
      </c>
      <c r="O30" s="3">
        <f t="shared" si="1"/>
        <v>15</v>
      </c>
      <c r="P30" s="3">
        <f t="shared" si="1"/>
        <v>11.166666666666666</v>
      </c>
      <c r="Q30" s="3">
        <f t="shared" si="1"/>
        <v>10.666666666666666</v>
      </c>
      <c r="R30" s="3">
        <f t="shared" si="1"/>
        <v>17</v>
      </c>
      <c r="S30" s="3">
        <f>AVERAGE(C30:R30)</f>
        <v>12.385416666666664</v>
      </c>
    </row>
    <row r="32" spans="1:20" x14ac:dyDescent="0.25">
      <c r="A32" s="4" t="s">
        <v>2</v>
      </c>
      <c r="B32" s="5" t="s">
        <v>0</v>
      </c>
      <c r="C32" s="5" t="s">
        <v>1</v>
      </c>
      <c r="D32" s="5" t="s">
        <v>16</v>
      </c>
      <c r="E32" s="5" t="s">
        <v>17</v>
      </c>
      <c r="F32" s="5" t="s">
        <v>9</v>
      </c>
      <c r="G32" s="5" t="s">
        <v>15</v>
      </c>
      <c r="H32" s="5" t="s">
        <v>10</v>
      </c>
      <c r="I32" s="5" t="s">
        <v>11</v>
      </c>
      <c r="J32" s="5" t="s">
        <v>3</v>
      </c>
      <c r="K32" s="5" t="s">
        <v>4</v>
      </c>
      <c r="L32" s="5" t="s">
        <v>12</v>
      </c>
      <c r="M32" s="5" t="s">
        <v>13</v>
      </c>
      <c r="N32" s="5" t="s">
        <v>90</v>
      </c>
      <c r="O32" s="5" t="s">
        <v>6</v>
      </c>
      <c r="P32" s="5" t="s">
        <v>7</v>
      </c>
      <c r="Q32" s="5" t="s">
        <v>91</v>
      </c>
      <c r="R32" s="5" t="s">
        <v>14</v>
      </c>
      <c r="S32" s="6" t="s">
        <v>18</v>
      </c>
      <c r="T32" s="6" t="s">
        <v>19</v>
      </c>
    </row>
    <row r="33" spans="1:20" x14ac:dyDescent="0.25">
      <c r="A33" s="1">
        <v>1</v>
      </c>
      <c r="B33" s="1" t="str">
        <f>B5</f>
        <v>BILIK PEE Pauline Remine</v>
      </c>
      <c r="C33" s="2">
        <f>C5*3</f>
        <v>54</v>
      </c>
      <c r="D33" s="2">
        <f>D5*1</f>
        <v>11</v>
      </c>
      <c r="E33" s="2">
        <f>E5*2</f>
        <v>26</v>
      </c>
      <c r="F33" s="2">
        <f>F5*2</f>
        <v>24</v>
      </c>
      <c r="G33" s="2">
        <f>G5*1</f>
        <v>17</v>
      </c>
      <c r="H33" s="2">
        <f>H5*2</f>
        <v>26</v>
      </c>
      <c r="I33" s="2">
        <f>I5*4</f>
        <v>40</v>
      </c>
      <c r="J33" s="2">
        <f>J5*2</f>
        <v>24</v>
      </c>
      <c r="K33" s="2">
        <f>K5*2</f>
        <v>25</v>
      </c>
      <c r="L33" s="2">
        <f>L5*2</f>
        <v>28</v>
      </c>
      <c r="M33" s="2">
        <f>M5*2</f>
        <v>28</v>
      </c>
      <c r="N33" s="2">
        <f>N5*1</f>
        <v>13</v>
      </c>
      <c r="O33" s="2">
        <f>O5*2</f>
        <v>32</v>
      </c>
      <c r="P33" s="2">
        <f>P5*1</f>
        <v>15</v>
      </c>
      <c r="Q33" s="2">
        <f>Q5*1</f>
        <v>12</v>
      </c>
      <c r="R33" s="2">
        <f>R5*1</f>
        <v>17</v>
      </c>
      <c r="S33" s="7">
        <f>SUM(C33:R33)</f>
        <v>392</v>
      </c>
      <c r="T33" s="2">
        <f t="shared" ref="T33:T50" si="2">S33/29</f>
        <v>13.517241379310345</v>
      </c>
    </row>
    <row r="34" spans="1:20" x14ac:dyDescent="0.25">
      <c r="A34" s="1">
        <f>A33+1</f>
        <v>2</v>
      </c>
      <c r="B34" s="1" t="str">
        <f t="shared" ref="B34:B57" si="3">B6</f>
        <v>BILOA Daniel Aurel</v>
      </c>
      <c r="C34" s="2">
        <f t="shared" ref="C34:C50" si="4">C6*3</f>
        <v>0</v>
      </c>
      <c r="D34" s="2">
        <f t="shared" ref="D34:D50" si="5">D6*1</f>
        <v>0</v>
      </c>
      <c r="E34" s="2">
        <f t="shared" ref="E34:E50" si="6">E6*2</f>
        <v>0</v>
      </c>
      <c r="F34" s="2">
        <f>F6*2</f>
        <v>0</v>
      </c>
      <c r="G34" s="2">
        <f t="shared" ref="G34" si="7">G6*1</f>
        <v>0</v>
      </c>
      <c r="H34" s="2">
        <f t="shared" ref="H34:H50" si="8">H6*2</f>
        <v>0</v>
      </c>
      <c r="I34" s="2">
        <f t="shared" ref="I34:I50" si="9">I6*4</f>
        <v>0</v>
      </c>
      <c r="J34" s="2">
        <f t="shared" ref="J34:J50" si="10">J6*2</f>
        <v>0</v>
      </c>
      <c r="K34" s="2">
        <f t="shared" ref="K34:M50" si="11">K6*2</f>
        <v>0</v>
      </c>
      <c r="L34" s="2">
        <f t="shared" si="11"/>
        <v>0</v>
      </c>
      <c r="M34" s="2">
        <f t="shared" si="11"/>
        <v>0</v>
      </c>
      <c r="N34" s="2">
        <f t="shared" ref="N34:N50" si="12">N6*1</f>
        <v>0</v>
      </c>
      <c r="O34" s="2">
        <f t="shared" ref="O34:O50" si="13">O6*2</f>
        <v>0</v>
      </c>
      <c r="P34" s="2">
        <f t="shared" ref="P34:R49" si="14">P6*1</f>
        <v>0</v>
      </c>
      <c r="Q34" s="2">
        <f t="shared" si="14"/>
        <v>0</v>
      </c>
      <c r="R34" s="2">
        <f t="shared" si="14"/>
        <v>0</v>
      </c>
      <c r="S34" s="7">
        <f t="shared" ref="S34:S50" si="15">SUM(C34:R34)</f>
        <v>0</v>
      </c>
      <c r="T34" s="2">
        <f t="shared" si="2"/>
        <v>0</v>
      </c>
    </row>
    <row r="35" spans="1:20" x14ac:dyDescent="0.25">
      <c r="A35" s="1">
        <f t="shared" ref="A35:A57" si="16">A34+1</f>
        <v>3</v>
      </c>
      <c r="B35" s="1" t="str">
        <f t="shared" si="3"/>
        <v>KIPO LENA Siriel</v>
      </c>
      <c r="C35" s="2">
        <f t="shared" si="4"/>
        <v>0</v>
      </c>
      <c r="D35" s="2">
        <f t="shared" si="5"/>
        <v>0</v>
      </c>
      <c r="E35" s="2">
        <f t="shared" si="6"/>
        <v>0</v>
      </c>
      <c r="F35" s="2">
        <f>F7*2</f>
        <v>0</v>
      </c>
      <c r="G35" s="2">
        <f t="shared" ref="G35:G41" si="17">G7*1</f>
        <v>0</v>
      </c>
      <c r="H35" s="2">
        <f t="shared" si="8"/>
        <v>0</v>
      </c>
      <c r="I35" s="2">
        <f t="shared" si="9"/>
        <v>0</v>
      </c>
      <c r="J35" s="2">
        <f t="shared" si="10"/>
        <v>0</v>
      </c>
      <c r="K35" s="2">
        <f t="shared" si="11"/>
        <v>0</v>
      </c>
      <c r="L35" s="2">
        <f t="shared" si="11"/>
        <v>0</v>
      </c>
      <c r="M35" s="2">
        <f t="shared" si="11"/>
        <v>0</v>
      </c>
      <c r="N35" s="2">
        <f t="shared" si="12"/>
        <v>0</v>
      </c>
      <c r="O35" s="2">
        <f t="shared" si="13"/>
        <v>0</v>
      </c>
      <c r="P35" s="2">
        <f t="shared" si="14"/>
        <v>0</v>
      </c>
      <c r="Q35" s="2">
        <f t="shared" si="14"/>
        <v>0</v>
      </c>
      <c r="R35" s="2">
        <f t="shared" si="14"/>
        <v>0</v>
      </c>
      <c r="S35" s="7">
        <f t="shared" si="15"/>
        <v>0</v>
      </c>
      <c r="T35" s="2">
        <f t="shared" si="2"/>
        <v>0</v>
      </c>
    </row>
    <row r="36" spans="1:20" x14ac:dyDescent="0.25">
      <c r="A36" s="1">
        <f t="shared" si="16"/>
        <v>4</v>
      </c>
      <c r="B36" s="1" t="str">
        <f t="shared" si="3"/>
        <v>MAGNE Princesse Yness</v>
      </c>
      <c r="C36" s="2">
        <f t="shared" si="4"/>
        <v>0</v>
      </c>
      <c r="D36" s="2">
        <f t="shared" si="5"/>
        <v>0</v>
      </c>
      <c r="E36" s="2">
        <f t="shared" si="6"/>
        <v>0</v>
      </c>
      <c r="F36" s="2">
        <f t="shared" ref="F36:F41" si="18">F8*2</f>
        <v>0</v>
      </c>
      <c r="G36" s="2">
        <f t="shared" si="17"/>
        <v>0</v>
      </c>
      <c r="H36" s="2">
        <f t="shared" si="8"/>
        <v>0</v>
      </c>
      <c r="I36" s="2">
        <f t="shared" si="9"/>
        <v>0</v>
      </c>
      <c r="J36" s="2">
        <f t="shared" si="10"/>
        <v>0</v>
      </c>
      <c r="K36" s="2">
        <f t="shared" si="11"/>
        <v>0</v>
      </c>
      <c r="L36" s="2">
        <f t="shared" si="11"/>
        <v>0</v>
      </c>
      <c r="M36" s="2">
        <f t="shared" si="11"/>
        <v>0</v>
      </c>
      <c r="N36" s="2">
        <f t="shared" si="12"/>
        <v>0</v>
      </c>
      <c r="O36" s="2">
        <f t="shared" si="13"/>
        <v>0</v>
      </c>
      <c r="P36" s="2">
        <f t="shared" si="14"/>
        <v>0</v>
      </c>
      <c r="Q36" s="2">
        <f t="shared" si="14"/>
        <v>0</v>
      </c>
      <c r="R36" s="2">
        <f t="shared" si="14"/>
        <v>0</v>
      </c>
      <c r="S36" s="7">
        <f t="shared" si="15"/>
        <v>0</v>
      </c>
      <c r="T36" s="2">
        <f t="shared" si="2"/>
        <v>0</v>
      </c>
    </row>
    <row r="37" spans="1:20" x14ac:dyDescent="0.25">
      <c r="A37" s="1">
        <f t="shared" si="16"/>
        <v>5</v>
      </c>
      <c r="B37" s="1" t="str">
        <f t="shared" si="3"/>
        <v>NZOKOU MANKON Loic</v>
      </c>
      <c r="C37" s="2">
        <f t="shared" si="4"/>
        <v>0</v>
      </c>
      <c r="D37" s="2">
        <f t="shared" si="5"/>
        <v>0</v>
      </c>
      <c r="E37" s="2">
        <f t="shared" si="6"/>
        <v>0</v>
      </c>
      <c r="F37" s="2">
        <f t="shared" si="18"/>
        <v>0</v>
      </c>
      <c r="G37" s="2">
        <f t="shared" si="17"/>
        <v>0</v>
      </c>
      <c r="H37" s="2">
        <f t="shared" si="8"/>
        <v>0</v>
      </c>
      <c r="I37" s="2">
        <f t="shared" si="9"/>
        <v>0</v>
      </c>
      <c r="J37" s="2">
        <f t="shared" si="10"/>
        <v>0</v>
      </c>
      <c r="K37" s="2">
        <f t="shared" si="11"/>
        <v>0</v>
      </c>
      <c r="L37" s="2">
        <f t="shared" si="11"/>
        <v>0</v>
      </c>
      <c r="M37" s="2">
        <f t="shared" si="11"/>
        <v>0</v>
      </c>
      <c r="N37" s="2">
        <f t="shared" si="12"/>
        <v>0</v>
      </c>
      <c r="O37" s="2">
        <f t="shared" si="13"/>
        <v>0</v>
      </c>
      <c r="P37" s="2">
        <f t="shared" si="14"/>
        <v>0</v>
      </c>
      <c r="Q37" s="2">
        <f t="shared" si="14"/>
        <v>0</v>
      </c>
      <c r="R37" s="2">
        <f t="shared" si="14"/>
        <v>0</v>
      </c>
      <c r="S37" s="7">
        <f t="shared" ref="S37" si="19">SUM(C37:R37)</f>
        <v>0</v>
      </c>
      <c r="T37" s="2">
        <f t="shared" ref="T37" si="20">S37/29</f>
        <v>0</v>
      </c>
    </row>
    <row r="38" spans="1:20" x14ac:dyDescent="0.25">
      <c r="A38" s="1">
        <f t="shared" si="16"/>
        <v>6</v>
      </c>
      <c r="B38" s="1" t="str">
        <f t="shared" si="3"/>
        <v xml:space="preserve">YEMENI Gloria Prinsesse </v>
      </c>
      <c r="C38" s="2">
        <f t="shared" si="4"/>
        <v>42</v>
      </c>
      <c r="D38" s="2">
        <f t="shared" si="5"/>
        <v>16</v>
      </c>
      <c r="E38" s="2">
        <f t="shared" si="6"/>
        <v>22</v>
      </c>
      <c r="F38" s="2">
        <f t="shared" si="18"/>
        <v>22</v>
      </c>
      <c r="G38" s="2">
        <f t="shared" si="17"/>
        <v>17</v>
      </c>
      <c r="H38" s="2">
        <f t="shared" si="8"/>
        <v>31</v>
      </c>
      <c r="I38" s="2">
        <f t="shared" si="9"/>
        <v>24</v>
      </c>
      <c r="J38" s="2">
        <f t="shared" si="10"/>
        <v>20</v>
      </c>
      <c r="K38" s="2">
        <f t="shared" si="11"/>
        <v>24</v>
      </c>
      <c r="L38" s="2">
        <f t="shared" si="11"/>
        <v>24</v>
      </c>
      <c r="M38" s="2">
        <f t="shared" si="11"/>
        <v>24</v>
      </c>
      <c r="N38" s="2">
        <f t="shared" si="12"/>
        <v>10</v>
      </c>
      <c r="O38" s="2">
        <f t="shared" si="13"/>
        <v>28</v>
      </c>
      <c r="P38" s="2">
        <f t="shared" si="14"/>
        <v>7.5</v>
      </c>
      <c r="Q38" s="2">
        <f t="shared" si="14"/>
        <v>10</v>
      </c>
      <c r="R38" s="2">
        <f t="shared" si="14"/>
        <v>17</v>
      </c>
      <c r="S38" s="7">
        <f t="shared" si="15"/>
        <v>338.5</v>
      </c>
      <c r="T38" s="2">
        <f t="shared" si="2"/>
        <v>11.672413793103448</v>
      </c>
    </row>
    <row r="39" spans="1:20" x14ac:dyDescent="0.25">
      <c r="A39" s="1">
        <f t="shared" si="16"/>
        <v>7</v>
      </c>
      <c r="B39" s="1" t="str">
        <f t="shared" si="3"/>
        <v>MEKOULOU Tresor</v>
      </c>
      <c r="C39" s="2">
        <f t="shared" si="4"/>
        <v>30</v>
      </c>
      <c r="D39" s="2">
        <f t="shared" si="5"/>
        <v>8</v>
      </c>
      <c r="E39" s="2">
        <f t="shared" si="6"/>
        <v>22</v>
      </c>
      <c r="F39" s="2">
        <f t="shared" si="18"/>
        <v>21</v>
      </c>
      <c r="G39" s="2">
        <f t="shared" si="17"/>
        <v>17</v>
      </c>
      <c r="H39" s="2">
        <f t="shared" si="8"/>
        <v>22</v>
      </c>
      <c r="I39" s="2">
        <f t="shared" si="9"/>
        <v>24</v>
      </c>
      <c r="J39" s="2">
        <f t="shared" si="10"/>
        <v>23</v>
      </c>
      <c r="K39" s="2">
        <f t="shared" si="11"/>
        <v>22</v>
      </c>
      <c r="L39" s="2">
        <f t="shared" si="11"/>
        <v>28</v>
      </c>
      <c r="M39" s="2">
        <f t="shared" si="11"/>
        <v>20</v>
      </c>
      <c r="N39" s="2">
        <f t="shared" si="12"/>
        <v>7</v>
      </c>
      <c r="O39" s="2">
        <f t="shared" si="13"/>
        <v>30</v>
      </c>
      <c r="P39" s="2">
        <f t="shared" si="14"/>
        <v>11</v>
      </c>
      <c r="Q39" s="2">
        <f t="shared" si="14"/>
        <v>10</v>
      </c>
      <c r="R39" s="2">
        <f t="shared" si="14"/>
        <v>17</v>
      </c>
      <c r="S39" s="7">
        <f t="shared" si="15"/>
        <v>312</v>
      </c>
      <c r="T39" s="2">
        <f t="shared" si="2"/>
        <v>10.758620689655173</v>
      </c>
    </row>
    <row r="40" spans="1:20" x14ac:dyDescent="0.25">
      <c r="A40" s="1">
        <f t="shared" si="16"/>
        <v>8</v>
      </c>
      <c r="B40" s="1">
        <f t="shared" si="3"/>
        <v>0</v>
      </c>
      <c r="C40" s="2">
        <f t="shared" si="4"/>
        <v>0</v>
      </c>
      <c r="D40" s="2">
        <f t="shared" si="5"/>
        <v>0</v>
      </c>
      <c r="E40" s="2">
        <f t="shared" si="6"/>
        <v>0</v>
      </c>
      <c r="F40" s="2">
        <f t="shared" si="18"/>
        <v>0</v>
      </c>
      <c r="G40" s="2">
        <f t="shared" si="17"/>
        <v>0</v>
      </c>
      <c r="H40" s="2">
        <f t="shared" si="8"/>
        <v>0</v>
      </c>
      <c r="I40" s="2">
        <f t="shared" si="9"/>
        <v>0</v>
      </c>
      <c r="J40" s="2">
        <f t="shared" si="10"/>
        <v>0</v>
      </c>
      <c r="K40" s="2">
        <f t="shared" si="11"/>
        <v>0</v>
      </c>
      <c r="L40" s="2">
        <f t="shared" si="11"/>
        <v>0</v>
      </c>
      <c r="M40" s="2">
        <f t="shared" si="11"/>
        <v>0</v>
      </c>
      <c r="N40" s="2">
        <f t="shared" si="12"/>
        <v>0</v>
      </c>
      <c r="O40" s="2">
        <f t="shared" si="13"/>
        <v>0</v>
      </c>
      <c r="P40" s="2">
        <f t="shared" si="14"/>
        <v>0</v>
      </c>
      <c r="Q40" s="2">
        <f t="shared" si="14"/>
        <v>0</v>
      </c>
      <c r="R40" s="2">
        <f t="shared" si="14"/>
        <v>0</v>
      </c>
      <c r="S40" s="7">
        <f t="shared" si="15"/>
        <v>0</v>
      </c>
      <c r="T40" s="2">
        <f t="shared" si="2"/>
        <v>0</v>
      </c>
    </row>
    <row r="41" spans="1:20" x14ac:dyDescent="0.25">
      <c r="A41" s="1">
        <f t="shared" si="16"/>
        <v>9</v>
      </c>
      <c r="B41" s="1">
        <f t="shared" si="3"/>
        <v>0</v>
      </c>
      <c r="C41" s="2">
        <f t="shared" si="4"/>
        <v>0</v>
      </c>
      <c r="D41" s="2">
        <f t="shared" si="5"/>
        <v>0</v>
      </c>
      <c r="E41" s="2">
        <f t="shared" si="6"/>
        <v>0</v>
      </c>
      <c r="F41" s="2">
        <f t="shared" si="18"/>
        <v>0</v>
      </c>
      <c r="G41" s="2">
        <f t="shared" si="17"/>
        <v>0</v>
      </c>
      <c r="H41" s="2">
        <f t="shared" si="8"/>
        <v>0</v>
      </c>
      <c r="I41" s="2">
        <f t="shared" si="9"/>
        <v>0</v>
      </c>
      <c r="J41" s="2">
        <f t="shared" si="10"/>
        <v>0</v>
      </c>
      <c r="K41" s="2">
        <f t="shared" si="11"/>
        <v>0</v>
      </c>
      <c r="L41" s="2">
        <f t="shared" si="11"/>
        <v>0</v>
      </c>
      <c r="M41" s="2">
        <f t="shared" si="11"/>
        <v>0</v>
      </c>
      <c r="N41" s="2">
        <f t="shared" si="12"/>
        <v>0</v>
      </c>
      <c r="O41" s="2">
        <f t="shared" si="13"/>
        <v>0</v>
      </c>
      <c r="P41" s="2">
        <f t="shared" si="14"/>
        <v>0</v>
      </c>
      <c r="Q41" s="2">
        <f t="shared" si="14"/>
        <v>0</v>
      </c>
      <c r="R41" s="2">
        <f t="shared" si="14"/>
        <v>0</v>
      </c>
      <c r="S41" s="7">
        <f t="shared" si="15"/>
        <v>0</v>
      </c>
      <c r="T41" s="2">
        <f t="shared" si="2"/>
        <v>0</v>
      </c>
    </row>
    <row r="42" spans="1:20" x14ac:dyDescent="0.25">
      <c r="A42" s="1">
        <f t="shared" si="16"/>
        <v>10</v>
      </c>
      <c r="B42" s="1">
        <f t="shared" si="3"/>
        <v>0</v>
      </c>
      <c r="C42" s="2">
        <f t="shared" si="4"/>
        <v>0</v>
      </c>
      <c r="D42" s="2">
        <f t="shared" si="5"/>
        <v>0</v>
      </c>
      <c r="E42" s="2">
        <f t="shared" si="6"/>
        <v>0</v>
      </c>
      <c r="F42" s="2">
        <f t="shared" ref="F42:G50" si="21">F14*1</f>
        <v>0</v>
      </c>
      <c r="G42" s="2">
        <f t="shared" si="21"/>
        <v>0</v>
      </c>
      <c r="H42" s="2">
        <f t="shared" si="8"/>
        <v>0</v>
      </c>
      <c r="I42" s="2">
        <f t="shared" si="9"/>
        <v>0</v>
      </c>
      <c r="J42" s="2">
        <f t="shared" si="10"/>
        <v>0</v>
      </c>
      <c r="K42" s="2">
        <f t="shared" si="11"/>
        <v>0</v>
      </c>
      <c r="L42" s="2">
        <f t="shared" si="11"/>
        <v>0</v>
      </c>
      <c r="M42" s="2">
        <f t="shared" si="11"/>
        <v>0</v>
      </c>
      <c r="N42" s="2">
        <f t="shared" si="12"/>
        <v>0</v>
      </c>
      <c r="O42" s="2">
        <f t="shared" si="13"/>
        <v>0</v>
      </c>
      <c r="P42" s="2">
        <f t="shared" si="14"/>
        <v>0</v>
      </c>
      <c r="Q42" s="2">
        <f t="shared" si="14"/>
        <v>0</v>
      </c>
      <c r="R42" s="2">
        <f t="shared" si="14"/>
        <v>0</v>
      </c>
      <c r="S42" s="7">
        <f t="shared" si="15"/>
        <v>0</v>
      </c>
      <c r="T42" s="2">
        <f t="shared" si="2"/>
        <v>0</v>
      </c>
    </row>
    <row r="43" spans="1:20" x14ac:dyDescent="0.25">
      <c r="A43" s="1">
        <f t="shared" si="16"/>
        <v>11</v>
      </c>
      <c r="B43" s="1">
        <f t="shared" si="3"/>
        <v>0</v>
      </c>
      <c r="C43" s="2">
        <f t="shared" si="4"/>
        <v>0</v>
      </c>
      <c r="D43" s="2">
        <f t="shared" si="5"/>
        <v>0</v>
      </c>
      <c r="E43" s="2">
        <f t="shared" si="6"/>
        <v>0</v>
      </c>
      <c r="F43" s="2">
        <f t="shared" si="21"/>
        <v>0</v>
      </c>
      <c r="G43" s="2">
        <f t="shared" si="21"/>
        <v>0</v>
      </c>
      <c r="H43" s="2">
        <f t="shared" si="8"/>
        <v>0</v>
      </c>
      <c r="I43" s="2">
        <f t="shared" si="9"/>
        <v>0</v>
      </c>
      <c r="J43" s="2">
        <f t="shared" si="10"/>
        <v>0</v>
      </c>
      <c r="K43" s="2">
        <f t="shared" si="11"/>
        <v>0</v>
      </c>
      <c r="L43" s="2">
        <f t="shared" si="11"/>
        <v>0</v>
      </c>
      <c r="M43" s="2">
        <f t="shared" si="11"/>
        <v>0</v>
      </c>
      <c r="N43" s="2">
        <f t="shared" si="12"/>
        <v>0</v>
      </c>
      <c r="O43" s="2">
        <f t="shared" si="13"/>
        <v>0</v>
      </c>
      <c r="P43" s="2">
        <f t="shared" si="14"/>
        <v>0</v>
      </c>
      <c r="Q43" s="2">
        <f t="shared" si="14"/>
        <v>0</v>
      </c>
      <c r="R43" s="2">
        <f t="shared" si="14"/>
        <v>0</v>
      </c>
      <c r="S43" s="7">
        <f t="shared" si="15"/>
        <v>0</v>
      </c>
      <c r="T43" s="2">
        <f t="shared" si="2"/>
        <v>0</v>
      </c>
    </row>
    <row r="44" spans="1:20" x14ac:dyDescent="0.25">
      <c r="A44" s="1">
        <f t="shared" si="16"/>
        <v>12</v>
      </c>
      <c r="B44" s="1">
        <f t="shared" si="3"/>
        <v>0</v>
      </c>
      <c r="C44" s="2">
        <f t="shared" si="4"/>
        <v>0</v>
      </c>
      <c r="D44" s="2">
        <f t="shared" si="5"/>
        <v>0</v>
      </c>
      <c r="E44" s="2">
        <f t="shared" si="6"/>
        <v>0</v>
      </c>
      <c r="F44" s="2">
        <f t="shared" si="21"/>
        <v>0</v>
      </c>
      <c r="G44" s="2">
        <f t="shared" si="21"/>
        <v>0</v>
      </c>
      <c r="H44" s="2">
        <f t="shared" si="8"/>
        <v>0</v>
      </c>
      <c r="I44" s="2">
        <f t="shared" si="9"/>
        <v>0</v>
      </c>
      <c r="J44" s="2">
        <f t="shared" si="10"/>
        <v>0</v>
      </c>
      <c r="K44" s="2">
        <f t="shared" si="11"/>
        <v>0</v>
      </c>
      <c r="L44" s="2">
        <f t="shared" si="11"/>
        <v>0</v>
      </c>
      <c r="M44" s="2">
        <f t="shared" si="11"/>
        <v>0</v>
      </c>
      <c r="N44" s="2">
        <f t="shared" si="12"/>
        <v>0</v>
      </c>
      <c r="O44" s="2">
        <f t="shared" si="13"/>
        <v>0</v>
      </c>
      <c r="P44" s="2">
        <f t="shared" si="14"/>
        <v>0</v>
      </c>
      <c r="Q44" s="2">
        <f t="shared" si="14"/>
        <v>0</v>
      </c>
      <c r="R44" s="2">
        <f t="shared" si="14"/>
        <v>0</v>
      </c>
      <c r="S44" s="7">
        <f t="shared" si="15"/>
        <v>0</v>
      </c>
      <c r="T44" s="2">
        <f t="shared" si="2"/>
        <v>0</v>
      </c>
    </row>
    <row r="45" spans="1:20" x14ac:dyDescent="0.25">
      <c r="A45" s="1">
        <f t="shared" si="16"/>
        <v>13</v>
      </c>
      <c r="B45" s="1">
        <f t="shared" si="3"/>
        <v>0</v>
      </c>
      <c r="C45" s="2">
        <f t="shared" si="4"/>
        <v>0</v>
      </c>
      <c r="D45" s="2">
        <f t="shared" si="5"/>
        <v>0</v>
      </c>
      <c r="E45" s="2">
        <f t="shared" si="6"/>
        <v>0</v>
      </c>
      <c r="F45" s="2">
        <f t="shared" si="21"/>
        <v>0</v>
      </c>
      <c r="G45" s="2">
        <f t="shared" si="21"/>
        <v>0</v>
      </c>
      <c r="H45" s="2">
        <f t="shared" si="8"/>
        <v>0</v>
      </c>
      <c r="I45" s="2">
        <f t="shared" si="9"/>
        <v>0</v>
      </c>
      <c r="J45" s="2">
        <f t="shared" si="10"/>
        <v>0</v>
      </c>
      <c r="K45" s="2">
        <f t="shared" si="11"/>
        <v>0</v>
      </c>
      <c r="L45" s="2">
        <f t="shared" si="11"/>
        <v>0</v>
      </c>
      <c r="M45" s="2">
        <f t="shared" si="11"/>
        <v>0</v>
      </c>
      <c r="N45" s="2">
        <f t="shared" si="12"/>
        <v>0</v>
      </c>
      <c r="O45" s="2">
        <f t="shared" si="13"/>
        <v>0</v>
      </c>
      <c r="P45" s="2">
        <f t="shared" si="14"/>
        <v>0</v>
      </c>
      <c r="Q45" s="2">
        <f t="shared" si="14"/>
        <v>0</v>
      </c>
      <c r="R45" s="2">
        <f t="shared" si="14"/>
        <v>0</v>
      </c>
      <c r="S45" s="7">
        <f t="shared" si="15"/>
        <v>0</v>
      </c>
      <c r="T45" s="2">
        <f t="shared" si="2"/>
        <v>0</v>
      </c>
    </row>
    <row r="46" spans="1:20" x14ac:dyDescent="0.25">
      <c r="A46" s="1">
        <f t="shared" si="16"/>
        <v>14</v>
      </c>
      <c r="B46" s="1">
        <f t="shared" si="3"/>
        <v>0</v>
      </c>
      <c r="C46" s="2">
        <f t="shared" si="4"/>
        <v>0</v>
      </c>
      <c r="D46" s="2">
        <f t="shared" si="5"/>
        <v>0</v>
      </c>
      <c r="E46" s="2">
        <f t="shared" si="6"/>
        <v>0</v>
      </c>
      <c r="F46" s="2">
        <f t="shared" si="21"/>
        <v>0</v>
      </c>
      <c r="G46" s="2">
        <f t="shared" si="21"/>
        <v>0</v>
      </c>
      <c r="H46" s="2">
        <f t="shared" si="8"/>
        <v>0</v>
      </c>
      <c r="I46" s="2">
        <f t="shared" si="9"/>
        <v>0</v>
      </c>
      <c r="J46" s="2">
        <f t="shared" si="10"/>
        <v>0</v>
      </c>
      <c r="K46" s="2">
        <f t="shared" si="11"/>
        <v>0</v>
      </c>
      <c r="L46" s="2">
        <f t="shared" si="11"/>
        <v>0</v>
      </c>
      <c r="M46" s="2">
        <f t="shared" si="11"/>
        <v>0</v>
      </c>
      <c r="N46" s="2">
        <f t="shared" si="12"/>
        <v>0</v>
      </c>
      <c r="O46" s="2">
        <f t="shared" si="13"/>
        <v>0</v>
      </c>
      <c r="P46" s="2">
        <f t="shared" si="14"/>
        <v>0</v>
      </c>
      <c r="Q46" s="2">
        <f t="shared" si="14"/>
        <v>0</v>
      </c>
      <c r="R46" s="2">
        <f t="shared" si="14"/>
        <v>0</v>
      </c>
      <c r="S46" s="7">
        <f t="shared" si="15"/>
        <v>0</v>
      </c>
      <c r="T46" s="2">
        <f t="shared" si="2"/>
        <v>0</v>
      </c>
    </row>
    <row r="47" spans="1:20" x14ac:dyDescent="0.25">
      <c r="A47" s="1">
        <f t="shared" si="16"/>
        <v>15</v>
      </c>
      <c r="B47" s="1">
        <f t="shared" si="3"/>
        <v>0</v>
      </c>
      <c r="C47" s="2">
        <f t="shared" si="4"/>
        <v>0</v>
      </c>
      <c r="D47" s="2">
        <f t="shared" si="5"/>
        <v>0</v>
      </c>
      <c r="E47" s="2">
        <f t="shared" si="6"/>
        <v>0</v>
      </c>
      <c r="F47" s="2">
        <f t="shared" si="21"/>
        <v>0</v>
      </c>
      <c r="G47" s="2">
        <f t="shared" si="21"/>
        <v>0</v>
      </c>
      <c r="H47" s="2">
        <f t="shared" si="8"/>
        <v>0</v>
      </c>
      <c r="I47" s="2">
        <f t="shared" si="9"/>
        <v>0</v>
      </c>
      <c r="J47" s="2">
        <f t="shared" si="10"/>
        <v>0</v>
      </c>
      <c r="K47" s="2">
        <f t="shared" si="11"/>
        <v>0</v>
      </c>
      <c r="L47" s="2">
        <f t="shared" si="11"/>
        <v>0</v>
      </c>
      <c r="M47" s="2">
        <f t="shared" si="11"/>
        <v>0</v>
      </c>
      <c r="N47" s="2">
        <f t="shared" si="12"/>
        <v>0</v>
      </c>
      <c r="O47" s="2">
        <f t="shared" si="13"/>
        <v>0</v>
      </c>
      <c r="P47" s="2">
        <f t="shared" si="14"/>
        <v>0</v>
      </c>
      <c r="Q47" s="2">
        <f t="shared" si="14"/>
        <v>0</v>
      </c>
      <c r="R47" s="2">
        <f t="shared" si="14"/>
        <v>0</v>
      </c>
      <c r="S47" s="7">
        <f t="shared" si="15"/>
        <v>0</v>
      </c>
      <c r="T47" s="2">
        <f t="shared" si="2"/>
        <v>0</v>
      </c>
    </row>
    <row r="48" spans="1:20" x14ac:dyDescent="0.25">
      <c r="A48" s="1">
        <f t="shared" si="16"/>
        <v>16</v>
      </c>
      <c r="B48" s="1">
        <f t="shared" si="3"/>
        <v>0</v>
      </c>
      <c r="C48" s="2">
        <f t="shared" si="4"/>
        <v>0</v>
      </c>
      <c r="D48" s="2">
        <f t="shared" si="5"/>
        <v>0</v>
      </c>
      <c r="E48" s="2">
        <f t="shared" si="6"/>
        <v>0</v>
      </c>
      <c r="F48" s="2">
        <f t="shared" si="21"/>
        <v>0</v>
      </c>
      <c r="G48" s="2">
        <f t="shared" si="21"/>
        <v>0</v>
      </c>
      <c r="H48" s="2">
        <f t="shared" si="8"/>
        <v>0</v>
      </c>
      <c r="I48" s="2">
        <f t="shared" si="9"/>
        <v>0</v>
      </c>
      <c r="J48" s="2">
        <f t="shared" si="10"/>
        <v>0</v>
      </c>
      <c r="K48" s="2">
        <f t="shared" si="11"/>
        <v>0</v>
      </c>
      <c r="L48" s="2">
        <f t="shared" si="11"/>
        <v>0</v>
      </c>
      <c r="M48" s="2">
        <f t="shared" si="11"/>
        <v>0</v>
      </c>
      <c r="N48" s="2">
        <f t="shared" si="12"/>
        <v>0</v>
      </c>
      <c r="O48" s="2">
        <f t="shared" si="13"/>
        <v>0</v>
      </c>
      <c r="P48" s="2">
        <f t="shared" si="14"/>
        <v>0</v>
      </c>
      <c r="Q48" s="2">
        <v>0</v>
      </c>
      <c r="R48" s="2">
        <v>0</v>
      </c>
      <c r="S48" s="7">
        <f t="shared" si="15"/>
        <v>0</v>
      </c>
      <c r="T48" s="2">
        <f t="shared" si="2"/>
        <v>0</v>
      </c>
    </row>
    <row r="49" spans="1:20" x14ac:dyDescent="0.25">
      <c r="A49" s="1">
        <f t="shared" si="16"/>
        <v>17</v>
      </c>
      <c r="B49" s="1">
        <f t="shared" si="3"/>
        <v>0</v>
      </c>
      <c r="C49" s="2">
        <f t="shared" si="4"/>
        <v>0</v>
      </c>
      <c r="D49" s="2">
        <f t="shared" si="5"/>
        <v>0</v>
      </c>
      <c r="E49" s="2">
        <f t="shared" si="6"/>
        <v>0</v>
      </c>
      <c r="F49" s="2">
        <f t="shared" si="21"/>
        <v>0</v>
      </c>
      <c r="G49" s="2">
        <f t="shared" si="21"/>
        <v>0</v>
      </c>
      <c r="H49" s="2">
        <f t="shared" si="8"/>
        <v>0</v>
      </c>
      <c r="I49" s="2">
        <f t="shared" si="9"/>
        <v>0</v>
      </c>
      <c r="J49" s="2">
        <f t="shared" si="10"/>
        <v>0</v>
      </c>
      <c r="K49" s="2">
        <f t="shared" si="11"/>
        <v>0</v>
      </c>
      <c r="L49" s="2">
        <f t="shared" si="11"/>
        <v>0</v>
      </c>
      <c r="M49" s="2">
        <f t="shared" si="11"/>
        <v>0</v>
      </c>
      <c r="N49" s="2">
        <f t="shared" si="12"/>
        <v>0</v>
      </c>
      <c r="O49" s="2">
        <f t="shared" si="13"/>
        <v>0</v>
      </c>
      <c r="P49" s="2">
        <f t="shared" si="14"/>
        <v>0</v>
      </c>
      <c r="Q49" s="2">
        <v>0</v>
      </c>
      <c r="R49" s="2">
        <v>0</v>
      </c>
      <c r="S49" s="7">
        <v>0</v>
      </c>
      <c r="T49" s="2">
        <f t="shared" si="2"/>
        <v>0</v>
      </c>
    </row>
    <row r="50" spans="1:20" x14ac:dyDescent="0.25">
      <c r="A50" s="1">
        <f t="shared" si="16"/>
        <v>18</v>
      </c>
      <c r="B50" s="1">
        <f t="shared" si="3"/>
        <v>0</v>
      </c>
      <c r="C50" s="2">
        <f t="shared" si="4"/>
        <v>0</v>
      </c>
      <c r="D50" s="2">
        <f t="shared" si="5"/>
        <v>0</v>
      </c>
      <c r="E50" s="2">
        <f t="shared" si="6"/>
        <v>0</v>
      </c>
      <c r="F50" s="2">
        <f t="shared" si="21"/>
        <v>0</v>
      </c>
      <c r="G50" s="2">
        <f t="shared" si="21"/>
        <v>0</v>
      </c>
      <c r="H50" s="2">
        <f t="shared" si="8"/>
        <v>0</v>
      </c>
      <c r="I50" s="2">
        <f t="shared" si="9"/>
        <v>0</v>
      </c>
      <c r="J50" s="2">
        <f t="shared" si="10"/>
        <v>0</v>
      </c>
      <c r="K50" s="2">
        <f t="shared" si="11"/>
        <v>0</v>
      </c>
      <c r="L50" s="2">
        <f t="shared" si="11"/>
        <v>0</v>
      </c>
      <c r="M50" s="2">
        <f t="shared" si="11"/>
        <v>0</v>
      </c>
      <c r="N50" s="2">
        <f t="shared" si="12"/>
        <v>0</v>
      </c>
      <c r="O50" s="2">
        <f t="shared" si="13"/>
        <v>0</v>
      </c>
      <c r="P50" s="2">
        <f t="shared" ref="P50:R50" si="22">P22*1</f>
        <v>0</v>
      </c>
      <c r="Q50" s="2">
        <f t="shared" si="22"/>
        <v>0</v>
      </c>
      <c r="R50" s="2">
        <f t="shared" si="22"/>
        <v>0</v>
      </c>
      <c r="S50" s="7">
        <f t="shared" si="15"/>
        <v>0</v>
      </c>
      <c r="T50" s="2">
        <f t="shared" si="2"/>
        <v>0</v>
      </c>
    </row>
    <row r="51" spans="1:20" x14ac:dyDescent="0.25">
      <c r="A51" s="1">
        <f t="shared" si="16"/>
        <v>19</v>
      </c>
      <c r="B51" s="1" t="e">
        <f t="shared" si="3"/>
        <v>#REF!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7"/>
      <c r="T51" s="2"/>
    </row>
    <row r="52" spans="1:20" x14ac:dyDescent="0.25">
      <c r="A52" s="1">
        <f t="shared" si="16"/>
        <v>20</v>
      </c>
      <c r="B52" s="1" t="e">
        <f t="shared" si="3"/>
        <v>#REF!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7"/>
      <c r="T52" s="2"/>
    </row>
    <row r="53" spans="1:20" x14ac:dyDescent="0.25">
      <c r="A53" s="1">
        <f t="shared" si="16"/>
        <v>21</v>
      </c>
      <c r="B53" s="1" t="e">
        <f t="shared" si="3"/>
        <v>#REF!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7"/>
      <c r="T53" s="2"/>
    </row>
    <row r="54" spans="1:20" x14ac:dyDescent="0.25">
      <c r="A54" s="1">
        <f t="shared" si="16"/>
        <v>22</v>
      </c>
      <c r="B54" s="1" t="e">
        <f t="shared" si="3"/>
        <v>#REF!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7"/>
      <c r="T54" s="2"/>
    </row>
    <row r="55" spans="1:20" x14ac:dyDescent="0.25">
      <c r="A55" s="1">
        <f t="shared" si="16"/>
        <v>23</v>
      </c>
      <c r="B55" s="1" t="e">
        <f t="shared" si="3"/>
        <v>#REF!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7"/>
      <c r="T55" s="2"/>
    </row>
    <row r="56" spans="1:20" x14ac:dyDescent="0.25">
      <c r="A56" s="1">
        <f t="shared" si="16"/>
        <v>24</v>
      </c>
      <c r="B56" s="1" t="e">
        <f t="shared" si="3"/>
        <v>#REF!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7"/>
      <c r="T56" s="2"/>
    </row>
    <row r="57" spans="1:20" x14ac:dyDescent="0.25">
      <c r="A57" s="1">
        <f t="shared" si="16"/>
        <v>25</v>
      </c>
      <c r="B57" s="1" t="e">
        <f t="shared" si="3"/>
        <v>#REF!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7"/>
      <c r="T57" s="2"/>
    </row>
    <row r="58" spans="1:20" x14ac:dyDescent="0.25">
      <c r="T58" s="3">
        <f>AVERAGE(T33:T39)</f>
        <v>5.1354679802955667</v>
      </c>
    </row>
    <row r="60" spans="1:20" x14ac:dyDescent="0.25">
      <c r="B60" s="5" t="s">
        <v>0</v>
      </c>
      <c r="C60" s="1" t="s">
        <v>63</v>
      </c>
      <c r="D60" s="1" t="s">
        <v>64</v>
      </c>
      <c r="E60" s="1" t="s">
        <v>65</v>
      </c>
      <c r="F60" s="1" t="s">
        <v>66</v>
      </c>
      <c r="G60" s="1" t="s">
        <v>67</v>
      </c>
      <c r="H60" s="1" t="s">
        <v>68</v>
      </c>
      <c r="I60" s="1" t="s">
        <v>69</v>
      </c>
    </row>
    <row r="61" spans="1:20" x14ac:dyDescent="0.25">
      <c r="B61" s="5" t="s">
        <v>1</v>
      </c>
      <c r="C61" s="2">
        <v>11.5</v>
      </c>
      <c r="D61" s="2">
        <v>15.25</v>
      </c>
      <c r="E61" s="2">
        <v>14.5</v>
      </c>
      <c r="F61" s="2">
        <v>11.75</v>
      </c>
      <c r="G61" s="2"/>
      <c r="H61" s="2">
        <v>9.6199999999999992</v>
      </c>
      <c r="I61" s="2">
        <v>13.75</v>
      </c>
    </row>
    <row r="62" spans="1:20" x14ac:dyDescent="0.25">
      <c r="B62" s="5" t="s">
        <v>16</v>
      </c>
      <c r="C62" s="2">
        <v>6</v>
      </c>
      <c r="D62" s="2">
        <v>12.5</v>
      </c>
      <c r="E62" s="2">
        <v>8</v>
      </c>
      <c r="F62" s="2">
        <v>12</v>
      </c>
      <c r="G62" s="2"/>
      <c r="H62" s="2">
        <v>7.5</v>
      </c>
      <c r="I62" s="2">
        <v>11</v>
      </c>
    </row>
    <row r="63" spans="1:20" x14ac:dyDescent="0.25">
      <c r="B63" s="5" t="s">
        <v>17</v>
      </c>
      <c r="C63" s="2">
        <v>7.5</v>
      </c>
      <c r="D63" s="2">
        <v>14.5</v>
      </c>
      <c r="E63" s="2">
        <v>13.5</v>
      </c>
      <c r="F63" s="2">
        <v>14</v>
      </c>
      <c r="G63" s="2"/>
      <c r="H63" s="2">
        <v>3</v>
      </c>
      <c r="I63" s="2">
        <v>7.5</v>
      </c>
    </row>
    <row r="64" spans="1:20" x14ac:dyDescent="0.25">
      <c r="B64" s="5" t="s">
        <v>9</v>
      </c>
      <c r="C64" s="2">
        <v>11.5</v>
      </c>
      <c r="D64" s="2">
        <v>15.5</v>
      </c>
      <c r="E64" s="2">
        <v>11.5</v>
      </c>
      <c r="F64" s="2">
        <v>16.5</v>
      </c>
      <c r="G64" s="2"/>
      <c r="H64" s="2">
        <v>17</v>
      </c>
      <c r="I64" s="2">
        <v>11</v>
      </c>
    </row>
    <row r="65" spans="2:9" x14ac:dyDescent="0.25">
      <c r="B65" s="5" t="s">
        <v>15</v>
      </c>
      <c r="C65" s="2">
        <v>13</v>
      </c>
      <c r="D65" s="2">
        <v>14</v>
      </c>
      <c r="E65" s="2">
        <v>19</v>
      </c>
      <c r="F65" s="2">
        <v>15</v>
      </c>
      <c r="G65" s="2"/>
      <c r="H65" s="2">
        <v>15</v>
      </c>
      <c r="I65" s="2">
        <v>13</v>
      </c>
    </row>
    <row r="66" spans="2:9" x14ac:dyDescent="0.25">
      <c r="B66" s="5" t="s">
        <v>10</v>
      </c>
      <c r="C66" s="2">
        <v>11.5</v>
      </c>
      <c r="D66" s="2">
        <v>13</v>
      </c>
      <c r="E66" s="2">
        <v>13.5</v>
      </c>
      <c r="F66" s="2">
        <v>11.5</v>
      </c>
      <c r="G66" s="2"/>
      <c r="H66" s="2">
        <v>8</v>
      </c>
      <c r="I66" s="2">
        <v>10</v>
      </c>
    </row>
    <row r="67" spans="2:9" x14ac:dyDescent="0.25">
      <c r="B67" s="5" t="s">
        <v>11</v>
      </c>
      <c r="C67" s="2">
        <v>7</v>
      </c>
      <c r="D67" s="2">
        <v>8.5</v>
      </c>
      <c r="E67" s="2">
        <v>10</v>
      </c>
      <c r="F67" s="2">
        <v>9</v>
      </c>
      <c r="G67" s="2"/>
      <c r="H67" s="2">
        <v>5</v>
      </c>
      <c r="I67" s="2">
        <v>8.5</v>
      </c>
    </row>
    <row r="68" spans="2:9" x14ac:dyDescent="0.25">
      <c r="B68" s="5" t="s">
        <v>3</v>
      </c>
      <c r="C68" s="2">
        <v>8</v>
      </c>
      <c r="D68" s="2">
        <v>12.15</v>
      </c>
      <c r="E68" s="2">
        <v>11.27</v>
      </c>
      <c r="F68" s="2">
        <v>10.130000000000001</v>
      </c>
      <c r="G68" s="2"/>
      <c r="H68" s="2">
        <v>4</v>
      </c>
      <c r="I68" s="2">
        <v>8.17</v>
      </c>
    </row>
    <row r="69" spans="2:9" x14ac:dyDescent="0.25">
      <c r="B69" s="5" t="s">
        <v>4</v>
      </c>
      <c r="C69" s="2">
        <v>11.5</v>
      </c>
      <c r="D69" s="2">
        <v>13.5</v>
      </c>
      <c r="E69" s="2">
        <v>14.5</v>
      </c>
      <c r="F69" s="2">
        <v>13</v>
      </c>
      <c r="G69" s="2"/>
      <c r="H69" s="2">
        <v>12</v>
      </c>
      <c r="I69" s="2">
        <v>13.5</v>
      </c>
    </row>
    <row r="70" spans="2:9" x14ac:dyDescent="0.25">
      <c r="B70" s="5" t="s">
        <v>12</v>
      </c>
      <c r="C70" s="2">
        <v>11.5</v>
      </c>
      <c r="D70" s="2">
        <v>14.5</v>
      </c>
      <c r="E70" s="2">
        <v>14</v>
      </c>
      <c r="F70" s="2">
        <v>11.5</v>
      </c>
      <c r="G70" s="2"/>
      <c r="H70" s="2">
        <v>8.5</v>
      </c>
      <c r="I70" s="2">
        <v>11.5</v>
      </c>
    </row>
    <row r="71" spans="2:9" x14ac:dyDescent="0.25">
      <c r="B71" s="5" t="s">
        <v>13</v>
      </c>
      <c r="C71" s="2">
        <v>6</v>
      </c>
      <c r="D71" s="2">
        <v>15.5</v>
      </c>
      <c r="E71" s="2">
        <v>16</v>
      </c>
      <c r="F71" s="2">
        <v>15.5</v>
      </c>
      <c r="G71" s="2"/>
      <c r="H71" s="2">
        <v>6</v>
      </c>
      <c r="I71" s="2">
        <v>9.5</v>
      </c>
    </row>
    <row r="72" spans="2:9" x14ac:dyDescent="0.25">
      <c r="B72" s="5" t="s">
        <v>5</v>
      </c>
      <c r="C72" s="2">
        <v>16</v>
      </c>
      <c r="D72" s="2">
        <v>18</v>
      </c>
      <c r="E72" s="2">
        <v>15</v>
      </c>
      <c r="F72" s="2">
        <v>17</v>
      </c>
      <c r="G72" s="2"/>
      <c r="H72" s="2">
        <v>15</v>
      </c>
      <c r="I72" s="2">
        <v>16</v>
      </c>
    </row>
    <row r="73" spans="2:9" x14ac:dyDescent="0.25">
      <c r="B73" s="5" t="s">
        <v>6</v>
      </c>
      <c r="C73" s="2">
        <v>15</v>
      </c>
      <c r="D73" s="2">
        <v>16</v>
      </c>
      <c r="E73" s="2">
        <v>18</v>
      </c>
      <c r="F73" s="2">
        <v>15</v>
      </c>
      <c r="G73" s="2"/>
      <c r="H73" s="2">
        <v>17</v>
      </c>
      <c r="I73" s="2">
        <v>16</v>
      </c>
    </row>
    <row r="74" spans="2:9" x14ac:dyDescent="0.25">
      <c r="B74" s="5" t="s">
        <v>7</v>
      </c>
      <c r="C74" s="2">
        <v>7.5</v>
      </c>
      <c r="D74" s="2">
        <v>12.5</v>
      </c>
      <c r="E74" s="2">
        <v>14</v>
      </c>
      <c r="F74" s="2">
        <v>10</v>
      </c>
      <c r="G74" s="2"/>
      <c r="H74" s="2">
        <v>6</v>
      </c>
      <c r="I74" s="2">
        <v>14</v>
      </c>
    </row>
    <row r="75" spans="2:9" x14ac:dyDescent="0.25">
      <c r="B75" s="5" t="s">
        <v>8</v>
      </c>
      <c r="C75" s="2">
        <v>18</v>
      </c>
      <c r="D75" s="2">
        <v>16</v>
      </c>
      <c r="E75" s="2">
        <v>16</v>
      </c>
      <c r="F75" s="2">
        <v>16</v>
      </c>
      <c r="G75" s="2"/>
      <c r="H75" s="2">
        <v>18</v>
      </c>
      <c r="I75" s="2">
        <v>16</v>
      </c>
    </row>
    <row r="76" spans="2:9" x14ac:dyDescent="0.25">
      <c r="B76" s="5" t="s">
        <v>14</v>
      </c>
      <c r="C76" s="2">
        <v>18</v>
      </c>
      <c r="D76" s="2">
        <v>16</v>
      </c>
      <c r="E76" s="2">
        <v>16</v>
      </c>
      <c r="F76" s="2">
        <v>16</v>
      </c>
      <c r="G76" s="2"/>
      <c r="H76" s="2">
        <v>16</v>
      </c>
      <c r="I76" s="2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H94"/>
  <sheetViews>
    <sheetView topLeftCell="G63" zoomScale="70" zoomScaleNormal="70" workbookViewId="0">
      <selection activeCell="M90" sqref="M90:M92"/>
    </sheetView>
  </sheetViews>
  <sheetFormatPr baseColWidth="10" defaultRowHeight="15" x14ac:dyDescent="0.25"/>
  <cols>
    <col min="1" max="1" width="7.85546875" customWidth="1"/>
    <col min="2" max="2" width="33.5703125" customWidth="1"/>
    <col min="3" max="3" width="7.85546875" customWidth="1"/>
    <col min="4" max="4" width="17.28515625" customWidth="1"/>
    <col min="5" max="5" width="12.140625" customWidth="1"/>
    <col min="6" max="6" width="14.42578125" customWidth="1"/>
    <col min="7" max="7" width="12.28515625" customWidth="1"/>
    <col min="8" max="8" width="36.28515625" customWidth="1"/>
    <col min="9" max="9" width="7.42578125" customWidth="1"/>
    <col min="10" max="10" width="25.7109375" customWidth="1"/>
    <col min="11" max="11" width="9.140625" customWidth="1"/>
    <col min="12" max="12" width="22.85546875" customWidth="1"/>
    <col min="13" max="13" width="12.85546875" customWidth="1"/>
    <col min="14" max="14" width="14.42578125" customWidth="1"/>
    <col min="15" max="15" width="32.140625" customWidth="1"/>
    <col min="16" max="16" width="7.42578125" customWidth="1"/>
    <col min="17" max="17" width="29.7109375" customWidth="1"/>
    <col min="18" max="18" width="7.140625" customWidth="1"/>
    <col min="19" max="19" width="37.5703125" customWidth="1"/>
    <col min="20" max="20" width="13.5703125" customWidth="1"/>
    <col min="21" max="21" width="22.85546875" customWidth="1"/>
    <col min="22" max="22" width="7.42578125" bestFit="1" customWidth="1"/>
    <col min="23" max="23" width="14.42578125" customWidth="1"/>
    <col min="24" max="24" width="12.28515625" customWidth="1"/>
  </cols>
  <sheetData>
    <row r="4" spans="1:21" x14ac:dyDescent="0.25">
      <c r="A4" s="17" t="s">
        <v>21</v>
      </c>
      <c r="B4" s="45" t="s">
        <v>0</v>
      </c>
      <c r="C4" s="45" t="s">
        <v>95</v>
      </c>
      <c r="D4" s="45" t="s">
        <v>96</v>
      </c>
      <c r="E4" s="12" t="s">
        <v>1</v>
      </c>
      <c r="F4" s="12" t="s">
        <v>16</v>
      </c>
      <c r="G4" s="12" t="s">
        <v>17</v>
      </c>
      <c r="H4" s="12" t="s">
        <v>9</v>
      </c>
      <c r="I4" s="12" t="s">
        <v>15</v>
      </c>
      <c r="J4" s="12" t="s">
        <v>10</v>
      </c>
      <c r="K4" s="12" t="s">
        <v>11</v>
      </c>
      <c r="L4" s="12" t="s">
        <v>23</v>
      </c>
      <c r="M4" s="12" t="s">
        <v>4</v>
      </c>
      <c r="N4" s="12" t="s">
        <v>12</v>
      </c>
      <c r="O4" s="12" t="s">
        <v>13</v>
      </c>
      <c r="P4" s="12" t="s">
        <v>5</v>
      </c>
      <c r="Q4" s="12" t="s">
        <v>6</v>
      </c>
      <c r="R4" s="12" t="s">
        <v>7</v>
      </c>
      <c r="S4" s="12" t="s">
        <v>8</v>
      </c>
      <c r="T4" s="12" t="s">
        <v>14</v>
      </c>
      <c r="U4" s="15" t="s">
        <v>19</v>
      </c>
    </row>
    <row r="5" spans="1:21" ht="18.75" x14ac:dyDescent="0.3">
      <c r="A5" s="52" t="str">
        <f>CONCATENATE(RANK(U5:U11,U$5:$U$11)," ",IF(RANK(U5:U11,U$5:$U$11)=1,"er/ère","ème"))</f>
        <v>1 er/ère</v>
      </c>
      <c r="B5" s="49" t="s">
        <v>64</v>
      </c>
      <c r="C5" s="49" t="s">
        <v>106</v>
      </c>
      <c r="D5" s="49">
        <v>241518491</v>
      </c>
      <c r="E5" s="2">
        <v>10</v>
      </c>
      <c r="F5" s="2">
        <v>16</v>
      </c>
      <c r="G5" s="2">
        <v>12</v>
      </c>
      <c r="H5" s="2">
        <v>14</v>
      </c>
      <c r="I5" s="2">
        <v>15</v>
      </c>
      <c r="J5" s="2">
        <v>10</v>
      </c>
      <c r="K5" s="2">
        <v>13</v>
      </c>
      <c r="L5" s="2">
        <v>12</v>
      </c>
      <c r="M5" s="2">
        <v>15</v>
      </c>
      <c r="N5" s="2">
        <v>11</v>
      </c>
      <c r="O5" s="2">
        <v>16</v>
      </c>
      <c r="P5" s="2">
        <v>11</v>
      </c>
      <c r="Q5" s="2">
        <v>15</v>
      </c>
      <c r="R5" s="2">
        <v>14</v>
      </c>
      <c r="S5" s="2">
        <v>12</v>
      </c>
      <c r="T5" s="2">
        <v>16</v>
      </c>
      <c r="U5" s="75">
        <v>12.96551724137931</v>
      </c>
    </row>
    <row r="6" spans="1:21" ht="18.75" x14ac:dyDescent="0.3">
      <c r="A6" s="52" t="e">
        <f>CONCATENATE(RANK(U6:U12,U$5:$U$11)," ",IF(RANK(U6:U12,U$5:$U$11)=1,"er/ère","ème"))</f>
        <v>#N/A</v>
      </c>
      <c r="B6" s="49" t="s">
        <v>97</v>
      </c>
      <c r="C6" s="49" t="s">
        <v>107</v>
      </c>
      <c r="D6" s="56">
        <v>250315438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75"/>
    </row>
    <row r="7" spans="1:21" ht="18.75" x14ac:dyDescent="0.3">
      <c r="A7" s="52" t="e">
        <f>CONCATENATE(RANK(U7:U13,U$5:$U$11)," ",IF(RANK(U7:U13,U$5:$U$11)=1,"er/ère","ème"))</f>
        <v>#N/A</v>
      </c>
      <c r="B7" s="49" t="s">
        <v>66</v>
      </c>
      <c r="C7" s="49" t="s">
        <v>106</v>
      </c>
      <c r="D7" s="49">
        <v>241518714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75"/>
    </row>
    <row r="8" spans="1:21" ht="18.75" x14ac:dyDescent="0.3">
      <c r="A8" s="52" t="e">
        <f>CONCATENATE(RANK(U8:U14,U$5:$U$11)," ",IF(RANK(U8:U14,U$5:$U$11)=1,"er/ère","ème"))</f>
        <v>#N/A</v>
      </c>
      <c r="B8" s="49" t="s">
        <v>98</v>
      </c>
      <c r="C8" s="49" t="s">
        <v>106</v>
      </c>
      <c r="D8" s="56">
        <v>250315423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75"/>
    </row>
    <row r="9" spans="1:21" ht="18.75" x14ac:dyDescent="0.3">
      <c r="A9" s="52" t="str">
        <f>CONCATENATE(RANK(U9:U15,U$5:$U$11)," ",IF(RANK(U9:U15,U$5:$U$11)=1,"er/ère","ème"))</f>
        <v>4 ème</v>
      </c>
      <c r="B9" s="49" t="s">
        <v>108</v>
      </c>
      <c r="C9" s="49" t="s">
        <v>107</v>
      </c>
      <c r="D9" s="49">
        <v>242194608</v>
      </c>
      <c r="E9" s="2">
        <v>8</v>
      </c>
      <c r="F9" s="2">
        <v>15</v>
      </c>
      <c r="G9" s="2">
        <v>10</v>
      </c>
      <c r="H9" s="2">
        <v>10</v>
      </c>
      <c r="I9" s="2">
        <v>15</v>
      </c>
      <c r="J9" s="2">
        <v>10</v>
      </c>
      <c r="K9" s="2">
        <v>6</v>
      </c>
      <c r="L9" s="2">
        <v>7</v>
      </c>
      <c r="M9" s="2">
        <v>7</v>
      </c>
      <c r="N9" s="2">
        <v>12</v>
      </c>
      <c r="O9" s="2">
        <v>6</v>
      </c>
      <c r="P9" s="2">
        <v>12</v>
      </c>
      <c r="Q9" s="2">
        <v>14</v>
      </c>
      <c r="R9" s="2">
        <v>11</v>
      </c>
      <c r="S9" s="2">
        <v>11</v>
      </c>
      <c r="T9" s="2">
        <v>16</v>
      </c>
      <c r="U9" s="75">
        <v>9.6551724137931032</v>
      </c>
    </row>
    <row r="10" spans="1:21" ht="18.75" x14ac:dyDescent="0.3">
      <c r="A10" s="52" t="str">
        <f>CONCATENATE(RANK(U10:U16,U$5:$U$11)," ",IF(RANK(U10:U16,U$5:$U$11)=1,"er/ère","ème"))</f>
        <v>2 ème</v>
      </c>
      <c r="B10" s="49" t="s">
        <v>69</v>
      </c>
      <c r="C10" s="49" t="s">
        <v>106</v>
      </c>
      <c r="D10" s="49">
        <v>241519223</v>
      </c>
      <c r="E10" s="2">
        <v>15</v>
      </c>
      <c r="F10" s="2">
        <v>12</v>
      </c>
      <c r="G10" s="2">
        <v>9</v>
      </c>
      <c r="H10" s="2">
        <v>12</v>
      </c>
      <c r="I10" s="2">
        <v>15</v>
      </c>
      <c r="J10" s="2">
        <v>14</v>
      </c>
      <c r="K10" s="2">
        <v>10.5</v>
      </c>
      <c r="L10" s="2">
        <v>10</v>
      </c>
      <c r="M10" s="2">
        <v>13</v>
      </c>
      <c r="N10" s="2">
        <v>10</v>
      </c>
      <c r="O10" s="2">
        <v>10</v>
      </c>
      <c r="P10" s="2">
        <v>6</v>
      </c>
      <c r="Q10" s="2">
        <v>13.5</v>
      </c>
      <c r="R10" s="2">
        <v>18</v>
      </c>
      <c r="S10" s="2">
        <v>10</v>
      </c>
      <c r="T10" s="2">
        <v>16</v>
      </c>
      <c r="U10" s="75">
        <v>11.96551724137931</v>
      </c>
    </row>
    <row r="11" spans="1:21" ht="18.75" x14ac:dyDescent="0.3">
      <c r="A11" s="52" t="str">
        <f>CONCATENATE(RANK(U11:U17,U$5:$U$11)," ",IF(RANK(U11:U17,U$5:$U$11)=1,"er/ère","ème"))</f>
        <v>3 ème</v>
      </c>
      <c r="B11" s="49" t="s">
        <v>126</v>
      </c>
      <c r="C11" s="49" t="s">
        <v>107</v>
      </c>
      <c r="D11" s="49" t="s">
        <v>131</v>
      </c>
      <c r="E11" s="2">
        <v>4</v>
      </c>
      <c r="F11" s="2">
        <v>11</v>
      </c>
      <c r="G11" s="2">
        <v>11</v>
      </c>
      <c r="H11" s="2">
        <v>12</v>
      </c>
      <c r="I11" s="2">
        <v>15</v>
      </c>
      <c r="J11" s="2">
        <v>4</v>
      </c>
      <c r="K11" s="2">
        <v>9</v>
      </c>
      <c r="L11" s="2">
        <v>10.5</v>
      </c>
      <c r="M11" s="2">
        <v>11</v>
      </c>
      <c r="N11" s="2">
        <v>12</v>
      </c>
      <c r="O11" s="2">
        <v>8</v>
      </c>
      <c r="P11" s="2">
        <v>7</v>
      </c>
      <c r="Q11" s="2">
        <v>14</v>
      </c>
      <c r="R11" s="2">
        <v>11</v>
      </c>
      <c r="S11" s="2">
        <v>10</v>
      </c>
      <c r="T11" s="2">
        <v>16</v>
      </c>
      <c r="U11" s="75">
        <v>9.7586206896551726</v>
      </c>
    </row>
    <row r="12" spans="1:21" ht="18.75" x14ac:dyDescent="0.3">
      <c r="A12" s="1"/>
      <c r="B12" s="16" t="s">
        <v>22</v>
      </c>
      <c r="C12" s="16"/>
      <c r="D12" s="16"/>
      <c r="E12" s="9">
        <f t="shared" ref="E12:U12" si="0">AVERAGE(E5:E10)</f>
        <v>11</v>
      </c>
      <c r="F12" s="9">
        <f t="shared" si="0"/>
        <v>14.333333333333334</v>
      </c>
      <c r="G12" s="9">
        <f t="shared" si="0"/>
        <v>10.333333333333334</v>
      </c>
      <c r="H12" s="9">
        <f t="shared" si="0"/>
        <v>12</v>
      </c>
      <c r="I12" s="9">
        <f t="shared" si="0"/>
        <v>15</v>
      </c>
      <c r="J12" s="9">
        <f t="shared" si="0"/>
        <v>11.333333333333334</v>
      </c>
      <c r="K12" s="9">
        <f t="shared" si="0"/>
        <v>9.8333333333333339</v>
      </c>
      <c r="L12" s="9">
        <f t="shared" si="0"/>
        <v>9.6666666666666661</v>
      </c>
      <c r="M12" s="9">
        <f t="shared" si="0"/>
        <v>11.666666666666666</v>
      </c>
      <c r="N12" s="9">
        <f t="shared" si="0"/>
        <v>11</v>
      </c>
      <c r="O12" s="9">
        <f t="shared" si="0"/>
        <v>10.666666666666666</v>
      </c>
      <c r="P12" s="9">
        <f t="shared" si="0"/>
        <v>9.6666666666666661</v>
      </c>
      <c r="Q12" s="9">
        <f t="shared" si="0"/>
        <v>14.166666666666666</v>
      </c>
      <c r="R12" s="9">
        <f t="shared" si="0"/>
        <v>14.333333333333334</v>
      </c>
      <c r="S12" s="9">
        <f t="shared" si="0"/>
        <v>11</v>
      </c>
      <c r="T12" s="9">
        <f t="shared" si="0"/>
        <v>16</v>
      </c>
      <c r="U12" s="76">
        <f t="shared" si="0"/>
        <v>11.528735632183908</v>
      </c>
    </row>
    <row r="17" spans="1:21" x14ac:dyDescent="0.25">
      <c r="A17" s="12" t="s">
        <v>2</v>
      </c>
      <c r="B17" s="12" t="s">
        <v>0</v>
      </c>
      <c r="C17" s="12" t="str">
        <f>C4</f>
        <v>Sexe</v>
      </c>
      <c r="D17" s="12" t="str">
        <f>D4</f>
        <v>Matricule</v>
      </c>
      <c r="E17" s="12" t="s">
        <v>1</v>
      </c>
      <c r="F17" s="12" t="s">
        <v>16</v>
      </c>
      <c r="G17" s="12" t="s">
        <v>17</v>
      </c>
      <c r="H17" s="12" t="s">
        <v>9</v>
      </c>
      <c r="I17" s="12" t="s">
        <v>15</v>
      </c>
      <c r="J17" s="12" t="s">
        <v>10</v>
      </c>
      <c r="K17" s="12" t="s">
        <v>11</v>
      </c>
      <c r="L17" s="12" t="s">
        <v>23</v>
      </c>
      <c r="M17" s="12" t="s">
        <v>4</v>
      </c>
      <c r="N17" s="12" t="s">
        <v>12</v>
      </c>
      <c r="O17" s="12" t="s">
        <v>13</v>
      </c>
      <c r="P17" s="12" t="s">
        <v>5</v>
      </c>
      <c r="Q17" s="12" t="s">
        <v>6</v>
      </c>
      <c r="R17" s="12" t="s">
        <v>7</v>
      </c>
      <c r="S17" s="12" t="s">
        <v>8</v>
      </c>
      <c r="T17" s="12" t="s">
        <v>14</v>
      </c>
      <c r="U17" s="12" t="s">
        <v>20</v>
      </c>
    </row>
    <row r="18" spans="1:21" ht="15.75" x14ac:dyDescent="0.25">
      <c r="A18" s="52" t="str">
        <f>CONCATENATE(RANK(U18:U24,U$18:$U$24)," ",IF(RANK(U18:U24,U$18:$U$24)=1,"er/ère","ème"))</f>
        <v>1 er/ère</v>
      </c>
      <c r="B18" s="44" t="s">
        <v>64</v>
      </c>
      <c r="C18" s="49" t="s">
        <v>106</v>
      </c>
      <c r="D18" s="49">
        <v>241518491</v>
      </c>
      <c r="E18" s="2">
        <v>18</v>
      </c>
      <c r="F18" s="2">
        <v>11</v>
      </c>
      <c r="G18" s="2">
        <v>13</v>
      </c>
      <c r="H18" s="2">
        <v>12</v>
      </c>
      <c r="I18" s="2">
        <v>17</v>
      </c>
      <c r="J18" s="2">
        <v>13</v>
      </c>
      <c r="K18" s="2">
        <v>10</v>
      </c>
      <c r="L18" s="2">
        <v>12</v>
      </c>
      <c r="M18" s="2">
        <v>12.5</v>
      </c>
      <c r="N18" s="2">
        <v>14</v>
      </c>
      <c r="O18" s="2">
        <v>14</v>
      </c>
      <c r="P18" s="2">
        <v>13</v>
      </c>
      <c r="Q18" s="2">
        <v>16</v>
      </c>
      <c r="R18" s="2">
        <v>15</v>
      </c>
      <c r="S18" s="2">
        <v>12</v>
      </c>
      <c r="T18" s="2">
        <v>17</v>
      </c>
      <c r="U18" s="11">
        <v>13.517241379310345</v>
      </c>
    </row>
    <row r="19" spans="1:21" ht="15.75" x14ac:dyDescent="0.25">
      <c r="A19" s="52" t="e">
        <f>CONCATENATE(RANK(U19:U25,U$18:$U$24)," ",IF(RANK(U19:U25,U$18:$U$24)=1,"er/ère","ème"))</f>
        <v>#N/A</v>
      </c>
      <c r="B19" s="44" t="s">
        <v>97</v>
      </c>
      <c r="C19" s="49" t="s">
        <v>107</v>
      </c>
      <c r="D19" s="56">
        <v>250315438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1"/>
    </row>
    <row r="20" spans="1:21" ht="15.75" x14ac:dyDescent="0.25">
      <c r="A20" s="52" t="e">
        <f>CONCATENATE(RANK(U20:U26,U$18:$U$24)," ",IF(RANK(U20:U26,U$18:$U$24)=1,"er/ère","ème"))</f>
        <v>#N/A</v>
      </c>
      <c r="B20" s="44" t="s">
        <v>66</v>
      </c>
      <c r="C20" s="49" t="s">
        <v>106</v>
      </c>
      <c r="D20" s="49">
        <v>241518714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1"/>
    </row>
    <row r="21" spans="1:21" ht="15.75" x14ac:dyDescent="0.25">
      <c r="A21" s="52" t="e">
        <f>CONCATENATE(RANK(U21:U27,U$18:$U$24)," ",IF(RANK(U21:U27,U$18:$U$24)=1,"er/ère","ème"))</f>
        <v>#N/A</v>
      </c>
      <c r="B21" s="44" t="s">
        <v>98</v>
      </c>
      <c r="C21" s="49" t="s">
        <v>106</v>
      </c>
      <c r="D21" s="56">
        <v>250315423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1"/>
    </row>
    <row r="22" spans="1:21" ht="15.75" x14ac:dyDescent="0.25">
      <c r="A22" s="52" t="e">
        <f>CONCATENATE(RANK(U22:U28,U$18:$U$24)," ",IF(RANK(U22:U28,U$18:$U$24)=1,"er/ère","ème"))</f>
        <v>#N/A</v>
      </c>
      <c r="B22" s="44" t="s">
        <v>99</v>
      </c>
      <c r="C22" s="49" t="s">
        <v>107</v>
      </c>
      <c r="D22" s="49">
        <v>242194608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1"/>
    </row>
    <row r="23" spans="1:21" ht="15.75" x14ac:dyDescent="0.25">
      <c r="A23" s="52" t="str">
        <f>CONCATENATE(RANK(U18:U24,U$18:$U$24)," ",IF(RANK(U18:U24,U$18:$U$24)=1,"er/ère","ème"))</f>
        <v>2 ème</v>
      </c>
      <c r="B23" s="44" t="s">
        <v>69</v>
      </c>
      <c r="C23" s="49" t="s">
        <v>106</v>
      </c>
      <c r="D23" s="49">
        <v>241519223</v>
      </c>
      <c r="E23" s="2">
        <v>14</v>
      </c>
      <c r="F23" s="2">
        <v>16</v>
      </c>
      <c r="G23" s="2">
        <v>11</v>
      </c>
      <c r="H23" s="2">
        <v>11</v>
      </c>
      <c r="I23" s="2">
        <v>17</v>
      </c>
      <c r="J23" s="2">
        <v>15.5</v>
      </c>
      <c r="K23" s="2">
        <v>6</v>
      </c>
      <c r="L23" s="2">
        <v>10</v>
      </c>
      <c r="M23" s="2">
        <v>12</v>
      </c>
      <c r="N23" s="2">
        <v>12</v>
      </c>
      <c r="O23" s="2">
        <v>12</v>
      </c>
      <c r="P23" s="2">
        <v>10</v>
      </c>
      <c r="Q23" s="2">
        <v>14</v>
      </c>
      <c r="R23" s="2">
        <v>7.5</v>
      </c>
      <c r="S23" s="2">
        <v>10</v>
      </c>
      <c r="T23" s="2">
        <v>17</v>
      </c>
      <c r="U23" s="11">
        <v>11.672413793103448</v>
      </c>
    </row>
    <row r="24" spans="1:21" ht="15.75" x14ac:dyDescent="0.25">
      <c r="A24" s="52" t="str">
        <f>CONCATENATE(RANK(U19:U25,U$18:$U$24)," ",IF(RANK(U19:U25,U$18:$U$24)=1,"er/ère","ème"))</f>
        <v>3 ème</v>
      </c>
      <c r="B24" s="49" t="s">
        <v>126</v>
      </c>
      <c r="C24" s="49" t="s">
        <v>107</v>
      </c>
      <c r="D24" s="49" t="s">
        <v>131</v>
      </c>
      <c r="E24" s="2">
        <v>10</v>
      </c>
      <c r="F24" s="2">
        <v>8</v>
      </c>
      <c r="G24" s="2">
        <v>11</v>
      </c>
      <c r="H24" s="2">
        <v>10.5</v>
      </c>
      <c r="I24" s="2">
        <v>17</v>
      </c>
      <c r="J24" s="2">
        <v>11</v>
      </c>
      <c r="K24" s="2">
        <v>6</v>
      </c>
      <c r="L24" s="2">
        <v>11.5</v>
      </c>
      <c r="M24" s="2">
        <v>11</v>
      </c>
      <c r="N24" s="2">
        <v>14</v>
      </c>
      <c r="O24" s="2">
        <v>10</v>
      </c>
      <c r="P24" s="2">
        <v>7</v>
      </c>
      <c r="Q24" s="2">
        <v>15</v>
      </c>
      <c r="R24" s="2">
        <v>11</v>
      </c>
      <c r="S24" s="2">
        <v>10</v>
      </c>
      <c r="T24" s="2">
        <v>17</v>
      </c>
      <c r="U24" s="11">
        <v>10.758620689655173</v>
      </c>
    </row>
    <row r="25" spans="1:21" x14ac:dyDescent="0.25">
      <c r="A25" s="8"/>
      <c r="B25" s="8" t="s">
        <v>19</v>
      </c>
      <c r="C25" s="8"/>
      <c r="D25" s="8"/>
      <c r="E25" s="9">
        <f t="shared" ref="E25:U25" si="1">AVERAGE(E18:E23)</f>
        <v>16</v>
      </c>
      <c r="F25" s="9">
        <f t="shared" si="1"/>
        <v>13.5</v>
      </c>
      <c r="G25" s="9">
        <f t="shared" si="1"/>
        <v>12</v>
      </c>
      <c r="H25" s="9">
        <f t="shared" si="1"/>
        <v>11.5</v>
      </c>
      <c r="I25" s="9">
        <f t="shared" si="1"/>
        <v>17</v>
      </c>
      <c r="J25" s="9">
        <f t="shared" si="1"/>
        <v>14.25</v>
      </c>
      <c r="K25" s="9">
        <f t="shared" si="1"/>
        <v>8</v>
      </c>
      <c r="L25" s="9">
        <f t="shared" si="1"/>
        <v>11</v>
      </c>
      <c r="M25" s="9">
        <f t="shared" si="1"/>
        <v>12.25</v>
      </c>
      <c r="N25" s="9">
        <f t="shared" si="1"/>
        <v>13</v>
      </c>
      <c r="O25" s="9">
        <f t="shared" si="1"/>
        <v>13</v>
      </c>
      <c r="P25" s="9">
        <f t="shared" si="1"/>
        <v>11.5</v>
      </c>
      <c r="Q25" s="9">
        <f t="shared" si="1"/>
        <v>15</v>
      </c>
      <c r="R25" s="9">
        <f t="shared" si="1"/>
        <v>11.25</v>
      </c>
      <c r="S25" s="9">
        <f t="shared" si="1"/>
        <v>11</v>
      </c>
      <c r="T25" s="9">
        <f t="shared" si="1"/>
        <v>17</v>
      </c>
      <c r="U25" s="9">
        <f t="shared" si="1"/>
        <v>12.594827586206897</v>
      </c>
    </row>
    <row r="28" spans="1:21" x14ac:dyDescent="0.25">
      <c r="E28" s="3">
        <f t="shared" ref="E28:U28" si="2">(E12+E25)/2</f>
        <v>13.5</v>
      </c>
      <c r="F28" s="3">
        <f t="shared" si="2"/>
        <v>13.916666666666668</v>
      </c>
      <c r="G28" s="3">
        <f t="shared" si="2"/>
        <v>11.166666666666668</v>
      </c>
      <c r="H28" s="3">
        <f t="shared" si="2"/>
        <v>11.75</v>
      </c>
      <c r="I28" s="3">
        <f t="shared" si="2"/>
        <v>16</v>
      </c>
      <c r="J28" s="3">
        <f t="shared" si="2"/>
        <v>12.791666666666668</v>
      </c>
      <c r="K28" s="3">
        <f t="shared" si="2"/>
        <v>8.9166666666666679</v>
      </c>
      <c r="L28" s="3">
        <f t="shared" si="2"/>
        <v>10.333333333333332</v>
      </c>
      <c r="M28" s="3">
        <f t="shared" si="2"/>
        <v>11.958333333333332</v>
      </c>
      <c r="N28" s="3">
        <f t="shared" si="2"/>
        <v>12</v>
      </c>
      <c r="O28" s="3">
        <f t="shared" si="2"/>
        <v>11.833333333333332</v>
      </c>
      <c r="P28" s="3">
        <f t="shared" si="2"/>
        <v>10.583333333333332</v>
      </c>
      <c r="Q28" s="3">
        <f t="shared" si="2"/>
        <v>14.583333333333332</v>
      </c>
      <c r="R28" s="3">
        <f t="shared" si="2"/>
        <v>12.791666666666668</v>
      </c>
      <c r="S28" s="3">
        <f t="shared" si="2"/>
        <v>11</v>
      </c>
      <c r="T28" s="3">
        <f t="shared" si="2"/>
        <v>16.5</v>
      </c>
      <c r="U28" s="3">
        <f t="shared" si="2"/>
        <v>12.061781609195403</v>
      </c>
    </row>
    <row r="33" spans="1:23" x14ac:dyDescent="0.25">
      <c r="B33" s="12" t="s">
        <v>0</v>
      </c>
      <c r="C33" s="12" t="str">
        <f>C4</f>
        <v>Sexe</v>
      </c>
      <c r="D33" s="12" t="str">
        <f>D4</f>
        <v>Matricule</v>
      </c>
      <c r="E33" s="12" t="s">
        <v>1</v>
      </c>
      <c r="F33" s="12" t="s">
        <v>16</v>
      </c>
      <c r="G33" s="12" t="s">
        <v>17</v>
      </c>
      <c r="H33" s="12" t="s">
        <v>9</v>
      </c>
      <c r="I33" s="12" t="s">
        <v>15</v>
      </c>
      <c r="J33" s="12" t="s">
        <v>10</v>
      </c>
      <c r="K33" s="12" t="s">
        <v>11</v>
      </c>
      <c r="L33" s="12" t="s">
        <v>23</v>
      </c>
      <c r="M33" s="12" t="s">
        <v>4</v>
      </c>
      <c r="N33" s="12" t="s">
        <v>12</v>
      </c>
      <c r="O33" s="12" t="s">
        <v>13</v>
      </c>
      <c r="P33" s="12" t="s">
        <v>5</v>
      </c>
      <c r="Q33" s="12" t="s">
        <v>6</v>
      </c>
      <c r="R33" s="12" t="s">
        <v>7</v>
      </c>
      <c r="S33" s="12" t="s">
        <v>8</v>
      </c>
      <c r="T33" s="12" t="s">
        <v>14</v>
      </c>
      <c r="U33" s="12" t="s">
        <v>20</v>
      </c>
    </row>
    <row r="34" spans="1:23" ht="15.75" x14ac:dyDescent="0.25">
      <c r="A34" s="52" t="str">
        <f>CONCATENATE(RANK(U34:U40,U$34:$U$40)," ",IF(RANK(U34:U40,U$34:$U$40)=1,"er/ère","ème"))</f>
        <v>1 er/ère</v>
      </c>
      <c r="B34" s="44" t="s">
        <v>64</v>
      </c>
      <c r="C34" s="49" t="s">
        <v>106</v>
      </c>
      <c r="D34" s="49">
        <v>241518491</v>
      </c>
      <c r="E34" s="2">
        <f t="shared" ref="E34:U34" si="3">(E5+E18)/2</f>
        <v>14</v>
      </c>
      <c r="F34" s="2">
        <f t="shared" si="3"/>
        <v>13.5</v>
      </c>
      <c r="G34" s="2">
        <f t="shared" si="3"/>
        <v>12.5</v>
      </c>
      <c r="H34" s="2">
        <f t="shared" si="3"/>
        <v>13</v>
      </c>
      <c r="I34" s="2">
        <f t="shared" si="3"/>
        <v>16</v>
      </c>
      <c r="J34" s="2">
        <f t="shared" si="3"/>
        <v>11.5</v>
      </c>
      <c r="K34" s="2">
        <f t="shared" si="3"/>
        <v>11.5</v>
      </c>
      <c r="L34" s="2">
        <f t="shared" si="3"/>
        <v>12</v>
      </c>
      <c r="M34" s="2">
        <f t="shared" si="3"/>
        <v>13.75</v>
      </c>
      <c r="N34" s="2">
        <f t="shared" si="3"/>
        <v>12.5</v>
      </c>
      <c r="O34" s="2">
        <f t="shared" si="3"/>
        <v>15</v>
      </c>
      <c r="P34" s="2">
        <f t="shared" si="3"/>
        <v>12</v>
      </c>
      <c r="Q34" s="2">
        <f t="shared" si="3"/>
        <v>15.5</v>
      </c>
      <c r="R34" s="2">
        <f t="shared" si="3"/>
        <v>14.5</v>
      </c>
      <c r="S34" s="2">
        <f t="shared" si="3"/>
        <v>12</v>
      </c>
      <c r="T34" s="2">
        <f t="shared" si="3"/>
        <v>16.5</v>
      </c>
      <c r="U34" s="11">
        <f t="shared" si="3"/>
        <v>13.241379310344827</v>
      </c>
      <c r="W34" s="3"/>
    </row>
    <row r="35" spans="1:23" ht="15.75" x14ac:dyDescent="0.25">
      <c r="A35" s="52" t="e">
        <f>CONCATENATE(RANK(U35:U41,U$34:$U$40)," ",IF(RANK(U35:U41,U$34:$U$40)=1,"er/ère","ème"))</f>
        <v>#N/A</v>
      </c>
      <c r="B35" s="44" t="s">
        <v>97</v>
      </c>
      <c r="C35" s="49" t="s">
        <v>107</v>
      </c>
      <c r="D35" s="56">
        <v>250315438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1"/>
    </row>
    <row r="36" spans="1:23" ht="15.75" x14ac:dyDescent="0.25">
      <c r="A36" s="52" t="e">
        <f>CONCATENATE(RANK(U36:U42,U$34:$U$40)," ",IF(RANK(U36:U42,U$34:$U$40)=1,"er/ère","ème"))</f>
        <v>#N/A</v>
      </c>
      <c r="B36" s="44" t="s">
        <v>66</v>
      </c>
      <c r="C36" s="49" t="s">
        <v>106</v>
      </c>
      <c r="D36" s="49">
        <v>241518714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1"/>
    </row>
    <row r="37" spans="1:23" ht="15.75" x14ac:dyDescent="0.25">
      <c r="A37" s="52" t="e">
        <f>CONCATENATE(RANK(U37:U43,U$34:$U$40)," ",IF(RANK(U37:U43,U$34:$U$40)=1,"er/ère","ème"))</f>
        <v>#N/A</v>
      </c>
      <c r="B37" s="44" t="s">
        <v>98</v>
      </c>
      <c r="C37" s="49" t="s">
        <v>106</v>
      </c>
      <c r="D37" s="56">
        <v>250315423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1"/>
    </row>
    <row r="38" spans="1:23" ht="15.75" x14ac:dyDescent="0.25">
      <c r="A38" s="52" t="str">
        <f>CONCATENATE(RANK(U38:U44,U$34:$U$40)," ",IF(RANK(U38:U44,U$34:$U$40)=1,"er/ère","ème"))</f>
        <v>4 ème</v>
      </c>
      <c r="B38" s="44" t="s">
        <v>99</v>
      </c>
      <c r="C38" s="49" t="s">
        <v>107</v>
      </c>
      <c r="D38" s="49">
        <v>242194608</v>
      </c>
      <c r="E38" s="2">
        <v>8</v>
      </c>
      <c r="F38" s="2">
        <v>15</v>
      </c>
      <c r="G38" s="2">
        <v>10</v>
      </c>
      <c r="H38" s="2">
        <v>10</v>
      </c>
      <c r="I38" s="2">
        <v>15</v>
      </c>
      <c r="J38" s="2">
        <v>10</v>
      </c>
      <c r="K38" s="2">
        <v>6</v>
      </c>
      <c r="L38" s="2">
        <v>7</v>
      </c>
      <c r="M38" s="2">
        <v>7</v>
      </c>
      <c r="N38" s="2">
        <v>12</v>
      </c>
      <c r="O38" s="2">
        <v>6</v>
      </c>
      <c r="P38" s="2">
        <v>12</v>
      </c>
      <c r="Q38" s="2">
        <v>14</v>
      </c>
      <c r="R38" s="2">
        <v>11</v>
      </c>
      <c r="S38" s="2">
        <v>11</v>
      </c>
      <c r="T38" s="2">
        <v>16</v>
      </c>
      <c r="U38" s="11">
        <v>9.6551724137931032</v>
      </c>
    </row>
    <row r="39" spans="1:23" ht="15.75" x14ac:dyDescent="0.25">
      <c r="A39" s="52" t="str">
        <f>CONCATENATE(RANK(U39:U45,U$34:$U$40)," ",IF(RANK(U39:U45,U$34:$U$40)=1,"er/ère","ème"))</f>
        <v>2 ème</v>
      </c>
      <c r="B39" s="44" t="s">
        <v>69</v>
      </c>
      <c r="C39" s="49" t="s">
        <v>106</v>
      </c>
      <c r="D39" s="49">
        <v>241519223</v>
      </c>
      <c r="E39" s="2">
        <f t="shared" ref="E39:U40" si="4">(E10+E23)/2</f>
        <v>14.5</v>
      </c>
      <c r="F39" s="2">
        <f t="shared" si="4"/>
        <v>14</v>
      </c>
      <c r="G39" s="2">
        <f t="shared" si="4"/>
        <v>10</v>
      </c>
      <c r="H39" s="2">
        <f t="shared" si="4"/>
        <v>11.5</v>
      </c>
      <c r="I39" s="2">
        <f t="shared" si="4"/>
        <v>16</v>
      </c>
      <c r="J39" s="2">
        <f t="shared" si="4"/>
        <v>14.75</v>
      </c>
      <c r="K39" s="2">
        <f t="shared" si="4"/>
        <v>8.25</v>
      </c>
      <c r="L39" s="2">
        <f t="shared" si="4"/>
        <v>10</v>
      </c>
      <c r="M39" s="2">
        <f t="shared" si="4"/>
        <v>12.5</v>
      </c>
      <c r="N39" s="2">
        <f t="shared" si="4"/>
        <v>11</v>
      </c>
      <c r="O39" s="2">
        <f t="shared" si="4"/>
        <v>11</v>
      </c>
      <c r="P39" s="2">
        <f t="shared" si="4"/>
        <v>8</v>
      </c>
      <c r="Q39" s="2">
        <f t="shared" si="4"/>
        <v>13.75</v>
      </c>
      <c r="R39" s="2">
        <f t="shared" si="4"/>
        <v>12.75</v>
      </c>
      <c r="S39" s="2">
        <f t="shared" si="4"/>
        <v>10</v>
      </c>
      <c r="T39" s="2">
        <f t="shared" si="4"/>
        <v>16.5</v>
      </c>
      <c r="U39" s="11">
        <f t="shared" si="4"/>
        <v>11.818965517241379</v>
      </c>
    </row>
    <row r="40" spans="1:23" ht="15.75" x14ac:dyDescent="0.25">
      <c r="A40" s="52" t="str">
        <f>CONCATENATE(RANK(U40:U46,U$34:$U$40)," ",IF(RANK(U40:U46,U$34:$U$40)=1,"er/ère","ème"))</f>
        <v>3 ème</v>
      </c>
      <c r="B40" s="49" t="s">
        <v>126</v>
      </c>
      <c r="C40" s="49" t="s">
        <v>107</v>
      </c>
      <c r="D40" s="49" t="s">
        <v>131</v>
      </c>
      <c r="E40" s="2">
        <f t="shared" si="4"/>
        <v>7</v>
      </c>
      <c r="F40" s="2">
        <f t="shared" si="4"/>
        <v>9.5</v>
      </c>
      <c r="G40" s="2">
        <f t="shared" si="4"/>
        <v>11</v>
      </c>
      <c r="H40" s="2">
        <f t="shared" si="4"/>
        <v>11.25</v>
      </c>
      <c r="I40" s="2">
        <f t="shared" si="4"/>
        <v>16</v>
      </c>
      <c r="J40" s="2">
        <f t="shared" si="4"/>
        <v>7.5</v>
      </c>
      <c r="K40" s="2">
        <f t="shared" si="4"/>
        <v>7.5</v>
      </c>
      <c r="L40" s="2">
        <f t="shared" si="4"/>
        <v>11</v>
      </c>
      <c r="M40" s="2">
        <f t="shared" si="4"/>
        <v>11</v>
      </c>
      <c r="N40" s="2">
        <f t="shared" si="4"/>
        <v>13</v>
      </c>
      <c r="O40" s="2">
        <f t="shared" si="4"/>
        <v>9</v>
      </c>
      <c r="P40" s="2">
        <f t="shared" si="4"/>
        <v>7</v>
      </c>
      <c r="Q40" s="2">
        <f t="shared" si="4"/>
        <v>14.5</v>
      </c>
      <c r="R40" s="2">
        <f t="shared" si="4"/>
        <v>11</v>
      </c>
      <c r="S40" s="2">
        <f t="shared" si="4"/>
        <v>10</v>
      </c>
      <c r="T40" s="2">
        <f t="shared" si="4"/>
        <v>16.5</v>
      </c>
      <c r="U40" s="11">
        <f t="shared" si="4"/>
        <v>10.258620689655173</v>
      </c>
    </row>
    <row r="41" spans="1:23" x14ac:dyDescent="0.25">
      <c r="B41" s="13" t="s">
        <v>22</v>
      </c>
      <c r="C41" s="13"/>
      <c r="D41" s="13"/>
      <c r="E41" s="14">
        <f t="shared" ref="E41:U41" si="5">AVERAGE(E34:E39)</f>
        <v>12.166666666666666</v>
      </c>
      <c r="F41" s="14">
        <f t="shared" si="5"/>
        <v>14.166666666666666</v>
      </c>
      <c r="G41" s="14">
        <f t="shared" si="5"/>
        <v>10.833333333333334</v>
      </c>
      <c r="H41" s="14">
        <f t="shared" si="5"/>
        <v>11.5</v>
      </c>
      <c r="I41" s="14">
        <f t="shared" si="5"/>
        <v>15.666666666666666</v>
      </c>
      <c r="J41" s="14">
        <f t="shared" si="5"/>
        <v>12.083333333333334</v>
      </c>
      <c r="K41" s="14">
        <f t="shared" si="5"/>
        <v>8.5833333333333339</v>
      </c>
      <c r="L41" s="14">
        <f t="shared" si="5"/>
        <v>9.6666666666666661</v>
      </c>
      <c r="M41" s="14">
        <f t="shared" si="5"/>
        <v>11.083333333333334</v>
      </c>
      <c r="N41" s="14">
        <f t="shared" si="5"/>
        <v>11.833333333333334</v>
      </c>
      <c r="O41" s="14">
        <f t="shared" si="5"/>
        <v>10.666666666666666</v>
      </c>
      <c r="P41" s="14">
        <f t="shared" si="5"/>
        <v>10.666666666666666</v>
      </c>
      <c r="Q41" s="14">
        <f t="shared" si="5"/>
        <v>14.416666666666666</v>
      </c>
      <c r="R41" s="14">
        <f t="shared" si="5"/>
        <v>12.75</v>
      </c>
      <c r="S41" s="14">
        <f t="shared" si="5"/>
        <v>11</v>
      </c>
      <c r="T41" s="14">
        <f t="shared" si="5"/>
        <v>16.333333333333332</v>
      </c>
      <c r="U41" s="14">
        <f t="shared" si="5"/>
        <v>11.571839080459769</v>
      </c>
    </row>
    <row r="43" spans="1:23" s="10" customFormat="1" x14ac:dyDescent="0.25">
      <c r="A43"/>
      <c r="B43"/>
      <c r="C43"/>
      <c r="D4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3" x14ac:dyDescent="0.25">
      <c r="B44" s="88" t="s">
        <v>127</v>
      </c>
      <c r="C44" s="88"/>
      <c r="D44" s="88"/>
      <c r="J44" s="88" t="s">
        <v>128</v>
      </c>
      <c r="K44" s="88"/>
      <c r="L44" s="88"/>
      <c r="Q44" s="88" t="s">
        <v>129</v>
      </c>
      <c r="R44" s="88"/>
      <c r="S44" s="88"/>
      <c r="T44" s="48"/>
      <c r="U44" s="48"/>
    </row>
    <row r="45" spans="1:23" x14ac:dyDescent="0.25">
      <c r="A45" s="46" t="s">
        <v>21</v>
      </c>
      <c r="B45" s="46" t="s">
        <v>0</v>
      </c>
      <c r="C45" s="46" t="s">
        <v>93</v>
      </c>
      <c r="D45" s="46" t="s">
        <v>92</v>
      </c>
      <c r="E45" s="46" t="s">
        <v>19</v>
      </c>
      <c r="G45" s="47" t="s">
        <v>21</v>
      </c>
      <c r="H45" s="47" t="s">
        <v>0</v>
      </c>
      <c r="I45" s="47" t="s">
        <v>93</v>
      </c>
      <c r="J45" s="47" t="s">
        <v>92</v>
      </c>
      <c r="K45" s="98" t="s">
        <v>19</v>
      </c>
      <c r="L45" s="99"/>
      <c r="N45" s="57" t="s">
        <v>21</v>
      </c>
      <c r="O45" s="57" t="s">
        <v>0</v>
      </c>
      <c r="P45" s="57" t="s">
        <v>93</v>
      </c>
      <c r="Q45" s="57" t="s">
        <v>92</v>
      </c>
      <c r="R45" s="100" t="s">
        <v>19</v>
      </c>
      <c r="S45" s="101"/>
    </row>
    <row r="46" spans="1:23" ht="15.75" x14ac:dyDescent="0.25">
      <c r="A46" s="52" t="s">
        <v>100</v>
      </c>
      <c r="B46" s="53" t="str">
        <f>INDEX(B5:B11,MATCH(A46:A52,A5:A11,0))</f>
        <v>BILIK PEE Pauline Remine</v>
      </c>
      <c r="C46" s="53" t="str">
        <f>INDEX(C5:C10,MATCH(A46:A51,A5:A10,0))</f>
        <v>F</v>
      </c>
      <c r="D46" s="54">
        <f>INDEX(D5:D10,MATCH(B46:B51,B5:B10,0))</f>
        <v>241518491</v>
      </c>
      <c r="E46" s="53">
        <f>INDEX(U5:U10,MATCH(D46:D51,D5:D10,0))</f>
        <v>12.96551724137931</v>
      </c>
      <c r="G46" s="52" t="s">
        <v>100</v>
      </c>
      <c r="H46" s="53" t="str">
        <f>INDEX(B18:B23,MATCH(G46:G51,A18:A23,0))</f>
        <v>BILIK PEE Pauline Remine</v>
      </c>
      <c r="I46" s="53" t="str">
        <f>INDEX(C18:C23,MATCH(H46:H51,B18:B23,0))</f>
        <v>F</v>
      </c>
      <c r="J46" s="54">
        <f>INDEX(D18:D23,MATCH(H46:H51,B18:B23,0))</f>
        <v>241518491</v>
      </c>
      <c r="K46" s="86">
        <f>INDEX(U18:U23,MATCH(J46:J58,D18:D23,0))</f>
        <v>13.517241379310345</v>
      </c>
      <c r="L46" s="87" t="e">
        <f>INDEX(F5:F17,MATCH(K46:K57,E5:E17,0))</f>
        <v>#N/A</v>
      </c>
      <c r="N46" s="52" t="s">
        <v>100</v>
      </c>
      <c r="O46" s="53" t="str">
        <f>INDEX(B34:B39,MATCH(N46:N51,A34:A39,0))</f>
        <v>BILIK PEE Pauline Remine</v>
      </c>
      <c r="P46" s="53" t="str">
        <f>INDEX(C34:C39,MATCH(O46:O51,B34:B39,0))</f>
        <v>F</v>
      </c>
      <c r="Q46" s="54">
        <f>INDEX(D34:D39,MATCH(O46:O51,B34:B39,0))</f>
        <v>241518491</v>
      </c>
      <c r="R46" s="86">
        <f>INDEX(U34:U39,MATCH(Q46:Q51,D34:D39,0))</f>
        <v>13.241379310344827</v>
      </c>
      <c r="S46" s="87" t="e">
        <f t="shared" ref="S46:S52" si="6">INDEX(M5:M17,MATCH(R46:R57,L5:L17,0))</f>
        <v>#N/A</v>
      </c>
    </row>
    <row r="47" spans="1:23" ht="15.75" x14ac:dyDescent="0.25">
      <c r="A47" s="52" t="s">
        <v>101</v>
      </c>
      <c r="B47" s="53" t="str">
        <f>INDEX(B6:B12,MATCH(A47:A58,A6:A12,0))</f>
        <v xml:space="preserve">YEMENI Gloria Prinsesse </v>
      </c>
      <c r="C47" s="53" t="str">
        <f>INDEX(C5:C11,MATCH(A47:A53,A5:A11,0))</f>
        <v>F</v>
      </c>
      <c r="D47" s="54">
        <f>INDEX(D6:D12,MATCH(B47:B53,B6:B12,0))</f>
        <v>241519223</v>
      </c>
      <c r="E47" s="53">
        <f>INDEX(U6:U11,MATCH(D47:D52,D6:D11,0))</f>
        <v>11.96551724137931</v>
      </c>
      <c r="G47" s="52" t="s">
        <v>101</v>
      </c>
      <c r="H47" s="53" t="str">
        <f>INDEX(B18:B23,MATCH(G47:G53,A18:A23,0))</f>
        <v xml:space="preserve">YEMENI Gloria Prinsesse </v>
      </c>
      <c r="I47" s="53" t="str">
        <f>INDEX(C18:C23,MATCH(H47:H53,B18:B23,0))</f>
        <v>F</v>
      </c>
      <c r="J47" s="54">
        <f>INDEX(D18:D23,MATCH(H47:H53,B18:B23,0))</f>
        <v>241519223</v>
      </c>
      <c r="K47" s="86">
        <f>INDEX(U18:U23,MATCH(J47:J59,D18:D23,0))</f>
        <v>11.672413793103448</v>
      </c>
      <c r="L47" s="87" t="e">
        <f>INDEX(F6:F18,MATCH(K47:K58,E6:E18,0))</f>
        <v>#N/A</v>
      </c>
      <c r="N47" s="52" t="s">
        <v>101</v>
      </c>
      <c r="O47" s="53" t="str">
        <f>INDEX(B34:B39,MATCH(N47:N53,A34:A39,0))</f>
        <v xml:space="preserve">YEMENI Gloria Prinsesse </v>
      </c>
      <c r="P47" s="53" t="str">
        <f>INDEX(C34:C39,MATCH(O47:O53,B34:B39,0))</f>
        <v>F</v>
      </c>
      <c r="Q47" s="54">
        <f>INDEX(D34:D39,MATCH(O47:O53,B34:B39,0))</f>
        <v>241519223</v>
      </c>
      <c r="R47" s="86">
        <f>INDEX(U34:U39,MATCH(Q47:Q53,D34:D39,0))</f>
        <v>11.818965517241379</v>
      </c>
      <c r="S47" s="87" t="e">
        <f t="shared" si="6"/>
        <v>#N/A</v>
      </c>
    </row>
    <row r="48" spans="1:23" ht="15.75" x14ac:dyDescent="0.25">
      <c r="A48" s="52" t="s">
        <v>102</v>
      </c>
      <c r="B48" s="53" t="str">
        <f>INDEX(B5:B13,MATCH(A48:A59,A5:A13,0))</f>
        <v>MEKOULOU Tresor</v>
      </c>
      <c r="C48" s="53" t="str">
        <f>INDEX(C5:C11,MATCH(A48:A54,A5:A11,0))</f>
        <v>M</v>
      </c>
      <c r="D48" s="54" t="str">
        <f>INDEX(D5:D11,MATCH(B48:B54,B5:B11,0))</f>
        <v>PAS</v>
      </c>
      <c r="E48" s="53">
        <f>INDEX(U7:U12,MATCH(D48:D53,D7:D12,0))</f>
        <v>9.7586206896551726</v>
      </c>
      <c r="G48" s="52" t="s">
        <v>102</v>
      </c>
      <c r="H48" s="53" t="str">
        <f>INDEX(B18:B24,MATCH(G48:G54,A18:A24,0))</f>
        <v>MEKOULOU Tresor</v>
      </c>
      <c r="I48" s="53" t="str">
        <f>INDEX(C19:C25,MATCH(H48:H54,B19:B25,0))</f>
        <v>M</v>
      </c>
      <c r="J48" s="54" t="str">
        <f>INDEX(D19:D25,MATCH(H48:H54,B19:B25,0))</f>
        <v>PAS</v>
      </c>
      <c r="K48" s="86">
        <f>INDEX(U19:U25,MATCH(J48:J60,D19:D25,0))</f>
        <v>10.758620689655173</v>
      </c>
      <c r="L48" s="87" t="e">
        <f>INDEX(F7:F19,MATCH(K48:K59,E7:E19,0))</f>
        <v>#N/A</v>
      </c>
      <c r="N48" s="52" t="s">
        <v>102</v>
      </c>
      <c r="O48" s="53" t="str">
        <f>INDEX(B36:B42,MATCH(N48:N54,A36:A42,0))</f>
        <v>MEKOULOU Tresor</v>
      </c>
      <c r="P48" s="53" t="str">
        <f>INDEX(C35:C41,MATCH(O48:O54,B35:B41,0))</f>
        <v>M</v>
      </c>
      <c r="Q48" s="54" t="str">
        <f>INDEX(D35:D41,MATCH(O48:O54,B35:B41,0))</f>
        <v>PAS</v>
      </c>
      <c r="R48" s="86">
        <f>INDEX(U35:U41,MATCH(Q48:Q54,D35:D41,0))</f>
        <v>10.258620689655173</v>
      </c>
      <c r="S48" s="87" t="e">
        <f t="shared" si="6"/>
        <v>#N/A</v>
      </c>
    </row>
    <row r="49" spans="1:34" ht="15.75" x14ac:dyDescent="0.25">
      <c r="A49" s="52" t="s">
        <v>103</v>
      </c>
      <c r="B49" s="53" t="str">
        <f>INDEX(B6:B14,MATCH(A49:A60,A6:A14,0))</f>
        <v>NZOKOU NANKON Loic</v>
      </c>
      <c r="C49" s="53" t="str">
        <f>INDEX(C6:C12,MATCH(A49:A55,A6:A12,0))</f>
        <v>M</v>
      </c>
      <c r="D49" s="83">
        <f>INDEX(D5:D10,MATCH(B49:B55,B5:B10,0))</f>
        <v>242194608</v>
      </c>
      <c r="E49" s="53">
        <f>INDEX(U8:U13,MATCH(D49:D54,D8:D13,0))</f>
        <v>9.6551724137931032</v>
      </c>
      <c r="G49" s="52" t="s">
        <v>103</v>
      </c>
      <c r="H49" s="53" t="e">
        <f>INDEX(B21:B27,MATCH(G49:G55,A21:A27,0))</f>
        <v>#N/A</v>
      </c>
      <c r="I49" s="53" t="e">
        <f>INDEX(C20:C26,MATCH(H49:H55,B20:B26,0))</f>
        <v>#N/A</v>
      </c>
      <c r="J49" s="54" t="e">
        <f>INDEX(D20:D26,MATCH(H49:H55,B20:B26,0))</f>
        <v>#N/A</v>
      </c>
      <c r="K49" s="86" t="e">
        <f>INDEX(U20:U26,MATCH(J49:J61,D20:D26,0))</f>
        <v>#N/A</v>
      </c>
      <c r="L49" s="87" t="e">
        <f>INDEX(F8:F20,MATCH(K49:K60,E8:E20,0))</f>
        <v>#N/A</v>
      </c>
      <c r="N49" s="52" t="s">
        <v>103</v>
      </c>
      <c r="O49" s="53" t="str">
        <f>INDEX(B34:B39,MATCH(N49:N55,A34:A39,0))</f>
        <v>NZOKOU MANKON Loic</v>
      </c>
      <c r="P49" s="53" t="str">
        <f>INDEX(C34:C39,MATCH(O49:O55,B34:B39,0))</f>
        <v>M</v>
      </c>
      <c r="Q49" s="54">
        <f>INDEX(D34:D39,MATCH(O49:O55,B34:B39,0))</f>
        <v>242194608</v>
      </c>
      <c r="R49" s="86">
        <f>INDEX(U34:U39,MATCH(Q49:Q55,D34:D39,0))</f>
        <v>9.6551724137931032</v>
      </c>
      <c r="S49" s="87" t="e">
        <f t="shared" si="6"/>
        <v>#N/A</v>
      </c>
    </row>
    <row r="50" spans="1:34" ht="15.75" x14ac:dyDescent="0.25">
      <c r="A50" s="52" t="s">
        <v>104</v>
      </c>
      <c r="B50" s="53" t="e">
        <f>INDEX(B9:B15,MATCH(A50:A61,A9:A15,0))</f>
        <v>#N/A</v>
      </c>
      <c r="C50" s="53" t="e">
        <f>INDEX(C7:C13,MATCH(A50:A56,A7:A13,0))</f>
        <v>#N/A</v>
      </c>
      <c r="D50" s="55" t="e">
        <f>INDEX(D9:D15,MATCH(B50:B56,B9:B15,0))</f>
        <v>#N/A</v>
      </c>
      <c r="E50" s="53" t="e">
        <f t="shared" ref="E50:E52" si="7">INDEX(U9:U14,MATCH(D50:D55,D9:D14,0))</f>
        <v>#N/A</v>
      </c>
      <c r="G50" s="52" t="s">
        <v>104</v>
      </c>
      <c r="H50" s="53" t="e">
        <f>INDEX(B21:B27,MATCH(G50:G56,A21:A27,0))</f>
        <v>#N/A</v>
      </c>
      <c r="I50" s="53" t="e">
        <f>INDEX(C21:C27,MATCH(H50:H56,B21:B27,0))</f>
        <v>#N/A</v>
      </c>
      <c r="J50" s="54" t="e">
        <f>INDEX(D21:D27,MATCH(H50:H56,B21:B27,0))</f>
        <v>#N/A</v>
      </c>
      <c r="K50" s="86" t="e">
        <f>INDEX(U21:U27,MATCH(J50:J62,D21:D27,0))</f>
        <v>#N/A</v>
      </c>
      <c r="L50" s="87" t="e">
        <f>INDEX(F9:F21,MATCH(K50:K61,E9:E21,0))</f>
        <v>#N/A</v>
      </c>
      <c r="N50" s="52" t="s">
        <v>104</v>
      </c>
      <c r="O50" s="53" t="e">
        <f>INDEX(B37:B43,MATCH(N50:N56,A37:A43,0))</f>
        <v>#N/A</v>
      </c>
      <c r="P50" s="53" t="e">
        <f>INDEX(C37:C43,MATCH(O50:O56,B37:B43,0))</f>
        <v>#N/A</v>
      </c>
      <c r="Q50" s="54" t="e">
        <f>INDEX(D37:D43,MATCH(O50:O56,B37:B43,0))</f>
        <v>#N/A</v>
      </c>
      <c r="R50" s="86" t="e">
        <f>INDEX(U37:U43,MATCH(Q50:Q56,D37:D43,0))</f>
        <v>#N/A</v>
      </c>
      <c r="S50" s="87" t="e">
        <f t="shared" si="6"/>
        <v>#N/A</v>
      </c>
    </row>
    <row r="51" spans="1:34" ht="15.75" x14ac:dyDescent="0.25">
      <c r="A51" s="52" t="s">
        <v>105</v>
      </c>
      <c r="B51" s="53" t="e">
        <f>INDEX(B5:B10,MATCH(A51:A62,A5:A10,0))</f>
        <v>#N/A</v>
      </c>
      <c r="C51" s="53" t="e">
        <f>INDEX(C8:C14,MATCH(A51:A57,A8:A14,0))</f>
        <v>#N/A</v>
      </c>
      <c r="D51" s="55" t="e">
        <f>INDEX(D5:D10,MATCH(B51:B57,B5:B10,0))</f>
        <v>#N/A</v>
      </c>
      <c r="E51" s="53" t="e">
        <f t="shared" si="7"/>
        <v>#N/A</v>
      </c>
      <c r="G51" s="52" t="s">
        <v>105</v>
      </c>
      <c r="H51" s="53" t="e">
        <f>INDEX(B22:B28,MATCH(G51:G57,A22:A28,0))</f>
        <v>#N/A</v>
      </c>
      <c r="I51" s="53" t="e">
        <f>INDEX(C22:C28,MATCH(H51:H57,B22:B28,0))</f>
        <v>#N/A</v>
      </c>
      <c r="J51" s="54" t="e">
        <f>INDEX(D22:D28,MATCH(H51:H57,B22:B28,0))</f>
        <v>#N/A</v>
      </c>
      <c r="K51" s="86" t="e">
        <f>INDEX(U21:U27,MATCH(J51:J63,D21:D27,0))</f>
        <v>#N/A</v>
      </c>
      <c r="L51" s="87" t="e">
        <f t="shared" ref="L51" si="8">INDEX(F10:F22,MATCH(K51:K62,E10:E22,0))</f>
        <v>#N/A</v>
      </c>
      <c r="N51" s="52" t="s">
        <v>105</v>
      </c>
      <c r="O51" s="53" t="e">
        <f>INDEX(B38:B44,MATCH(N51:N57,A38:A44,0))</f>
        <v>#N/A</v>
      </c>
      <c r="P51" s="53" t="e">
        <f>INDEX(C38:C44,MATCH(O51:O57,B38:B44,0))</f>
        <v>#N/A</v>
      </c>
      <c r="Q51" s="54" t="e">
        <f>INDEX(D37:D43,MATCH(P51:P57,C37:C43,0))</f>
        <v>#N/A</v>
      </c>
      <c r="R51" s="86" t="e">
        <f>INDEX(U38:U44,MATCH(Q51:Q57,D38:D44,0))</f>
        <v>#N/A</v>
      </c>
      <c r="S51" s="87" t="e">
        <f t="shared" si="6"/>
        <v>#N/A</v>
      </c>
    </row>
    <row r="52" spans="1:34" ht="15.75" x14ac:dyDescent="0.25">
      <c r="A52" s="74" t="s">
        <v>130</v>
      </c>
      <c r="B52" s="53" t="e">
        <f>INDEX(B6:B11,MATCH(A52:A63,A6:A11,0))</f>
        <v>#N/A</v>
      </c>
      <c r="C52" s="53" t="e">
        <f>INDEX(C9:C15,MATCH(A52:A58,A9:A15,0))</f>
        <v>#N/A</v>
      </c>
      <c r="D52" s="55" t="e">
        <f>INDEX(D6:D11,MATCH(B52:B58,B6:B11,0))</f>
        <v>#N/A</v>
      </c>
      <c r="E52" s="53" t="e">
        <f t="shared" si="7"/>
        <v>#N/A</v>
      </c>
      <c r="G52" s="74" t="s">
        <v>130</v>
      </c>
      <c r="H52" s="53" t="e">
        <f>INDEX(H6:H11,MATCH(G52:G63,G6:G11,0))</f>
        <v>#N/A</v>
      </c>
      <c r="I52" s="53" t="e">
        <f>INDEX(I9:I15,MATCH(G52:G58,G9:G15,0))</f>
        <v>#N/A</v>
      </c>
      <c r="J52" s="83" t="e">
        <f>INDEX(J6:J11,MATCH(H52:H58,H6:H11,0))</f>
        <v>#N/A</v>
      </c>
      <c r="K52" s="86" t="e">
        <f>INDEX(U22:U28,MATCH(J52:J64,D22:D28,0))</f>
        <v>#N/A</v>
      </c>
      <c r="L52" s="87" t="e">
        <f t="shared" ref="L52" si="9">INDEX(F11:F23,MATCH(K52:K63,E11:E23,0))</f>
        <v>#N/A</v>
      </c>
      <c r="N52" s="74" t="s">
        <v>130</v>
      </c>
      <c r="O52" s="53" t="e">
        <f>INDEX(O6:O11,MATCH(N52:N63,N6:N11,0))</f>
        <v>#N/A</v>
      </c>
      <c r="P52" s="53" t="e">
        <f>INDEX(P9:P15,MATCH(N52:N58,N9:N15,0))</f>
        <v>#N/A</v>
      </c>
      <c r="Q52" s="83" t="e">
        <f>INDEX(Q6:Q11,MATCH(O52:O58,O6:O11,0))</f>
        <v>#N/A</v>
      </c>
      <c r="R52" s="86" t="e">
        <f>INDEX(AB22:AB28,MATCH(Q52:Q64,K22:K28,0))</f>
        <v>#N/A</v>
      </c>
      <c r="S52" s="87" t="e">
        <f t="shared" si="6"/>
        <v>#N/A</v>
      </c>
    </row>
    <row r="53" spans="1:34" ht="15.75" x14ac:dyDescent="0.25">
      <c r="A53" s="92" t="s">
        <v>94</v>
      </c>
      <c r="B53" s="93"/>
      <c r="C53" s="93"/>
      <c r="D53" s="94"/>
      <c r="E53" s="77">
        <f>U12</f>
        <v>11.528735632183908</v>
      </c>
      <c r="F53" s="50"/>
      <c r="G53" s="89" t="s">
        <v>94</v>
      </c>
      <c r="H53" s="90"/>
      <c r="I53" s="90"/>
      <c r="J53" s="90"/>
      <c r="K53" s="91"/>
      <c r="L53" s="84">
        <f>U25</f>
        <v>12.594827586206897</v>
      </c>
      <c r="O53" s="95" t="s">
        <v>94</v>
      </c>
      <c r="P53" s="96"/>
      <c r="Q53" s="96"/>
      <c r="R53" s="97"/>
      <c r="S53" s="85">
        <f>U41</f>
        <v>11.571839080459769</v>
      </c>
    </row>
    <row r="56" spans="1:34" x14ac:dyDescent="0.25">
      <c r="G56" s="45" t="s">
        <v>0</v>
      </c>
      <c r="H56" s="49" t="s">
        <v>64</v>
      </c>
      <c r="I56" s="49" t="s">
        <v>97</v>
      </c>
      <c r="J56" s="49" t="s">
        <v>66</v>
      </c>
      <c r="K56" s="49" t="s">
        <v>98</v>
      </c>
      <c r="L56" s="49" t="s">
        <v>108</v>
      </c>
      <c r="M56" s="49" t="s">
        <v>69</v>
      </c>
      <c r="N56" s="49" t="s">
        <v>126</v>
      </c>
      <c r="P56" s="15" t="s">
        <v>22</v>
      </c>
      <c r="S56" s="3">
        <v>12.166666666666666</v>
      </c>
      <c r="T56" s="3">
        <v>14.166666666666666</v>
      </c>
      <c r="U56" s="3">
        <v>10.833333333333334</v>
      </c>
      <c r="V56" s="3">
        <v>11.5</v>
      </c>
      <c r="W56" s="3">
        <v>15.666666666666666</v>
      </c>
      <c r="X56" s="3">
        <v>12.083333333333334</v>
      </c>
      <c r="Y56" s="3">
        <v>8.5833333333333339</v>
      </c>
      <c r="Z56" s="3">
        <v>9.6666666666666661</v>
      </c>
      <c r="AA56" s="3">
        <v>11.083333333333334</v>
      </c>
      <c r="AB56" s="3">
        <v>11.833333333333334</v>
      </c>
      <c r="AC56" s="3">
        <v>10.666666666666666</v>
      </c>
      <c r="AD56" s="3">
        <v>10.666666666666666</v>
      </c>
      <c r="AE56" s="3">
        <v>14.416666666666666</v>
      </c>
      <c r="AF56" s="3">
        <v>12.75</v>
      </c>
      <c r="AG56" s="3">
        <v>11</v>
      </c>
      <c r="AH56" s="3">
        <v>16.333333333333332</v>
      </c>
    </row>
    <row r="57" spans="1:34" x14ac:dyDescent="0.25">
      <c r="G57" s="45" t="s">
        <v>95</v>
      </c>
      <c r="H57" s="49" t="s">
        <v>106</v>
      </c>
      <c r="I57" s="49" t="s">
        <v>107</v>
      </c>
      <c r="J57" s="49" t="s">
        <v>106</v>
      </c>
      <c r="K57" s="49" t="s">
        <v>106</v>
      </c>
      <c r="L57" s="49" t="s">
        <v>107</v>
      </c>
      <c r="M57" s="49" t="s">
        <v>106</v>
      </c>
      <c r="N57" s="49" t="s">
        <v>107</v>
      </c>
    </row>
    <row r="58" spans="1:34" x14ac:dyDescent="0.25">
      <c r="G58" s="45" t="s">
        <v>96</v>
      </c>
      <c r="H58" s="49">
        <v>241518491</v>
      </c>
      <c r="I58" s="56">
        <v>250315438</v>
      </c>
      <c r="J58" s="49">
        <v>241518714</v>
      </c>
      <c r="K58" s="56">
        <v>250315423</v>
      </c>
      <c r="L58" s="49">
        <v>242194608</v>
      </c>
      <c r="M58" s="49">
        <v>241519223</v>
      </c>
      <c r="N58" s="49" t="s">
        <v>131</v>
      </c>
    </row>
    <row r="59" spans="1:34" x14ac:dyDescent="0.25">
      <c r="G59" s="12" t="s">
        <v>1</v>
      </c>
      <c r="H59" s="2">
        <v>10</v>
      </c>
      <c r="I59" s="2"/>
      <c r="J59" s="2"/>
      <c r="K59" s="2"/>
      <c r="L59" s="2">
        <v>8</v>
      </c>
      <c r="M59" s="2">
        <v>15</v>
      </c>
      <c r="N59" s="2">
        <v>4</v>
      </c>
      <c r="P59" s="3">
        <v>12.166666666666666</v>
      </c>
    </row>
    <row r="60" spans="1:34" x14ac:dyDescent="0.25">
      <c r="G60" s="12" t="s">
        <v>16</v>
      </c>
      <c r="H60" s="2">
        <v>16</v>
      </c>
      <c r="I60" s="2"/>
      <c r="J60" s="2"/>
      <c r="K60" s="2"/>
      <c r="L60" s="2">
        <v>15</v>
      </c>
      <c r="M60" s="2">
        <v>12</v>
      </c>
      <c r="N60" s="2">
        <v>11</v>
      </c>
      <c r="P60" s="3">
        <v>14.166666666666666</v>
      </c>
    </row>
    <row r="61" spans="1:34" x14ac:dyDescent="0.25">
      <c r="G61" s="12" t="s">
        <v>17</v>
      </c>
      <c r="H61" s="2">
        <v>12</v>
      </c>
      <c r="I61" s="2"/>
      <c r="J61" s="2"/>
      <c r="K61" s="2"/>
      <c r="L61" s="2">
        <v>10</v>
      </c>
      <c r="M61" s="2">
        <v>9</v>
      </c>
      <c r="N61" s="2">
        <v>11</v>
      </c>
      <c r="P61" s="3">
        <v>10.833333333333334</v>
      </c>
    </row>
    <row r="62" spans="1:34" x14ac:dyDescent="0.25">
      <c r="G62" s="12" t="s">
        <v>9</v>
      </c>
      <c r="H62" s="2">
        <v>14</v>
      </c>
      <c r="I62" s="2"/>
      <c r="J62" s="2"/>
      <c r="K62" s="2"/>
      <c r="L62" s="2">
        <v>10</v>
      </c>
      <c r="M62" s="2">
        <v>12</v>
      </c>
      <c r="N62" s="2">
        <v>12</v>
      </c>
      <c r="P62" s="3">
        <v>11.5</v>
      </c>
    </row>
    <row r="63" spans="1:34" ht="15.75" customHeight="1" x14ac:dyDescent="0.25">
      <c r="G63" s="12" t="s">
        <v>15</v>
      </c>
      <c r="H63" s="2">
        <v>15</v>
      </c>
      <c r="I63" s="2"/>
      <c r="J63" s="2"/>
      <c r="K63" s="2"/>
      <c r="L63" s="2">
        <v>15</v>
      </c>
      <c r="M63" s="2">
        <v>15</v>
      </c>
      <c r="N63" s="2">
        <v>15</v>
      </c>
      <c r="P63" s="3">
        <v>15.666666666666666</v>
      </c>
    </row>
    <row r="64" spans="1:34" x14ac:dyDescent="0.25">
      <c r="G64" s="12" t="s">
        <v>10</v>
      </c>
      <c r="H64" s="2">
        <v>10</v>
      </c>
      <c r="I64" s="2"/>
      <c r="J64" s="2"/>
      <c r="K64" s="2"/>
      <c r="L64" s="2">
        <v>10</v>
      </c>
      <c r="M64" s="2">
        <v>14</v>
      </c>
      <c r="N64" s="2">
        <v>4</v>
      </c>
      <c r="P64" s="3">
        <v>12.083333333333334</v>
      </c>
    </row>
    <row r="65" spans="7:16" x14ac:dyDescent="0.25">
      <c r="G65" s="12" t="s">
        <v>11</v>
      </c>
      <c r="H65" s="2">
        <v>13</v>
      </c>
      <c r="I65" s="2"/>
      <c r="J65" s="2"/>
      <c r="K65" s="2"/>
      <c r="L65" s="2">
        <v>6</v>
      </c>
      <c r="M65" s="2">
        <v>10.5</v>
      </c>
      <c r="N65" s="2">
        <v>9</v>
      </c>
      <c r="P65" s="3">
        <v>8.5833333333333339</v>
      </c>
    </row>
    <row r="66" spans="7:16" x14ac:dyDescent="0.25">
      <c r="G66" s="12" t="s">
        <v>23</v>
      </c>
      <c r="H66" s="2">
        <v>12</v>
      </c>
      <c r="I66" s="2"/>
      <c r="J66" s="2"/>
      <c r="K66" s="2"/>
      <c r="L66" s="2">
        <v>7</v>
      </c>
      <c r="M66" s="2">
        <v>10</v>
      </c>
      <c r="N66" s="2">
        <v>10.5</v>
      </c>
      <c r="P66" s="3">
        <v>9.6666666666666661</v>
      </c>
    </row>
    <row r="67" spans="7:16" x14ac:dyDescent="0.25">
      <c r="G67" s="12" t="s">
        <v>4</v>
      </c>
      <c r="H67" s="2">
        <v>15</v>
      </c>
      <c r="I67" s="2"/>
      <c r="J67" s="2"/>
      <c r="K67" s="2"/>
      <c r="L67" s="2">
        <v>7</v>
      </c>
      <c r="M67" s="2">
        <v>13</v>
      </c>
      <c r="N67" s="2">
        <v>11</v>
      </c>
      <c r="P67" s="3">
        <v>11.083333333333334</v>
      </c>
    </row>
    <row r="68" spans="7:16" x14ac:dyDescent="0.25">
      <c r="G68" s="12" t="s">
        <v>12</v>
      </c>
      <c r="H68" s="2">
        <v>11</v>
      </c>
      <c r="I68" s="2"/>
      <c r="J68" s="2"/>
      <c r="K68" s="2"/>
      <c r="L68" s="2">
        <v>12</v>
      </c>
      <c r="M68" s="2">
        <v>10</v>
      </c>
      <c r="N68" s="2">
        <v>12</v>
      </c>
      <c r="P68" s="3">
        <v>11.833333333333334</v>
      </c>
    </row>
    <row r="69" spans="7:16" x14ac:dyDescent="0.25">
      <c r="G69" s="12" t="s">
        <v>13</v>
      </c>
      <c r="H69" s="2">
        <v>16</v>
      </c>
      <c r="I69" s="2"/>
      <c r="J69" s="2"/>
      <c r="K69" s="2"/>
      <c r="L69" s="2">
        <v>6</v>
      </c>
      <c r="M69" s="2">
        <v>10</v>
      </c>
      <c r="N69" s="2">
        <v>8</v>
      </c>
      <c r="P69" s="3">
        <v>10.666666666666666</v>
      </c>
    </row>
    <row r="70" spans="7:16" x14ac:dyDescent="0.25">
      <c r="G70" s="12" t="s">
        <v>91</v>
      </c>
      <c r="H70" s="2">
        <v>11</v>
      </c>
      <c r="I70" s="2"/>
      <c r="J70" s="2"/>
      <c r="K70" s="2"/>
      <c r="L70" s="2">
        <v>12</v>
      </c>
      <c r="M70" s="2">
        <v>6</v>
      </c>
      <c r="N70" s="2">
        <v>7</v>
      </c>
      <c r="P70" s="3">
        <v>10.666666666666666</v>
      </c>
    </row>
    <row r="71" spans="7:16" x14ac:dyDescent="0.25">
      <c r="G71" s="12" t="s">
        <v>6</v>
      </c>
      <c r="H71" s="2">
        <v>15</v>
      </c>
      <c r="I71" s="2"/>
      <c r="J71" s="2"/>
      <c r="K71" s="2"/>
      <c r="L71" s="2">
        <v>14</v>
      </c>
      <c r="M71" s="2">
        <v>13.5</v>
      </c>
      <c r="N71" s="2">
        <v>14</v>
      </c>
      <c r="P71" s="3">
        <v>14.416666666666666</v>
      </c>
    </row>
    <row r="72" spans="7:16" x14ac:dyDescent="0.25">
      <c r="G72" s="12" t="s">
        <v>7</v>
      </c>
      <c r="H72" s="2">
        <v>14</v>
      </c>
      <c r="I72" s="2"/>
      <c r="J72" s="2"/>
      <c r="K72" s="2"/>
      <c r="L72" s="2">
        <v>11</v>
      </c>
      <c r="M72" s="2">
        <v>18</v>
      </c>
      <c r="N72" s="2">
        <v>11</v>
      </c>
      <c r="P72" s="3">
        <v>12.75</v>
      </c>
    </row>
    <row r="73" spans="7:16" x14ac:dyDescent="0.25">
      <c r="G73" s="12" t="s">
        <v>90</v>
      </c>
      <c r="H73" s="2">
        <v>12</v>
      </c>
      <c r="I73" s="2"/>
      <c r="J73" s="2"/>
      <c r="K73" s="2"/>
      <c r="L73" s="2">
        <v>11</v>
      </c>
      <c r="M73" s="2">
        <v>10</v>
      </c>
      <c r="N73" s="2">
        <v>10</v>
      </c>
      <c r="P73" s="3">
        <v>11</v>
      </c>
    </row>
    <row r="74" spans="7:16" x14ac:dyDescent="0.25">
      <c r="G74" s="12" t="s">
        <v>14</v>
      </c>
      <c r="H74" s="2">
        <v>16</v>
      </c>
      <c r="I74" s="2"/>
      <c r="J74" s="2"/>
      <c r="K74" s="2"/>
      <c r="L74" s="2">
        <v>16</v>
      </c>
      <c r="M74" s="2">
        <v>16</v>
      </c>
      <c r="N74" s="2">
        <v>16</v>
      </c>
      <c r="P74" s="3">
        <v>16.333333333333332</v>
      </c>
    </row>
    <row r="75" spans="7:16" x14ac:dyDescent="0.25">
      <c r="P75" s="11" t="e">
        <f>AVERAGE(I75:N75)</f>
        <v>#DIV/0!</v>
      </c>
    </row>
    <row r="76" spans="7:16" x14ac:dyDescent="0.25">
      <c r="G76" s="12" t="s">
        <v>0</v>
      </c>
      <c r="H76" s="44" t="s">
        <v>64</v>
      </c>
      <c r="I76" s="44" t="s">
        <v>97</v>
      </c>
      <c r="J76" s="44" t="s">
        <v>66</v>
      </c>
      <c r="K76" s="44" t="s">
        <v>98</v>
      </c>
      <c r="L76" s="44" t="s">
        <v>99</v>
      </c>
      <c r="M76" s="44" t="s">
        <v>69</v>
      </c>
      <c r="N76" s="49" t="s">
        <v>126</v>
      </c>
    </row>
    <row r="77" spans="7:16" x14ac:dyDescent="0.25">
      <c r="G77" s="12" t="e">
        <f>#REF!</f>
        <v>#REF!</v>
      </c>
      <c r="H77" s="49" t="s">
        <v>106</v>
      </c>
      <c r="I77" s="49" t="s">
        <v>107</v>
      </c>
      <c r="J77" s="49" t="s">
        <v>106</v>
      </c>
      <c r="K77" s="49" t="s">
        <v>106</v>
      </c>
      <c r="L77" s="49" t="s">
        <v>107</v>
      </c>
      <c r="M77" s="49" t="s">
        <v>106</v>
      </c>
      <c r="N77" s="49" t="s">
        <v>107</v>
      </c>
    </row>
    <row r="78" spans="7:16" x14ac:dyDescent="0.25">
      <c r="G78" s="12" t="e">
        <f>#REF!</f>
        <v>#REF!</v>
      </c>
      <c r="H78" s="49">
        <v>241518491</v>
      </c>
      <c r="I78" s="56">
        <v>250315438</v>
      </c>
      <c r="J78" s="49">
        <v>241518714</v>
      </c>
      <c r="K78" s="56">
        <v>250315423</v>
      </c>
      <c r="L78" s="49">
        <v>242194608</v>
      </c>
      <c r="M78" s="49">
        <v>241519223</v>
      </c>
      <c r="N78" s="49" t="s">
        <v>131</v>
      </c>
    </row>
    <row r="79" spans="7:16" x14ac:dyDescent="0.25">
      <c r="G79" s="12" t="s">
        <v>1</v>
      </c>
      <c r="H79" s="2">
        <v>18</v>
      </c>
      <c r="I79" s="2"/>
      <c r="J79" s="2"/>
      <c r="K79" s="2"/>
      <c r="L79" s="2"/>
      <c r="M79" s="2">
        <v>14</v>
      </c>
      <c r="N79" s="2">
        <v>10</v>
      </c>
    </row>
    <row r="80" spans="7:16" x14ac:dyDescent="0.25">
      <c r="G80" s="12" t="s">
        <v>16</v>
      </c>
      <c r="H80" s="2">
        <v>11</v>
      </c>
      <c r="I80" s="2"/>
      <c r="J80" s="2"/>
      <c r="K80" s="2"/>
      <c r="L80" s="2"/>
      <c r="M80" s="2">
        <v>16</v>
      </c>
      <c r="N80" s="2">
        <v>8</v>
      </c>
    </row>
    <row r="81" spans="7:14" x14ac:dyDescent="0.25">
      <c r="G81" s="12" t="s">
        <v>17</v>
      </c>
      <c r="H81" s="2">
        <v>13</v>
      </c>
      <c r="I81" s="2"/>
      <c r="J81" s="2"/>
      <c r="K81" s="2"/>
      <c r="L81" s="2"/>
      <c r="M81" s="2">
        <v>11</v>
      </c>
      <c r="N81" s="2">
        <v>11</v>
      </c>
    </row>
    <row r="82" spans="7:14" x14ac:dyDescent="0.25">
      <c r="G82" s="12" t="s">
        <v>9</v>
      </c>
      <c r="H82" s="2">
        <v>12</v>
      </c>
      <c r="I82" s="2"/>
      <c r="J82" s="2"/>
      <c r="K82" s="2"/>
      <c r="L82" s="2"/>
      <c r="M82" s="2">
        <v>11</v>
      </c>
      <c r="N82" s="2">
        <v>10.5</v>
      </c>
    </row>
    <row r="83" spans="7:14" x14ac:dyDescent="0.25">
      <c r="G83" s="12" t="s">
        <v>15</v>
      </c>
      <c r="H83" s="2">
        <v>17</v>
      </c>
      <c r="I83" s="2"/>
      <c r="J83" s="2"/>
      <c r="K83" s="2"/>
      <c r="L83" s="2"/>
      <c r="M83" s="2">
        <v>17</v>
      </c>
      <c r="N83" s="2">
        <v>17</v>
      </c>
    </row>
    <row r="84" spans="7:14" x14ac:dyDescent="0.25">
      <c r="G84" s="12" t="s">
        <v>10</v>
      </c>
      <c r="H84" s="2">
        <v>13</v>
      </c>
      <c r="I84" s="2"/>
      <c r="J84" s="2"/>
      <c r="K84" s="2"/>
      <c r="L84" s="2"/>
      <c r="M84" s="2">
        <v>15.5</v>
      </c>
      <c r="N84" s="2">
        <v>11</v>
      </c>
    </row>
    <row r="85" spans="7:14" x14ac:dyDescent="0.25">
      <c r="G85" s="12" t="s">
        <v>11</v>
      </c>
      <c r="H85" s="2">
        <v>10</v>
      </c>
      <c r="I85" s="2"/>
      <c r="J85" s="2"/>
      <c r="K85" s="2"/>
      <c r="L85" s="2"/>
      <c r="M85" s="2">
        <v>6</v>
      </c>
      <c r="N85" s="2">
        <v>6</v>
      </c>
    </row>
    <row r="86" spans="7:14" x14ac:dyDescent="0.25">
      <c r="G86" s="12" t="s">
        <v>23</v>
      </c>
      <c r="H86" s="2">
        <v>12</v>
      </c>
      <c r="I86" s="2"/>
      <c r="J86" s="2"/>
      <c r="K86" s="2"/>
      <c r="L86" s="2"/>
      <c r="M86" s="2">
        <v>10</v>
      </c>
      <c r="N86" s="2">
        <v>11.5</v>
      </c>
    </row>
    <row r="87" spans="7:14" x14ac:dyDescent="0.25">
      <c r="G87" s="12" t="s">
        <v>4</v>
      </c>
      <c r="H87" s="2">
        <v>12.5</v>
      </c>
      <c r="I87" s="2"/>
      <c r="J87" s="2"/>
      <c r="K87" s="2"/>
      <c r="L87" s="2"/>
      <c r="M87" s="2">
        <v>12</v>
      </c>
      <c r="N87" s="2">
        <v>11</v>
      </c>
    </row>
    <row r="88" spans="7:14" x14ac:dyDescent="0.25">
      <c r="G88" s="12" t="s">
        <v>12</v>
      </c>
      <c r="H88" s="2">
        <v>14</v>
      </c>
      <c r="I88" s="2"/>
      <c r="J88" s="2"/>
      <c r="K88" s="2"/>
      <c r="L88" s="2"/>
      <c r="M88" s="2">
        <v>12</v>
      </c>
      <c r="N88" s="2">
        <v>14</v>
      </c>
    </row>
    <row r="89" spans="7:14" x14ac:dyDescent="0.25">
      <c r="G89" s="12" t="s">
        <v>13</v>
      </c>
      <c r="H89" s="2">
        <v>14</v>
      </c>
      <c r="I89" s="2"/>
      <c r="J89" s="2"/>
      <c r="K89" s="2"/>
      <c r="L89" s="2"/>
      <c r="M89" s="2">
        <v>12</v>
      </c>
      <c r="N89" s="2">
        <v>10</v>
      </c>
    </row>
    <row r="90" spans="7:14" x14ac:dyDescent="0.25">
      <c r="G90" s="12" t="s">
        <v>5</v>
      </c>
      <c r="H90" s="2">
        <v>13</v>
      </c>
      <c r="I90" s="2"/>
      <c r="J90" s="2"/>
      <c r="K90" s="2"/>
      <c r="L90" s="2"/>
      <c r="M90" s="2">
        <v>10</v>
      </c>
      <c r="N90" s="2">
        <v>7</v>
      </c>
    </row>
    <row r="91" spans="7:14" x14ac:dyDescent="0.25">
      <c r="G91" s="12" t="s">
        <v>6</v>
      </c>
      <c r="H91" s="2">
        <v>16</v>
      </c>
      <c r="I91" s="2"/>
      <c r="J91" s="2"/>
      <c r="K91" s="2"/>
      <c r="L91" s="2"/>
      <c r="M91" s="2">
        <v>14</v>
      </c>
      <c r="N91" s="2">
        <v>15</v>
      </c>
    </row>
    <row r="92" spans="7:14" x14ac:dyDescent="0.25">
      <c r="G92" s="12" t="s">
        <v>7</v>
      </c>
      <c r="H92" s="2">
        <v>15</v>
      </c>
      <c r="I92" s="2"/>
      <c r="J92" s="2"/>
      <c r="K92" s="2"/>
      <c r="L92" s="2"/>
      <c r="M92" s="2">
        <v>7.5</v>
      </c>
      <c r="N92" s="2">
        <v>11</v>
      </c>
    </row>
    <row r="93" spans="7:14" x14ac:dyDescent="0.25">
      <c r="G93" s="12" t="s">
        <v>8</v>
      </c>
      <c r="H93" s="2">
        <v>12</v>
      </c>
      <c r="I93" s="2"/>
      <c r="J93" s="2"/>
      <c r="K93" s="2"/>
      <c r="L93" s="2"/>
      <c r="M93" s="2">
        <v>10</v>
      </c>
      <c r="N93" s="2">
        <v>10</v>
      </c>
    </row>
    <row r="94" spans="7:14" x14ac:dyDescent="0.25">
      <c r="G94" s="12" t="s">
        <v>14</v>
      </c>
      <c r="H94" s="2">
        <v>17</v>
      </c>
      <c r="I94" s="2"/>
      <c r="J94" s="2"/>
      <c r="K94" s="2"/>
      <c r="L94" s="2"/>
      <c r="M94" s="2">
        <v>17</v>
      </c>
      <c r="N94" s="2">
        <v>17</v>
      </c>
    </row>
  </sheetData>
  <mergeCells count="22">
    <mergeCell ref="J44:L44"/>
    <mergeCell ref="B44:D44"/>
    <mergeCell ref="Q44:S44"/>
    <mergeCell ref="G53:K53"/>
    <mergeCell ref="A53:D53"/>
    <mergeCell ref="O53:R53"/>
    <mergeCell ref="K45:L45"/>
    <mergeCell ref="K46:L46"/>
    <mergeCell ref="K47:L47"/>
    <mergeCell ref="K48:L48"/>
    <mergeCell ref="K49:L49"/>
    <mergeCell ref="K50:L50"/>
    <mergeCell ref="K51:L51"/>
    <mergeCell ref="R50:S50"/>
    <mergeCell ref="R51:S51"/>
    <mergeCell ref="R45:S45"/>
    <mergeCell ref="R46:S46"/>
    <mergeCell ref="R47:S47"/>
    <mergeCell ref="R48:S48"/>
    <mergeCell ref="R49:S49"/>
    <mergeCell ref="K52:L52"/>
    <mergeCell ref="R52:S5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16" zoomScale="50" zoomScaleNormal="50" workbookViewId="0">
      <selection activeCell="U27" sqref="U27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61" t="s">
        <v>24</v>
      </c>
      <c r="C4" s="38" t="s">
        <v>70</v>
      </c>
      <c r="D4" s="62" t="s">
        <v>132</v>
      </c>
      <c r="E4" s="62" t="s">
        <v>133</v>
      </c>
      <c r="F4" s="62" t="s">
        <v>134</v>
      </c>
      <c r="G4" s="62" t="s">
        <v>25</v>
      </c>
      <c r="H4" s="61" t="s">
        <v>26</v>
      </c>
      <c r="I4" s="107" t="s">
        <v>27</v>
      </c>
      <c r="J4" s="108"/>
      <c r="K4" s="62" t="s">
        <v>21</v>
      </c>
      <c r="L4" s="62" t="s">
        <v>28</v>
      </c>
      <c r="M4" s="18"/>
      <c r="N4" s="18"/>
      <c r="O4" s="18"/>
      <c r="P4" s="18"/>
    </row>
    <row r="5" spans="2:16" ht="43.5" customHeight="1" thickBot="1" x14ac:dyDescent="0.3">
      <c r="B5" s="60" t="s">
        <v>71</v>
      </c>
      <c r="C5" s="40" t="s">
        <v>77</v>
      </c>
      <c r="D5" s="19">
        <f>(E5+F5)/2</f>
        <v>14</v>
      </c>
      <c r="E5" s="41">
        <v>10</v>
      </c>
      <c r="F5" s="41">
        <v>18</v>
      </c>
      <c r="G5" s="20">
        <v>3</v>
      </c>
      <c r="H5" s="21">
        <f>D5*G5</f>
        <v>42</v>
      </c>
      <c r="I5" s="105">
        <v>12.166666666666666</v>
      </c>
      <c r="J5" s="106">
        <v>12.166666666666666</v>
      </c>
      <c r="K5" s="43" t="s">
        <v>123</v>
      </c>
      <c r="L5" s="19" t="str">
        <f>IF(D5&lt;10,"D",IF(D5&lt;12,"C",IF(D5&lt;14,"C+",IF(D5&lt;15,"B",IF(D5&lt;16,"B+",IF(D5&lt;18,"A",IF(D5&lt;20,"A+")))))))</f>
        <v>B</v>
      </c>
      <c r="M5" s="18"/>
      <c r="N5" s="18"/>
      <c r="O5" s="22">
        <f>E5*G5</f>
        <v>30</v>
      </c>
      <c r="P5" s="22">
        <f>F5*G5</f>
        <v>54</v>
      </c>
    </row>
    <row r="6" spans="2:16" ht="32.25" thickBot="1" x14ac:dyDescent="0.3">
      <c r="B6" s="60" t="s">
        <v>116</v>
      </c>
      <c r="C6" s="40" t="s">
        <v>78</v>
      </c>
      <c r="D6" s="19">
        <f t="shared" ref="D6:D9" si="0">(E6+F6)/2</f>
        <v>13.5</v>
      </c>
      <c r="E6" s="41">
        <v>16</v>
      </c>
      <c r="F6" s="41">
        <v>11</v>
      </c>
      <c r="G6" s="20">
        <v>1</v>
      </c>
      <c r="H6" s="21">
        <f t="shared" ref="H6:H9" si="1">D6*G6</f>
        <v>13.5</v>
      </c>
      <c r="I6" s="105">
        <v>14.166666666666666</v>
      </c>
      <c r="J6" s="106">
        <v>14.166666666666666</v>
      </c>
      <c r="K6" s="43" t="s">
        <v>124</v>
      </c>
      <c r="L6" s="19" t="str">
        <f t="shared" ref="L6:L9" si="2">IF(D6&lt;10,"D",IF(D6&lt;12,"C",IF(D6&lt;14,"C+",IF(D6&lt;15,"B",IF(D6&lt;16,"B+",IF(D6&lt;18,"A",IF(D6&lt;20,"A+")))))))</f>
        <v>C+</v>
      </c>
      <c r="M6" s="18"/>
      <c r="N6" s="18"/>
      <c r="O6" s="22">
        <f t="shared" ref="O6:O9" si="3">E6*G6</f>
        <v>16</v>
      </c>
      <c r="P6" s="22">
        <f t="shared" ref="P6:P9" si="4">F6*G6</f>
        <v>11</v>
      </c>
    </row>
    <row r="7" spans="2:16" ht="32.25" thickBot="1" x14ac:dyDescent="0.3">
      <c r="B7" s="60" t="s">
        <v>117</v>
      </c>
      <c r="C7" s="40" t="s">
        <v>79</v>
      </c>
      <c r="D7" s="19">
        <f t="shared" si="0"/>
        <v>12.5</v>
      </c>
      <c r="E7" s="41">
        <v>12</v>
      </c>
      <c r="F7" s="41">
        <v>13</v>
      </c>
      <c r="G7" s="20">
        <v>2</v>
      </c>
      <c r="H7" s="21">
        <f t="shared" si="1"/>
        <v>25</v>
      </c>
      <c r="I7" s="105">
        <v>10.833333333333334</v>
      </c>
      <c r="J7" s="106">
        <v>10.833333333333334</v>
      </c>
      <c r="K7" s="43" t="s">
        <v>139</v>
      </c>
      <c r="L7" s="19" t="str">
        <f t="shared" si="2"/>
        <v>C+</v>
      </c>
      <c r="M7" s="18"/>
      <c r="N7" s="18"/>
      <c r="O7" s="22">
        <f t="shared" si="3"/>
        <v>24</v>
      </c>
      <c r="P7" s="22">
        <f t="shared" si="4"/>
        <v>26</v>
      </c>
    </row>
    <row r="8" spans="2:16" ht="39" thickBot="1" x14ac:dyDescent="0.3">
      <c r="B8" s="60" t="s">
        <v>118</v>
      </c>
      <c r="C8" s="40" t="s">
        <v>80</v>
      </c>
      <c r="D8" s="19">
        <f t="shared" si="0"/>
        <v>13</v>
      </c>
      <c r="E8" s="41">
        <v>14</v>
      </c>
      <c r="F8" s="41">
        <v>12</v>
      </c>
      <c r="G8" s="20">
        <v>2</v>
      </c>
      <c r="H8" s="21">
        <f t="shared" si="1"/>
        <v>26</v>
      </c>
      <c r="I8" s="105">
        <v>11.5</v>
      </c>
      <c r="J8" s="106">
        <v>11.5</v>
      </c>
      <c r="K8" s="43" t="s">
        <v>139</v>
      </c>
      <c r="L8" s="19" t="str">
        <f t="shared" si="2"/>
        <v>C+</v>
      </c>
      <c r="M8" s="18"/>
      <c r="N8" s="18"/>
      <c r="O8" s="22">
        <f t="shared" si="3"/>
        <v>28</v>
      </c>
      <c r="P8" s="22">
        <f t="shared" si="4"/>
        <v>24</v>
      </c>
    </row>
    <row r="9" spans="2:16" ht="39" thickBot="1" x14ac:dyDescent="0.3">
      <c r="B9" s="60" t="s">
        <v>119</v>
      </c>
      <c r="C9" s="40" t="s">
        <v>80</v>
      </c>
      <c r="D9" s="19">
        <f t="shared" si="0"/>
        <v>16</v>
      </c>
      <c r="E9" s="41">
        <v>15</v>
      </c>
      <c r="F9" s="41">
        <v>17</v>
      </c>
      <c r="G9" s="20">
        <v>1</v>
      </c>
      <c r="H9" s="21">
        <f t="shared" si="1"/>
        <v>16</v>
      </c>
      <c r="I9" s="105">
        <v>15.666666666666666</v>
      </c>
      <c r="J9" s="106">
        <v>15.666666666666666</v>
      </c>
      <c r="K9" s="43" t="s">
        <v>139</v>
      </c>
      <c r="L9" s="19" t="str">
        <f t="shared" si="2"/>
        <v>A</v>
      </c>
      <c r="M9" s="18"/>
      <c r="N9" s="18"/>
      <c r="O9" s="22">
        <f t="shared" si="3"/>
        <v>15</v>
      </c>
      <c r="P9" s="22">
        <f t="shared" si="4"/>
        <v>17</v>
      </c>
    </row>
    <row r="10" spans="2:16" ht="16.5" thickBot="1" x14ac:dyDescent="0.3">
      <c r="B10" s="109" t="s">
        <v>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  <c r="M10" s="18"/>
      <c r="N10" s="18"/>
      <c r="O10" s="18"/>
      <c r="P10" s="18"/>
    </row>
    <row r="11" spans="2:16" ht="16.5" thickBot="1" x14ac:dyDescent="0.3">
      <c r="B11" s="23" t="s">
        <v>30</v>
      </c>
      <c r="C11" s="36"/>
      <c r="D11" s="112">
        <f>(SUM(H5:H9)/SUM(G5:G9))</f>
        <v>13.611111111111111</v>
      </c>
      <c r="E11" s="112"/>
      <c r="F11" s="112"/>
      <c r="G11" s="113" t="s">
        <v>31</v>
      </c>
      <c r="H11" s="113"/>
      <c r="I11" s="59"/>
      <c r="J11" s="114"/>
      <c r="K11" s="114"/>
      <c r="L11" s="115"/>
      <c r="M11" s="18"/>
      <c r="N11" s="18"/>
      <c r="O11" s="18"/>
      <c r="P11" s="18"/>
    </row>
    <row r="12" spans="2:16" ht="16.5" thickBot="1" x14ac:dyDescent="0.3">
      <c r="B12" s="116"/>
      <c r="C12" s="117"/>
      <c r="D12" s="117"/>
      <c r="E12" s="117"/>
      <c r="F12" s="117"/>
      <c r="G12" s="117"/>
      <c r="H12" s="117"/>
      <c r="I12" s="117"/>
      <c r="J12" s="117"/>
      <c r="K12" s="117"/>
      <c r="L12" s="118"/>
      <c r="M12" s="18"/>
      <c r="N12" s="18"/>
      <c r="O12" s="18"/>
      <c r="P12" s="18"/>
    </row>
    <row r="13" spans="2:16" ht="32.25" thickBot="1" x14ac:dyDescent="0.3">
      <c r="B13" s="60" t="s">
        <v>109</v>
      </c>
      <c r="C13" s="40" t="s">
        <v>81</v>
      </c>
      <c r="D13" s="19">
        <f t="shared" ref="D13:D16" si="5">(E13+F13)/2</f>
        <v>13.75</v>
      </c>
      <c r="E13" s="41">
        <v>15</v>
      </c>
      <c r="F13" s="41">
        <v>12.5</v>
      </c>
      <c r="G13" s="20">
        <v>2</v>
      </c>
      <c r="H13" s="21">
        <f t="shared" ref="H13:H16" si="6">D13*G13</f>
        <v>27.5</v>
      </c>
      <c r="I13" s="105">
        <v>11.083333333333334</v>
      </c>
      <c r="J13" s="106">
        <v>11.083333333333334</v>
      </c>
      <c r="K13" s="43" t="s">
        <v>139</v>
      </c>
      <c r="L13" s="19" t="str">
        <f t="shared" ref="L13:L16" si="7">IF(D13&lt;10,"D",IF(D13&lt;12,"C",IF(D13&lt;14,"C+",IF(D13&lt;15,"B",IF(D13&lt;16,"B+",IF(D13&lt;18,"A",IF(D13&lt;20,"A+")))))))</f>
        <v>C+</v>
      </c>
      <c r="M13" s="18"/>
      <c r="N13" s="18"/>
      <c r="O13" s="22">
        <f t="shared" ref="O13:O16" si="8">E13*G13</f>
        <v>30</v>
      </c>
      <c r="P13" s="22">
        <f t="shared" ref="P13:P16" si="9">F13*G13</f>
        <v>25</v>
      </c>
    </row>
    <row r="14" spans="2:16" ht="32.25" thickBot="1" x14ac:dyDescent="0.3">
      <c r="B14" s="60" t="s">
        <v>72</v>
      </c>
      <c r="C14" s="42" t="s">
        <v>82</v>
      </c>
      <c r="D14" s="19">
        <f t="shared" si="5"/>
        <v>12.5</v>
      </c>
      <c r="E14" s="41">
        <v>11</v>
      </c>
      <c r="F14" s="41">
        <v>14</v>
      </c>
      <c r="G14" s="20">
        <v>2</v>
      </c>
      <c r="H14" s="21">
        <f t="shared" si="6"/>
        <v>25</v>
      </c>
      <c r="I14" s="105">
        <v>11.833333333333334</v>
      </c>
      <c r="J14" s="106">
        <v>11.833333333333334</v>
      </c>
      <c r="K14" s="43" t="s">
        <v>123</v>
      </c>
      <c r="L14" s="19" t="str">
        <f t="shared" si="7"/>
        <v>C+</v>
      </c>
      <c r="M14" s="18"/>
      <c r="N14" s="18"/>
      <c r="O14" s="22">
        <f t="shared" si="8"/>
        <v>22</v>
      </c>
      <c r="P14" s="22">
        <f t="shared" si="9"/>
        <v>28</v>
      </c>
    </row>
    <row r="15" spans="2:16" ht="37.5" customHeight="1" thickBot="1" x14ac:dyDescent="0.3">
      <c r="B15" s="60" t="s">
        <v>73</v>
      </c>
      <c r="C15" s="42" t="s">
        <v>83</v>
      </c>
      <c r="D15" s="19">
        <f t="shared" si="5"/>
        <v>15</v>
      </c>
      <c r="E15" s="41">
        <v>16</v>
      </c>
      <c r="F15" s="41">
        <v>14</v>
      </c>
      <c r="G15" s="20">
        <v>2</v>
      </c>
      <c r="H15" s="21">
        <f t="shared" si="6"/>
        <v>30</v>
      </c>
      <c r="I15" s="105">
        <v>10.666666666666666</v>
      </c>
      <c r="J15" s="106">
        <v>10.666666666666666</v>
      </c>
      <c r="K15" s="43" t="s">
        <v>139</v>
      </c>
      <c r="L15" s="19" t="str">
        <f t="shared" si="7"/>
        <v>B+</v>
      </c>
      <c r="M15" s="18"/>
      <c r="N15" s="18"/>
      <c r="O15" s="22">
        <f t="shared" si="8"/>
        <v>32</v>
      </c>
      <c r="P15" s="22">
        <f t="shared" si="9"/>
        <v>28</v>
      </c>
    </row>
    <row r="16" spans="2:16" ht="32.25" thickBot="1" x14ac:dyDescent="0.3">
      <c r="B16" s="60" t="s">
        <v>110</v>
      </c>
      <c r="C16" s="39" t="s">
        <v>75</v>
      </c>
      <c r="D16" s="19">
        <f t="shared" si="5"/>
        <v>12</v>
      </c>
      <c r="E16" s="19">
        <v>12</v>
      </c>
      <c r="F16" s="19">
        <v>12</v>
      </c>
      <c r="G16" s="20">
        <v>1</v>
      </c>
      <c r="H16" s="21">
        <f t="shared" si="6"/>
        <v>12</v>
      </c>
      <c r="I16" s="105">
        <v>11</v>
      </c>
      <c r="J16" s="106">
        <v>8.3333333333333339</v>
      </c>
      <c r="K16" s="43" t="s">
        <v>139</v>
      </c>
      <c r="L16" s="19" t="str">
        <f t="shared" si="7"/>
        <v>C+</v>
      </c>
      <c r="M16" s="18"/>
      <c r="N16" s="18"/>
      <c r="O16" s="22">
        <f t="shared" si="8"/>
        <v>12</v>
      </c>
      <c r="P16" s="22">
        <f t="shared" si="9"/>
        <v>12</v>
      </c>
    </row>
    <row r="17" spans="2:16" ht="16.5" thickBot="1" x14ac:dyDescent="0.3">
      <c r="B17" s="109" t="s">
        <v>32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8"/>
      <c r="N17" s="18"/>
      <c r="O17" s="18"/>
      <c r="P17" s="18"/>
    </row>
    <row r="18" spans="2:16" ht="16.5" thickBot="1" x14ac:dyDescent="0.3">
      <c r="B18" s="23" t="s">
        <v>33</v>
      </c>
      <c r="C18" s="36"/>
      <c r="D18" s="112">
        <f>(SUM(H13:H16)/SUM(G13:G16))</f>
        <v>13.5</v>
      </c>
      <c r="E18" s="112"/>
      <c r="F18" s="112"/>
      <c r="G18" s="113" t="s">
        <v>31</v>
      </c>
      <c r="H18" s="113"/>
      <c r="I18" s="59"/>
      <c r="J18" s="114"/>
      <c r="K18" s="114"/>
      <c r="L18" s="115"/>
      <c r="M18" s="18"/>
      <c r="N18" s="18"/>
      <c r="O18" s="18"/>
      <c r="P18" s="18"/>
    </row>
    <row r="19" spans="2:16" ht="16.5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1"/>
      <c r="M19" s="18"/>
      <c r="N19" s="18"/>
      <c r="O19" s="18"/>
      <c r="P19" s="18"/>
    </row>
    <row r="20" spans="2:16" ht="51.75" thickBot="1" x14ac:dyDescent="0.3">
      <c r="B20" s="60" t="s">
        <v>120</v>
      </c>
      <c r="C20" s="42" t="s">
        <v>84</v>
      </c>
      <c r="D20" s="19">
        <f t="shared" ref="D20:D22" si="10">(E20+F20)/2</f>
        <v>11.5</v>
      </c>
      <c r="E20" s="41">
        <v>10</v>
      </c>
      <c r="F20" s="41">
        <v>13</v>
      </c>
      <c r="G20" s="20">
        <v>2</v>
      </c>
      <c r="H20" s="21">
        <f t="shared" ref="H20:H22" si="11">D20*G20</f>
        <v>23</v>
      </c>
      <c r="I20" s="105">
        <v>12.083333333333334</v>
      </c>
      <c r="J20" s="106">
        <v>12.083333333333334</v>
      </c>
      <c r="K20" s="43" t="s">
        <v>123</v>
      </c>
      <c r="L20" s="19" t="str">
        <f t="shared" ref="L20:L22" si="12">IF(D20&lt;10,"D",IF(D20&lt;12,"C",IF(D20&lt;14,"C+",IF(D20&lt;15,"B",IF(D20&lt;16,"B+",IF(D20&lt;18,"A",IF(D20&lt;20,"A+")))))))</f>
        <v>C</v>
      </c>
      <c r="M20" s="18"/>
      <c r="N20" s="18"/>
      <c r="O20" s="22">
        <f t="shared" ref="O20:O22" si="13">E20*G20</f>
        <v>20</v>
      </c>
      <c r="P20" s="22">
        <f t="shared" ref="P20:P22" si="14">F20*G20</f>
        <v>26</v>
      </c>
    </row>
    <row r="21" spans="2:16" ht="64.5" thickBot="1" x14ac:dyDescent="0.3">
      <c r="B21" s="60" t="s">
        <v>111</v>
      </c>
      <c r="C21" s="42" t="s">
        <v>85</v>
      </c>
      <c r="D21" s="19">
        <f t="shared" si="10"/>
        <v>11.5</v>
      </c>
      <c r="E21" s="41">
        <v>13</v>
      </c>
      <c r="F21" s="41">
        <v>10</v>
      </c>
      <c r="G21" s="20">
        <v>4</v>
      </c>
      <c r="H21" s="21">
        <f t="shared" si="11"/>
        <v>46</v>
      </c>
      <c r="I21" s="105">
        <v>8.5833333333333339</v>
      </c>
      <c r="J21" s="106">
        <v>8.5833333333333339</v>
      </c>
      <c r="K21" s="43" t="s">
        <v>139</v>
      </c>
      <c r="L21" s="19" t="str">
        <f t="shared" si="12"/>
        <v>C</v>
      </c>
      <c r="M21" s="18"/>
      <c r="N21" s="18"/>
      <c r="O21" s="22">
        <f t="shared" si="13"/>
        <v>52</v>
      </c>
      <c r="P21" s="22">
        <f t="shared" si="14"/>
        <v>40</v>
      </c>
    </row>
    <row r="22" spans="2:16" ht="64.5" thickBot="1" x14ac:dyDescent="0.3">
      <c r="B22" s="60" t="s">
        <v>112</v>
      </c>
      <c r="C22" s="42" t="s">
        <v>86</v>
      </c>
      <c r="D22" s="19">
        <f t="shared" si="10"/>
        <v>12</v>
      </c>
      <c r="E22" s="41">
        <v>12</v>
      </c>
      <c r="F22" s="41">
        <v>12</v>
      </c>
      <c r="G22" s="20">
        <v>2</v>
      </c>
      <c r="H22" s="21">
        <f t="shared" si="11"/>
        <v>24</v>
      </c>
      <c r="I22" s="105">
        <v>9.6666666666666661</v>
      </c>
      <c r="J22" s="106">
        <v>9.6666666666666661</v>
      </c>
      <c r="K22" s="43" t="s">
        <v>139</v>
      </c>
      <c r="L22" s="19" t="str">
        <f t="shared" si="12"/>
        <v>C+</v>
      </c>
      <c r="M22" s="18"/>
      <c r="N22" s="18"/>
      <c r="O22" s="22">
        <f t="shared" si="13"/>
        <v>24</v>
      </c>
      <c r="P22" s="22">
        <f t="shared" si="14"/>
        <v>24</v>
      </c>
    </row>
    <row r="23" spans="2:16" ht="16.5" thickBot="1" x14ac:dyDescent="0.3">
      <c r="B23" s="109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  <c r="M23" s="18"/>
      <c r="N23" s="18"/>
      <c r="O23" s="18"/>
      <c r="P23" s="18"/>
    </row>
    <row r="24" spans="2:16" ht="16.5" thickBot="1" x14ac:dyDescent="0.3">
      <c r="B24" s="23" t="s">
        <v>30</v>
      </c>
      <c r="C24" s="36"/>
      <c r="D24" s="112">
        <f>(SUM(H20:H22)/SUM(G20:G22))</f>
        <v>11.625</v>
      </c>
      <c r="E24" s="112"/>
      <c r="F24" s="112"/>
      <c r="G24" s="113" t="s">
        <v>31</v>
      </c>
      <c r="H24" s="113"/>
      <c r="I24" s="59"/>
      <c r="J24" s="114"/>
      <c r="K24" s="114"/>
      <c r="L24" s="115"/>
      <c r="M24" s="18"/>
      <c r="N24" s="18"/>
      <c r="O24" s="18"/>
      <c r="P24" s="18"/>
    </row>
    <row r="25" spans="2:16" ht="16.5" thickBot="1" x14ac:dyDescent="0.3">
      <c r="B25" s="116"/>
      <c r="C25" s="117"/>
      <c r="D25" s="117"/>
      <c r="E25" s="117"/>
      <c r="F25" s="117"/>
      <c r="G25" s="117"/>
      <c r="H25" s="117"/>
      <c r="I25" s="127"/>
      <c r="J25" s="127"/>
      <c r="K25" s="127"/>
      <c r="L25" s="118"/>
      <c r="M25" s="18"/>
      <c r="N25" s="18"/>
      <c r="O25" s="18"/>
      <c r="P25" s="18"/>
    </row>
    <row r="26" spans="2:16" ht="51.75" thickBot="1" x14ac:dyDescent="0.3">
      <c r="B26" s="60" t="s">
        <v>113</v>
      </c>
      <c r="C26" s="40" t="s">
        <v>76</v>
      </c>
      <c r="D26" s="19">
        <f t="shared" ref="D26:D29" si="15">(E26+F26)/2</f>
        <v>12</v>
      </c>
      <c r="E26" s="41">
        <v>11</v>
      </c>
      <c r="F26" s="41">
        <v>13</v>
      </c>
      <c r="G26" s="20">
        <v>1</v>
      </c>
      <c r="H26" s="21">
        <f t="shared" ref="H26:H29" si="16">D26*G26</f>
        <v>12</v>
      </c>
      <c r="I26" s="105">
        <v>10.666666666666666</v>
      </c>
      <c r="J26" s="106">
        <v>10.666666666666666</v>
      </c>
      <c r="K26" s="43" t="s">
        <v>139</v>
      </c>
      <c r="L26" s="19" t="str">
        <f t="shared" ref="L26:L28" si="17">IF(D26&lt;10,"D",IF(D26&lt;12,"C",IF(D26&lt;14,"C+",IF(D26&lt;15,"B",IF(D26&lt;16,"B+",IF(D26&lt;18,"A",IF(D26&lt;20,"A+")))))))</f>
        <v>C+</v>
      </c>
      <c r="M26" s="18"/>
      <c r="N26" s="18"/>
      <c r="O26" s="22">
        <f t="shared" ref="O26:O29" si="18">E26*G26</f>
        <v>11</v>
      </c>
      <c r="P26" s="22">
        <f t="shared" ref="P26:P29" si="19">F26*G26</f>
        <v>13</v>
      </c>
    </row>
    <row r="27" spans="2:16" ht="32.25" thickBot="1" x14ac:dyDescent="0.3">
      <c r="B27" s="60" t="s">
        <v>74</v>
      </c>
      <c r="C27" s="42" t="s">
        <v>87</v>
      </c>
      <c r="D27" s="19">
        <f t="shared" si="15"/>
        <v>15.5</v>
      </c>
      <c r="E27" s="41">
        <v>15</v>
      </c>
      <c r="F27" s="41">
        <v>16</v>
      </c>
      <c r="G27" s="20">
        <v>2</v>
      </c>
      <c r="H27" s="21">
        <f>D27*G27</f>
        <v>31</v>
      </c>
      <c r="I27" s="105">
        <v>14.416666666666666</v>
      </c>
      <c r="J27" s="106">
        <v>14.416666666666666</v>
      </c>
      <c r="K27" s="43" t="s">
        <v>139</v>
      </c>
      <c r="L27" s="19" t="str">
        <f t="shared" si="17"/>
        <v>B+</v>
      </c>
      <c r="M27" s="18"/>
      <c r="N27" s="18"/>
      <c r="O27" s="22">
        <f t="shared" si="18"/>
        <v>30</v>
      </c>
      <c r="P27" s="22">
        <f t="shared" si="19"/>
        <v>32</v>
      </c>
    </row>
    <row r="28" spans="2:16" ht="39.75" customHeight="1" thickBot="1" x14ac:dyDescent="0.3">
      <c r="B28" s="60" t="s">
        <v>114</v>
      </c>
      <c r="C28" s="42" t="s">
        <v>88</v>
      </c>
      <c r="D28" s="19">
        <f t="shared" si="15"/>
        <v>14.5</v>
      </c>
      <c r="E28" s="41">
        <v>14</v>
      </c>
      <c r="F28" s="41">
        <v>15</v>
      </c>
      <c r="G28" s="20">
        <v>1</v>
      </c>
      <c r="H28" s="21">
        <f t="shared" si="16"/>
        <v>14.5</v>
      </c>
      <c r="I28" s="105">
        <v>12.75</v>
      </c>
      <c r="J28" s="106">
        <v>12.75</v>
      </c>
      <c r="K28" s="43" t="s">
        <v>139</v>
      </c>
      <c r="L28" s="19" t="str">
        <f t="shared" si="17"/>
        <v>B</v>
      </c>
      <c r="M28" s="18"/>
      <c r="N28" s="18"/>
      <c r="O28" s="22">
        <f t="shared" si="18"/>
        <v>14</v>
      </c>
      <c r="P28" s="22">
        <f t="shared" si="19"/>
        <v>15</v>
      </c>
    </row>
    <row r="29" spans="2:16" ht="39" thickBot="1" x14ac:dyDescent="0.3">
      <c r="B29" s="60" t="s">
        <v>115</v>
      </c>
      <c r="C29" s="42" t="s">
        <v>89</v>
      </c>
      <c r="D29" s="19">
        <f t="shared" si="15"/>
        <v>16.5</v>
      </c>
      <c r="E29" s="19">
        <v>16</v>
      </c>
      <c r="F29" s="19">
        <v>17</v>
      </c>
      <c r="G29" s="20">
        <v>1</v>
      </c>
      <c r="H29" s="21">
        <f t="shared" si="16"/>
        <v>16.5</v>
      </c>
      <c r="I29" s="105">
        <v>16.329999999999998</v>
      </c>
      <c r="J29" s="106"/>
      <c r="K29" s="43" t="s">
        <v>139</v>
      </c>
      <c r="L29" s="19" t="str">
        <f>IF(D29&lt;10,"D",IF(D29&lt;12,"C",IF(D29&lt;14,"C+",IF(D29&lt;15,"B",IF(D29&lt;16,"B+",IF(D29&lt;18,"A",IF(D29&lt;20,"A+")))))))</f>
        <v>A</v>
      </c>
      <c r="M29" s="18"/>
      <c r="N29" s="18"/>
      <c r="O29" s="22">
        <f t="shared" si="18"/>
        <v>16</v>
      </c>
      <c r="P29" s="22">
        <f t="shared" si="19"/>
        <v>17</v>
      </c>
    </row>
    <row r="30" spans="2:16" ht="16.5" thickBot="1" x14ac:dyDescent="0.3"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18"/>
      <c r="N30" s="18"/>
      <c r="O30" s="18">
        <f>SUM(O5:O29)</f>
        <v>376</v>
      </c>
      <c r="P30" s="18">
        <f>SUM(P5:P29)</f>
        <v>392</v>
      </c>
    </row>
    <row r="31" spans="2:16" ht="16.5" thickBot="1" x14ac:dyDescent="0.3">
      <c r="B31" s="27" t="s">
        <v>33</v>
      </c>
      <c r="C31" s="37"/>
      <c r="D31" s="112">
        <f>(SUM(H26:H29)/SUM(G26:G29))</f>
        <v>14.8</v>
      </c>
      <c r="E31" s="112"/>
      <c r="F31" s="112"/>
      <c r="G31" s="128" t="s">
        <v>31</v>
      </c>
      <c r="H31" s="128"/>
      <c r="I31" s="58"/>
      <c r="J31" s="129"/>
      <c r="K31" s="129"/>
      <c r="L31" s="130"/>
      <c r="M31" s="18"/>
      <c r="N31" s="18"/>
      <c r="O31" s="18">
        <v>29</v>
      </c>
      <c r="P31" s="18">
        <v>29</v>
      </c>
    </row>
    <row r="32" spans="2:16" ht="16.5" thickBot="1" x14ac:dyDescent="0.3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3"/>
      <c r="M32" s="18"/>
      <c r="N32" s="18"/>
      <c r="O32" s="18">
        <f>O30/O31</f>
        <v>12.96551724137931</v>
      </c>
      <c r="P32" s="18">
        <f>P30/P31</f>
        <v>13.517241379310345</v>
      </c>
    </row>
    <row r="33" spans="2:16" ht="48" thickBot="1" x14ac:dyDescent="0.3">
      <c r="B33" s="140" t="s">
        <v>36</v>
      </c>
      <c r="C33" s="130"/>
      <c r="D33" s="28" t="s">
        <v>37</v>
      </c>
      <c r="E33" s="35">
        <v>11.57</v>
      </c>
      <c r="F33" s="29" t="s">
        <v>38</v>
      </c>
      <c r="G33" s="129">
        <v>13.24</v>
      </c>
      <c r="H33" s="129"/>
      <c r="I33" s="29" t="s">
        <v>39</v>
      </c>
      <c r="J33" s="134">
        <v>9.66</v>
      </c>
      <c r="K33" s="129"/>
      <c r="L33" s="30"/>
      <c r="M33" s="31"/>
      <c r="N33" s="31"/>
      <c r="O33" s="31"/>
      <c r="P33" s="31"/>
    </row>
    <row r="34" spans="2:16" ht="15.75" x14ac:dyDescent="0.25">
      <c r="B34" s="65"/>
      <c r="C34" s="66"/>
      <c r="D34" s="67" t="s">
        <v>133</v>
      </c>
      <c r="E34" s="67" t="s">
        <v>134</v>
      </c>
      <c r="F34" s="66"/>
      <c r="G34" s="66"/>
      <c r="H34" s="68"/>
      <c r="I34" s="135"/>
      <c r="J34" s="136"/>
      <c r="K34" s="136"/>
      <c r="L34" s="137"/>
      <c r="M34" s="18"/>
      <c r="N34" s="18"/>
      <c r="O34" s="18"/>
      <c r="P34" s="18"/>
    </row>
    <row r="35" spans="2:16" ht="15.75" x14ac:dyDescent="0.25">
      <c r="B35" s="69" t="s">
        <v>40</v>
      </c>
      <c r="C35" s="70"/>
      <c r="D35" s="71">
        <f>O32</f>
        <v>12.96551724137931</v>
      </c>
      <c r="E35" s="71">
        <f>P32</f>
        <v>13.517241379310345</v>
      </c>
      <c r="F35" s="72" t="s">
        <v>136</v>
      </c>
      <c r="G35" s="73">
        <f>(H5+H6+H7+H8+H9+H13+H14+H15+H16+H20+H21+H22+H26+H27+H28+H29)/29</f>
        <v>13.241379310344827</v>
      </c>
      <c r="H35" s="70" t="s">
        <v>41</v>
      </c>
      <c r="I35" s="138" t="s">
        <v>42</v>
      </c>
      <c r="J35" s="139"/>
      <c r="K35" s="32" t="s">
        <v>121</v>
      </c>
      <c r="L35" s="33" t="s">
        <v>135</v>
      </c>
      <c r="M35" s="18"/>
      <c r="N35" s="18"/>
      <c r="O35" s="18"/>
      <c r="P35" s="18"/>
    </row>
    <row r="36" spans="2:16" ht="16.5" thickBot="1" x14ac:dyDescent="0.3">
      <c r="B36" s="122"/>
      <c r="C36" s="123"/>
      <c r="D36" s="123"/>
      <c r="E36" s="123"/>
      <c r="F36" s="123"/>
      <c r="G36" s="123"/>
      <c r="H36" s="123"/>
      <c r="I36" s="124"/>
      <c r="J36" s="125"/>
      <c r="K36" s="125"/>
      <c r="L36" s="126"/>
      <c r="M36" s="18"/>
      <c r="N36" s="18"/>
      <c r="O36" s="18"/>
      <c r="P36" s="18"/>
    </row>
    <row r="37" spans="2:16" ht="16.5" thickBot="1" x14ac:dyDescent="0.3">
      <c r="B37" s="141" t="s">
        <v>43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3"/>
      <c r="M37" s="18"/>
      <c r="N37" s="18"/>
      <c r="O37" s="18"/>
      <c r="P37" s="18"/>
    </row>
    <row r="38" spans="2:16" ht="16.5" thickBot="1" x14ac:dyDescent="0.3">
      <c r="B38" s="140" t="s">
        <v>44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30"/>
      <c r="M38" s="18"/>
      <c r="N38" s="18"/>
      <c r="O38" s="18"/>
      <c r="P38" s="18"/>
    </row>
    <row r="39" spans="2:16" ht="16.5" thickBot="1" x14ac:dyDescent="0.3">
      <c r="B39" s="24" t="s">
        <v>45</v>
      </c>
      <c r="C39" s="28"/>
      <c r="D39" s="131" t="s">
        <v>46</v>
      </c>
      <c r="E39" s="132"/>
      <c r="F39" s="133"/>
      <c r="G39" s="144" t="s">
        <v>47</v>
      </c>
      <c r="H39" s="145"/>
      <c r="I39" s="145"/>
      <c r="J39" s="145"/>
      <c r="K39" s="145"/>
      <c r="L39" s="146"/>
      <c r="M39" s="18"/>
      <c r="N39" s="18"/>
      <c r="O39" s="18"/>
      <c r="P39" s="18"/>
    </row>
    <row r="40" spans="2:16" ht="16.5" thickBot="1" x14ac:dyDescent="0.3">
      <c r="B40" s="63" t="s">
        <v>48</v>
      </c>
      <c r="C40" s="161"/>
      <c r="D40" s="150" t="str">
        <f>IF(G35&lt;10,"CNA",IF(G35&lt;12,"CMA",IF(G35&lt;14,"CA",IF(G35&lt;16,"CBA",IF(G35&lt;20,"CTBA")))))</f>
        <v>CA</v>
      </c>
      <c r="E40" s="151" t="e">
        <f>IF(#REF!&lt;10,"D",IF(#REF!&lt;12,"C",IF(#REF!&lt;14,"C+",IF(#REF!&lt;15,"B",IF(#REF!&lt;16,"B+",IF(#REF!&lt;18,"A",IF(#REF!&lt;20,"A+")))))))</f>
        <v>#REF!</v>
      </c>
      <c r="F40" s="152" t="e">
        <f>IF(#REF!&lt;10,"D",IF(#REF!&lt;12,"C",IF(#REF!&lt;14,"C+",IF(#REF!&lt;15,"B",IF(#REF!&lt;16,"B+",IF(#REF!&lt;18,"A",IF(#REF!&lt;20,"A+")))))))</f>
        <v>#REF!</v>
      </c>
      <c r="G40" s="147"/>
      <c r="H40" s="148"/>
      <c r="I40" s="148"/>
      <c r="J40" s="148"/>
      <c r="K40" s="148"/>
      <c r="L40" s="149"/>
      <c r="M40" s="18"/>
      <c r="N40" s="18"/>
      <c r="O40" s="18"/>
      <c r="P40" s="18"/>
    </row>
    <row r="41" spans="2:16" ht="16.5" thickBot="1" x14ac:dyDescent="0.3">
      <c r="B41" s="63" t="s">
        <v>49</v>
      </c>
      <c r="C41" s="162"/>
      <c r="D41" s="153" t="e">
        <f>IF(#REF!&lt;10,"D",IF(#REF!&lt;12,"C",IF(#REF!&lt;14,"C+",IF(#REF!&lt;15,"B",IF(#REF!&lt;16,"B+",IF(#REF!&lt;18,"A",IF(#REF!&lt;20,"A+")))))))</f>
        <v>#REF!</v>
      </c>
      <c r="E41" s="154" t="e">
        <f>IF(#REF!&lt;10,"D",IF(#REF!&lt;12,"C",IF(#REF!&lt;14,"C+",IF(#REF!&lt;15,"B",IF(#REF!&lt;16,"B+",IF(#REF!&lt;18,"A",IF(#REF!&lt;20,"A+")))))))</f>
        <v>#REF!</v>
      </c>
      <c r="F41" s="155" t="e">
        <f>IF(#REF!&lt;10,"D",IF(#REF!&lt;12,"C",IF(#REF!&lt;14,"C+",IF(#REF!&lt;15,"B",IF(#REF!&lt;16,"B+",IF(#REF!&lt;18,"A",IF(#REF!&lt;20,"A+")))))))</f>
        <v>#REF!</v>
      </c>
      <c r="G41" s="140" t="s">
        <v>50</v>
      </c>
      <c r="H41" s="129"/>
      <c r="I41" s="129"/>
      <c r="J41" s="130"/>
      <c r="K41" s="144" t="s">
        <v>51</v>
      </c>
      <c r="L41" s="146"/>
      <c r="M41" s="18"/>
      <c r="N41" s="18"/>
      <c r="O41" s="18"/>
      <c r="P41" s="18"/>
    </row>
    <row r="42" spans="2:16" ht="16.5" thickBot="1" x14ac:dyDescent="0.3">
      <c r="B42" s="64" t="s">
        <v>52</v>
      </c>
      <c r="C42" s="163"/>
      <c r="D42" s="156" t="e">
        <f>IF(#REF!&lt;10,"D",IF(#REF!&lt;12,"C",IF(#REF!&lt;14,"C+",IF(#REF!&lt;15,"B",IF(#REF!&lt;16,"B+",IF(#REF!&lt;18,"A",IF(#REF!&lt;20,"A+")))))))</f>
        <v>#REF!</v>
      </c>
      <c r="E42" s="157" t="e">
        <f>IF(#REF!&lt;10,"D",IF(#REF!&lt;12,"C",IF(#REF!&lt;14,"C+",IF(#REF!&lt;15,"B",IF(#REF!&lt;16,"B+",IF(#REF!&lt;18,"A",IF(#REF!&lt;20,"A+")))))))</f>
        <v>#REF!</v>
      </c>
      <c r="F42" s="158" t="e">
        <f>IF(#REF!&lt;10,"D",IF(#REF!&lt;12,"C",IF(#REF!&lt;14,"C+",IF(#REF!&lt;15,"B",IF(#REF!&lt;16,"B+",IF(#REF!&lt;18,"A",IF(#REF!&lt;20,"A+")))))))</f>
        <v>#REF!</v>
      </c>
      <c r="G42" s="140" t="s">
        <v>53</v>
      </c>
      <c r="H42" s="129"/>
      <c r="I42" s="129"/>
      <c r="J42" s="130"/>
      <c r="K42" s="159" t="s">
        <v>54</v>
      </c>
      <c r="L42" s="160"/>
      <c r="M42" s="18"/>
      <c r="N42" s="18"/>
      <c r="O42" s="18"/>
      <c r="P42" s="18"/>
    </row>
    <row r="43" spans="2:16" ht="16.5" thickBot="1" x14ac:dyDescent="0.3">
      <c r="B43" s="64" t="s">
        <v>55</v>
      </c>
      <c r="C43" s="146"/>
      <c r="D43" s="144" t="s">
        <v>56</v>
      </c>
      <c r="E43" s="145"/>
      <c r="F43" s="146"/>
      <c r="G43" s="140" t="s">
        <v>57</v>
      </c>
      <c r="H43" s="129"/>
      <c r="I43" s="129"/>
      <c r="J43" s="130"/>
      <c r="K43" s="159"/>
      <c r="L43" s="160"/>
      <c r="M43" s="18"/>
      <c r="N43" s="18"/>
      <c r="O43" s="18"/>
      <c r="P43" s="18"/>
    </row>
    <row r="44" spans="2:16" ht="16.5" thickBot="1" x14ac:dyDescent="0.3">
      <c r="B44" s="34" t="s">
        <v>58</v>
      </c>
      <c r="C44" s="103"/>
      <c r="D44" s="147"/>
      <c r="E44" s="148"/>
      <c r="F44" s="149"/>
      <c r="G44" s="140" t="s">
        <v>59</v>
      </c>
      <c r="H44" s="129"/>
      <c r="I44" s="129"/>
      <c r="J44" s="130"/>
      <c r="K44" s="168" t="s">
        <v>60</v>
      </c>
      <c r="L44" s="169"/>
      <c r="M44" s="18"/>
      <c r="N44" s="18"/>
      <c r="O44" s="18"/>
      <c r="P44" s="18"/>
    </row>
    <row r="45" spans="2:16" ht="31.5" x14ac:dyDescent="0.25">
      <c r="B45" s="24" t="s">
        <v>61</v>
      </c>
      <c r="C45" s="104"/>
      <c r="D45" s="135"/>
      <c r="E45" s="136"/>
      <c r="F45" s="137"/>
      <c r="G45" s="135"/>
      <c r="H45" s="136"/>
      <c r="I45" s="136"/>
      <c r="J45" s="137"/>
      <c r="K45" s="168" t="s">
        <v>62</v>
      </c>
      <c r="L45" s="169"/>
      <c r="M45" s="18"/>
      <c r="N45" s="18"/>
      <c r="O45" s="18"/>
      <c r="P45" s="18"/>
    </row>
    <row r="46" spans="2:16" ht="15.75" x14ac:dyDescent="0.25">
      <c r="B46" s="102"/>
      <c r="C46" s="102"/>
      <c r="D46" s="170"/>
      <c r="E46" s="171"/>
      <c r="F46" s="172"/>
      <c r="G46" s="170"/>
      <c r="H46" s="171"/>
      <c r="I46" s="171"/>
      <c r="J46" s="172"/>
      <c r="K46" s="164"/>
      <c r="L46" s="165"/>
      <c r="M46" s="18"/>
      <c r="N46" s="18"/>
      <c r="O46" s="18"/>
      <c r="P46" s="18"/>
    </row>
    <row r="47" spans="2:16" ht="15.75" x14ac:dyDescent="0.25">
      <c r="B47" s="102"/>
      <c r="C47" s="102"/>
      <c r="D47" s="170"/>
      <c r="E47" s="171"/>
      <c r="F47" s="172"/>
      <c r="G47" s="170"/>
      <c r="H47" s="171"/>
      <c r="I47" s="171"/>
      <c r="J47" s="172"/>
      <c r="K47" s="164"/>
      <c r="L47" s="165"/>
      <c r="M47" s="18"/>
      <c r="N47" s="18"/>
      <c r="O47" s="18"/>
      <c r="P47" s="18"/>
    </row>
    <row r="48" spans="2:16" ht="16.5" thickBot="1" x14ac:dyDescent="0.3">
      <c r="B48" s="103"/>
      <c r="C48" s="103"/>
      <c r="D48" s="173"/>
      <c r="E48" s="174"/>
      <c r="F48" s="175"/>
      <c r="G48" s="173"/>
      <c r="H48" s="174"/>
      <c r="I48" s="174"/>
      <c r="J48" s="175"/>
      <c r="K48" s="166"/>
      <c r="L48" s="167"/>
      <c r="M48" s="18"/>
      <c r="N48" s="18"/>
      <c r="O48" s="18"/>
      <c r="P48" s="18"/>
    </row>
  </sheetData>
  <mergeCells count="65">
    <mergeCell ref="C43:C44"/>
    <mergeCell ref="K46:L48"/>
    <mergeCell ref="D43:F44"/>
    <mergeCell ref="G43:J43"/>
    <mergeCell ref="K43:L43"/>
    <mergeCell ref="G44:J44"/>
    <mergeCell ref="K44:L44"/>
    <mergeCell ref="D45:F48"/>
    <mergeCell ref="G45:J48"/>
    <mergeCell ref="K45:L45"/>
    <mergeCell ref="B37:L37"/>
    <mergeCell ref="B38:L38"/>
    <mergeCell ref="D39:F39"/>
    <mergeCell ref="G39:L40"/>
    <mergeCell ref="D40:F42"/>
    <mergeCell ref="G41:J41"/>
    <mergeCell ref="K41:L41"/>
    <mergeCell ref="G42:J42"/>
    <mergeCell ref="K42:L42"/>
    <mergeCell ref="C40:C42"/>
    <mergeCell ref="B36:H36"/>
    <mergeCell ref="I36:L36"/>
    <mergeCell ref="B25:L25"/>
    <mergeCell ref="I26:J26"/>
    <mergeCell ref="I27:J27"/>
    <mergeCell ref="I28:J28"/>
    <mergeCell ref="I29:J29"/>
    <mergeCell ref="D31:F31"/>
    <mergeCell ref="G31:H31"/>
    <mergeCell ref="J31:L31"/>
    <mergeCell ref="B32:L32"/>
    <mergeCell ref="G33:H33"/>
    <mergeCell ref="J33:K33"/>
    <mergeCell ref="I34:L34"/>
    <mergeCell ref="I35:J35"/>
    <mergeCell ref="B33:C33"/>
    <mergeCell ref="J24:L24"/>
    <mergeCell ref="I14:J14"/>
    <mergeCell ref="I15:J15"/>
    <mergeCell ref="I16:J16"/>
    <mergeCell ref="B17:L17"/>
    <mergeCell ref="D18:F18"/>
    <mergeCell ref="G18:H18"/>
    <mergeCell ref="J18:L18"/>
    <mergeCell ref="B19:L19"/>
    <mergeCell ref="I20:J20"/>
    <mergeCell ref="I21:J21"/>
    <mergeCell ref="I22:J22"/>
    <mergeCell ref="B23:L23"/>
    <mergeCell ref="B46:B48"/>
    <mergeCell ref="C45:C48"/>
    <mergeCell ref="I13:J13"/>
    <mergeCell ref="I4:J4"/>
    <mergeCell ref="I5:J5"/>
    <mergeCell ref="I6:J6"/>
    <mergeCell ref="I7:J7"/>
    <mergeCell ref="I8:J8"/>
    <mergeCell ref="I9:J9"/>
    <mergeCell ref="B10:L10"/>
    <mergeCell ref="D11:F11"/>
    <mergeCell ref="G11:H11"/>
    <mergeCell ref="J11:L11"/>
    <mergeCell ref="B12:L12"/>
    <mergeCell ref="D24:F24"/>
    <mergeCell ref="G24:H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abSelected="1" topLeftCell="A15" zoomScale="50" zoomScaleNormal="50" workbookViewId="0">
      <selection activeCell="K29" sqref="K29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1" t="s">
        <v>24</v>
      </c>
      <c r="C4" s="38" t="s">
        <v>70</v>
      </c>
      <c r="D4" s="82" t="s">
        <v>132</v>
      </c>
      <c r="E4" s="82" t="s">
        <v>133</v>
      </c>
      <c r="F4" s="82" t="s">
        <v>134</v>
      </c>
      <c r="G4" s="82" t="s">
        <v>25</v>
      </c>
      <c r="H4" s="81" t="s">
        <v>26</v>
      </c>
      <c r="I4" s="107" t="s">
        <v>27</v>
      </c>
      <c r="J4" s="108"/>
      <c r="K4" s="82" t="s">
        <v>21</v>
      </c>
      <c r="L4" s="82" t="s">
        <v>28</v>
      </c>
      <c r="M4" s="18"/>
      <c r="N4" s="18"/>
      <c r="O4" s="18"/>
      <c r="P4" s="18"/>
    </row>
    <row r="5" spans="2:16" ht="43.5" customHeight="1" thickBot="1" x14ac:dyDescent="0.3">
      <c r="B5" s="80" t="s">
        <v>71</v>
      </c>
      <c r="C5" s="40" t="s">
        <v>77</v>
      </c>
      <c r="D5" s="19">
        <f>(E5+F5)/2</f>
        <v>7</v>
      </c>
      <c r="E5" s="41">
        <v>4</v>
      </c>
      <c r="F5" s="41">
        <v>10</v>
      </c>
      <c r="G5" s="20">
        <v>3</v>
      </c>
      <c r="H5" s="21">
        <f>D5*G5</f>
        <v>21</v>
      </c>
      <c r="I5" s="105">
        <v>12.166666666666666</v>
      </c>
      <c r="J5" s="106">
        <v>12.166666666666666</v>
      </c>
      <c r="K5" s="43" t="s">
        <v>125</v>
      </c>
      <c r="L5" s="19" t="str">
        <f>IF(D5&lt;10,"D",IF(D5&lt;12,"C",IF(D5&lt;14,"C+",IF(D5&lt;15,"B",IF(D5&lt;16,"B+",IF(D5&lt;18,"A",IF(D5&lt;20,"A+")))))))</f>
        <v>D</v>
      </c>
      <c r="M5" s="18"/>
      <c r="N5" s="18"/>
      <c r="O5" s="22">
        <f>E5*G5</f>
        <v>12</v>
      </c>
      <c r="P5" s="22">
        <f>F5*G5</f>
        <v>30</v>
      </c>
    </row>
    <row r="6" spans="2:16" ht="32.25" thickBot="1" x14ac:dyDescent="0.3">
      <c r="B6" s="80" t="s">
        <v>116</v>
      </c>
      <c r="C6" s="40" t="s">
        <v>78</v>
      </c>
      <c r="D6" s="19">
        <f t="shared" ref="D6:D9" si="0">(E6+F6)/2</f>
        <v>9.5</v>
      </c>
      <c r="E6" s="41">
        <v>11</v>
      </c>
      <c r="F6" s="41">
        <v>8</v>
      </c>
      <c r="G6" s="20">
        <v>1</v>
      </c>
      <c r="H6" s="21">
        <f t="shared" ref="H6:H9" si="1">D6*G6</f>
        <v>9.5</v>
      </c>
      <c r="I6" s="105">
        <v>14.166666666666666</v>
      </c>
      <c r="J6" s="106">
        <v>14.166666666666666</v>
      </c>
      <c r="K6" s="43" t="s">
        <v>125</v>
      </c>
      <c r="L6" s="19" t="str">
        <f t="shared" ref="L6:L9" si="2">IF(D6&lt;10,"D",IF(D6&lt;12,"C",IF(D6&lt;14,"C+",IF(D6&lt;15,"B",IF(D6&lt;16,"B+",IF(D6&lt;18,"A",IF(D6&lt;20,"A+")))))))</f>
        <v>D</v>
      </c>
      <c r="M6" s="18"/>
      <c r="N6" s="18"/>
      <c r="O6" s="22">
        <f t="shared" ref="O6:O9" si="3">E6*G6</f>
        <v>11</v>
      </c>
      <c r="P6" s="22">
        <f t="shared" ref="P6:P9" si="4">F6*G6</f>
        <v>8</v>
      </c>
    </row>
    <row r="7" spans="2:16" ht="32.25" thickBot="1" x14ac:dyDescent="0.3">
      <c r="B7" s="80" t="s">
        <v>117</v>
      </c>
      <c r="C7" s="40" t="s">
        <v>79</v>
      </c>
      <c r="D7" s="19">
        <f t="shared" si="0"/>
        <v>11</v>
      </c>
      <c r="E7" s="41">
        <v>11</v>
      </c>
      <c r="F7" s="41">
        <v>11</v>
      </c>
      <c r="G7" s="20">
        <v>2</v>
      </c>
      <c r="H7" s="21">
        <f t="shared" si="1"/>
        <v>22</v>
      </c>
      <c r="I7" s="105">
        <v>10.833333333333334</v>
      </c>
      <c r="J7" s="106">
        <v>10.833333333333334</v>
      </c>
      <c r="K7" s="43" t="s">
        <v>123</v>
      </c>
      <c r="L7" s="19" t="str">
        <f t="shared" si="2"/>
        <v>C</v>
      </c>
      <c r="M7" s="18"/>
      <c r="N7" s="18"/>
      <c r="O7" s="22">
        <f t="shared" si="3"/>
        <v>22</v>
      </c>
      <c r="P7" s="22">
        <f t="shared" si="4"/>
        <v>22</v>
      </c>
    </row>
    <row r="8" spans="2:16" ht="39" thickBot="1" x14ac:dyDescent="0.3">
      <c r="B8" s="80" t="s">
        <v>118</v>
      </c>
      <c r="C8" s="40" t="s">
        <v>80</v>
      </c>
      <c r="D8" s="19">
        <f t="shared" si="0"/>
        <v>11.25</v>
      </c>
      <c r="E8" s="41">
        <v>12</v>
      </c>
      <c r="F8" s="41">
        <v>10.5</v>
      </c>
      <c r="G8" s="20">
        <v>2</v>
      </c>
      <c r="H8" s="21">
        <f t="shared" si="1"/>
        <v>22.5</v>
      </c>
      <c r="I8" s="105">
        <v>11.5</v>
      </c>
      <c r="J8" s="106">
        <v>11.5</v>
      </c>
      <c r="K8" s="43" t="s">
        <v>124</v>
      </c>
      <c r="L8" s="19" t="str">
        <f t="shared" si="2"/>
        <v>C</v>
      </c>
      <c r="M8" s="18"/>
      <c r="N8" s="18"/>
      <c r="O8" s="22">
        <f t="shared" si="3"/>
        <v>24</v>
      </c>
      <c r="P8" s="22">
        <f t="shared" si="4"/>
        <v>21</v>
      </c>
    </row>
    <row r="9" spans="2:16" ht="39" thickBot="1" x14ac:dyDescent="0.3">
      <c r="B9" s="80" t="s">
        <v>119</v>
      </c>
      <c r="C9" s="40" t="s">
        <v>80</v>
      </c>
      <c r="D9" s="19">
        <f t="shared" si="0"/>
        <v>16</v>
      </c>
      <c r="E9" s="41">
        <v>15</v>
      </c>
      <c r="F9" s="41">
        <v>17</v>
      </c>
      <c r="G9" s="20">
        <v>1</v>
      </c>
      <c r="H9" s="21">
        <f t="shared" si="1"/>
        <v>16</v>
      </c>
      <c r="I9" s="105">
        <v>15.666666666666666</v>
      </c>
      <c r="J9" s="106">
        <v>15.666666666666666</v>
      </c>
      <c r="K9" s="43" t="s">
        <v>122</v>
      </c>
      <c r="L9" s="19" t="str">
        <f t="shared" si="2"/>
        <v>A</v>
      </c>
      <c r="M9" s="18"/>
      <c r="N9" s="18"/>
      <c r="O9" s="22">
        <f t="shared" si="3"/>
        <v>15</v>
      </c>
      <c r="P9" s="22">
        <f t="shared" si="4"/>
        <v>17</v>
      </c>
    </row>
    <row r="10" spans="2:16" ht="16.5" thickBot="1" x14ac:dyDescent="0.3">
      <c r="B10" s="109" t="s">
        <v>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  <c r="M10" s="18"/>
      <c r="N10" s="18"/>
      <c r="O10" s="18"/>
      <c r="P10" s="18"/>
    </row>
    <row r="11" spans="2:16" ht="16.5" thickBot="1" x14ac:dyDescent="0.3">
      <c r="B11" s="23" t="s">
        <v>30</v>
      </c>
      <c r="C11" s="36"/>
      <c r="D11" s="112">
        <f>(SUM(H5:H9)/SUM(G5:G9))</f>
        <v>10.111111111111111</v>
      </c>
      <c r="E11" s="112"/>
      <c r="F11" s="112"/>
      <c r="G11" s="113" t="s">
        <v>31</v>
      </c>
      <c r="H11" s="113"/>
      <c r="I11" s="79"/>
      <c r="J11" s="114"/>
      <c r="K11" s="114"/>
      <c r="L11" s="115"/>
      <c r="M11" s="18"/>
      <c r="N11" s="18"/>
      <c r="O11" s="18"/>
      <c r="P11" s="18"/>
    </row>
    <row r="12" spans="2:16" ht="16.5" thickBot="1" x14ac:dyDescent="0.3">
      <c r="B12" s="116"/>
      <c r="C12" s="117"/>
      <c r="D12" s="117"/>
      <c r="E12" s="117"/>
      <c r="F12" s="117"/>
      <c r="G12" s="117"/>
      <c r="H12" s="117"/>
      <c r="I12" s="117"/>
      <c r="J12" s="117"/>
      <c r="K12" s="117"/>
      <c r="L12" s="118"/>
      <c r="M12" s="18"/>
      <c r="N12" s="18"/>
      <c r="O12" s="18"/>
      <c r="P12" s="18"/>
    </row>
    <row r="13" spans="2:16" ht="32.25" thickBot="1" x14ac:dyDescent="0.3">
      <c r="B13" s="80" t="s">
        <v>109</v>
      </c>
      <c r="C13" s="40" t="s">
        <v>81</v>
      </c>
      <c r="D13" s="19">
        <f t="shared" ref="D13:D16" si="5">(E13+F13)/2</f>
        <v>11</v>
      </c>
      <c r="E13" s="41">
        <v>11</v>
      </c>
      <c r="F13" s="41">
        <v>11</v>
      </c>
      <c r="G13" s="20">
        <v>2</v>
      </c>
      <c r="H13" s="21">
        <f t="shared" ref="H13:H16" si="6">D13*G13</f>
        <v>22</v>
      </c>
      <c r="I13" s="105">
        <v>11.083333333333334</v>
      </c>
      <c r="J13" s="106">
        <v>11.083333333333334</v>
      </c>
      <c r="K13" s="43" t="s">
        <v>124</v>
      </c>
      <c r="L13" s="19" t="str">
        <f t="shared" ref="L13:L16" si="7">IF(D13&lt;10,"D",IF(D13&lt;12,"C",IF(D13&lt;14,"C+",IF(D13&lt;15,"B",IF(D13&lt;16,"B+",IF(D13&lt;18,"A",IF(D13&lt;20,"A+")))))))</f>
        <v>C</v>
      </c>
      <c r="M13" s="18"/>
      <c r="N13" s="18"/>
      <c r="O13" s="22">
        <f t="shared" ref="O13:O16" si="8">E13*G13</f>
        <v>22</v>
      </c>
      <c r="P13" s="22">
        <f t="shared" ref="P13:P16" si="9">F13*G13</f>
        <v>22</v>
      </c>
    </row>
    <row r="14" spans="2:16" ht="32.25" thickBot="1" x14ac:dyDescent="0.3">
      <c r="B14" s="80" t="s">
        <v>72</v>
      </c>
      <c r="C14" s="42" t="s">
        <v>82</v>
      </c>
      <c r="D14" s="19">
        <f t="shared" si="5"/>
        <v>13</v>
      </c>
      <c r="E14" s="41">
        <v>12</v>
      </c>
      <c r="F14" s="41">
        <v>14</v>
      </c>
      <c r="G14" s="20">
        <v>2</v>
      </c>
      <c r="H14" s="21">
        <f t="shared" si="6"/>
        <v>26</v>
      </c>
      <c r="I14" s="105">
        <v>11.833333333333334</v>
      </c>
      <c r="J14" s="106">
        <v>11.833333333333334</v>
      </c>
      <c r="K14" s="43" t="s">
        <v>122</v>
      </c>
      <c r="L14" s="19" t="str">
        <f t="shared" si="7"/>
        <v>C+</v>
      </c>
      <c r="M14" s="18"/>
      <c r="N14" s="18"/>
      <c r="O14" s="22">
        <f t="shared" si="8"/>
        <v>24</v>
      </c>
      <c r="P14" s="22">
        <f t="shared" si="9"/>
        <v>28</v>
      </c>
    </row>
    <row r="15" spans="2:16" ht="37.5" customHeight="1" thickBot="1" x14ac:dyDescent="0.3">
      <c r="B15" s="80" t="s">
        <v>73</v>
      </c>
      <c r="C15" s="42" t="s">
        <v>83</v>
      </c>
      <c r="D15" s="19">
        <f t="shared" si="5"/>
        <v>9</v>
      </c>
      <c r="E15" s="41">
        <v>8</v>
      </c>
      <c r="F15" s="41">
        <v>10</v>
      </c>
      <c r="G15" s="20">
        <v>2</v>
      </c>
      <c r="H15" s="21">
        <f t="shared" si="6"/>
        <v>18</v>
      </c>
      <c r="I15" s="105">
        <v>10.666666666666666</v>
      </c>
      <c r="J15" s="106">
        <v>10.666666666666666</v>
      </c>
      <c r="K15" s="43" t="s">
        <v>124</v>
      </c>
      <c r="L15" s="19" t="str">
        <f t="shared" si="7"/>
        <v>D</v>
      </c>
      <c r="M15" s="18"/>
      <c r="N15" s="18"/>
      <c r="O15" s="22">
        <f t="shared" si="8"/>
        <v>16</v>
      </c>
      <c r="P15" s="22">
        <f t="shared" si="9"/>
        <v>20</v>
      </c>
    </row>
    <row r="16" spans="2:16" ht="32.25" thickBot="1" x14ac:dyDescent="0.3">
      <c r="B16" s="80" t="s">
        <v>110</v>
      </c>
      <c r="C16" s="39" t="s">
        <v>75</v>
      </c>
      <c r="D16" s="19">
        <f t="shared" si="5"/>
        <v>10</v>
      </c>
      <c r="E16" s="19">
        <v>10</v>
      </c>
      <c r="F16" s="19">
        <v>10</v>
      </c>
      <c r="G16" s="20">
        <v>1</v>
      </c>
      <c r="H16" s="21">
        <f t="shared" si="6"/>
        <v>10</v>
      </c>
      <c r="I16" s="105">
        <v>11</v>
      </c>
      <c r="J16" s="106">
        <v>8.3333333333333339</v>
      </c>
      <c r="K16" s="43" t="s">
        <v>125</v>
      </c>
      <c r="L16" s="19" t="str">
        <f t="shared" si="7"/>
        <v>C</v>
      </c>
      <c r="M16" s="18"/>
      <c r="N16" s="18"/>
      <c r="O16" s="22">
        <f t="shared" si="8"/>
        <v>10</v>
      </c>
      <c r="P16" s="22">
        <f t="shared" si="9"/>
        <v>10</v>
      </c>
    </row>
    <row r="17" spans="2:16" ht="16.5" thickBot="1" x14ac:dyDescent="0.3">
      <c r="B17" s="109" t="s">
        <v>32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8"/>
      <c r="N17" s="18"/>
      <c r="O17" s="18"/>
      <c r="P17" s="18"/>
    </row>
    <row r="18" spans="2:16" ht="16.5" thickBot="1" x14ac:dyDescent="0.3">
      <c r="B18" s="23" t="s">
        <v>33</v>
      </c>
      <c r="C18" s="36"/>
      <c r="D18" s="112">
        <f>(SUM(H13:H16)/SUM(G13:G16))</f>
        <v>10.857142857142858</v>
      </c>
      <c r="E18" s="112"/>
      <c r="F18" s="112"/>
      <c r="G18" s="113" t="s">
        <v>31</v>
      </c>
      <c r="H18" s="113"/>
      <c r="I18" s="79"/>
      <c r="J18" s="114"/>
      <c r="K18" s="114"/>
      <c r="L18" s="115"/>
      <c r="M18" s="18"/>
      <c r="N18" s="18"/>
      <c r="O18" s="18"/>
      <c r="P18" s="18"/>
    </row>
    <row r="19" spans="2:16" ht="16.5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1"/>
      <c r="M19" s="18"/>
      <c r="N19" s="18"/>
      <c r="O19" s="18"/>
      <c r="P19" s="18"/>
    </row>
    <row r="20" spans="2:16" ht="51.75" thickBot="1" x14ac:dyDescent="0.3">
      <c r="B20" s="80" t="s">
        <v>120</v>
      </c>
      <c r="C20" s="42" t="s">
        <v>84</v>
      </c>
      <c r="D20" s="19">
        <f t="shared" ref="D20:D22" si="10">(E20+F20)/2</f>
        <v>7.5</v>
      </c>
      <c r="E20" s="41">
        <v>4</v>
      </c>
      <c r="F20" s="41">
        <v>11</v>
      </c>
      <c r="G20" s="20">
        <v>2</v>
      </c>
      <c r="H20" s="21">
        <f t="shared" ref="H20:H22" si="11">D20*G20</f>
        <v>15</v>
      </c>
      <c r="I20" s="105">
        <v>12.083333333333334</v>
      </c>
      <c r="J20" s="106">
        <v>12.083333333333334</v>
      </c>
      <c r="K20" s="43" t="s">
        <v>125</v>
      </c>
      <c r="L20" s="19" t="str">
        <f t="shared" ref="L20:L22" si="12">IF(D20&lt;10,"D",IF(D20&lt;12,"C",IF(D20&lt;14,"C+",IF(D20&lt;15,"B",IF(D20&lt;16,"B+",IF(D20&lt;18,"A",IF(D20&lt;20,"A+")))))))</f>
        <v>D</v>
      </c>
      <c r="M20" s="18"/>
      <c r="N20" s="18"/>
      <c r="O20" s="22">
        <f t="shared" ref="O20:O22" si="13">E20*G20</f>
        <v>8</v>
      </c>
      <c r="P20" s="22">
        <f t="shared" ref="P20:P22" si="14">F20*G20</f>
        <v>22</v>
      </c>
    </row>
    <row r="21" spans="2:16" ht="64.5" thickBot="1" x14ac:dyDescent="0.3">
      <c r="B21" s="80" t="s">
        <v>111</v>
      </c>
      <c r="C21" s="42" t="s">
        <v>85</v>
      </c>
      <c r="D21" s="19">
        <f t="shared" si="10"/>
        <v>7.5</v>
      </c>
      <c r="E21" s="41">
        <v>9</v>
      </c>
      <c r="F21" s="41">
        <v>6</v>
      </c>
      <c r="G21" s="20">
        <v>4</v>
      </c>
      <c r="H21" s="21">
        <f t="shared" si="11"/>
        <v>30</v>
      </c>
      <c r="I21" s="105">
        <v>8.5833333333333339</v>
      </c>
      <c r="J21" s="106">
        <v>8.5833333333333339</v>
      </c>
      <c r="K21" s="43" t="s">
        <v>124</v>
      </c>
      <c r="L21" s="19" t="str">
        <f t="shared" si="12"/>
        <v>D</v>
      </c>
      <c r="M21" s="18"/>
      <c r="N21" s="18"/>
      <c r="O21" s="22">
        <f t="shared" si="13"/>
        <v>36</v>
      </c>
      <c r="P21" s="22">
        <f t="shared" si="14"/>
        <v>24</v>
      </c>
    </row>
    <row r="22" spans="2:16" ht="64.5" thickBot="1" x14ac:dyDescent="0.3">
      <c r="B22" s="80" t="s">
        <v>112</v>
      </c>
      <c r="C22" s="42" t="s">
        <v>86</v>
      </c>
      <c r="D22" s="19">
        <f t="shared" si="10"/>
        <v>11</v>
      </c>
      <c r="E22" s="41">
        <v>10.5</v>
      </c>
      <c r="F22" s="41">
        <v>11.5</v>
      </c>
      <c r="G22" s="20">
        <v>2</v>
      </c>
      <c r="H22" s="21">
        <f t="shared" si="11"/>
        <v>22</v>
      </c>
      <c r="I22" s="105">
        <v>9.6666666666666661</v>
      </c>
      <c r="J22" s="106">
        <v>9.6666666666666661</v>
      </c>
      <c r="K22" s="43" t="s">
        <v>123</v>
      </c>
      <c r="L22" s="19" t="str">
        <f t="shared" si="12"/>
        <v>C</v>
      </c>
      <c r="M22" s="18"/>
      <c r="N22" s="18"/>
      <c r="O22" s="22">
        <f t="shared" si="13"/>
        <v>21</v>
      </c>
      <c r="P22" s="22">
        <f t="shared" si="14"/>
        <v>23</v>
      </c>
    </row>
    <row r="23" spans="2:16" ht="16.5" thickBot="1" x14ac:dyDescent="0.3">
      <c r="B23" s="109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  <c r="M23" s="18"/>
      <c r="N23" s="18"/>
      <c r="O23" s="18"/>
      <c r="P23" s="18"/>
    </row>
    <row r="24" spans="2:16" ht="16.5" thickBot="1" x14ac:dyDescent="0.3">
      <c r="B24" s="23" t="s">
        <v>30</v>
      </c>
      <c r="C24" s="36"/>
      <c r="D24" s="112">
        <f>(SUM(H20:H22)/SUM(G20:G22))</f>
        <v>8.375</v>
      </c>
      <c r="E24" s="112"/>
      <c r="F24" s="112"/>
      <c r="G24" s="113" t="s">
        <v>31</v>
      </c>
      <c r="H24" s="113"/>
      <c r="I24" s="79"/>
      <c r="J24" s="114"/>
      <c r="K24" s="114"/>
      <c r="L24" s="115"/>
      <c r="M24" s="18"/>
      <c r="N24" s="18"/>
      <c r="O24" s="18"/>
      <c r="P24" s="18"/>
    </row>
    <row r="25" spans="2:16" ht="16.5" thickBot="1" x14ac:dyDescent="0.3">
      <c r="B25" s="116"/>
      <c r="C25" s="117"/>
      <c r="D25" s="117"/>
      <c r="E25" s="117"/>
      <c r="F25" s="117"/>
      <c r="G25" s="117"/>
      <c r="H25" s="117"/>
      <c r="I25" s="127"/>
      <c r="J25" s="127"/>
      <c r="K25" s="127"/>
      <c r="L25" s="118"/>
      <c r="M25" s="18"/>
      <c r="N25" s="18"/>
      <c r="O25" s="18"/>
      <c r="P25" s="18"/>
    </row>
    <row r="26" spans="2:16" ht="51.75" thickBot="1" x14ac:dyDescent="0.3">
      <c r="B26" s="80" t="s">
        <v>113</v>
      </c>
      <c r="C26" s="40" t="s">
        <v>76</v>
      </c>
      <c r="D26" s="19">
        <f t="shared" ref="D26:D29" si="15">(E26+F26)/2</f>
        <v>7</v>
      </c>
      <c r="E26" s="41">
        <v>7</v>
      </c>
      <c r="F26" s="41">
        <v>7</v>
      </c>
      <c r="G26" s="20">
        <v>1</v>
      </c>
      <c r="H26" s="21">
        <f t="shared" ref="H26:H29" si="16">D26*G26</f>
        <v>7</v>
      </c>
      <c r="I26" s="105">
        <v>10.666666666666666</v>
      </c>
      <c r="J26" s="106">
        <v>10.666666666666666</v>
      </c>
      <c r="K26" s="43" t="s">
        <v>125</v>
      </c>
      <c r="L26" s="19" t="str">
        <f t="shared" ref="L26:L28" si="17">IF(D26&lt;10,"D",IF(D26&lt;12,"C",IF(D26&lt;14,"C+",IF(D26&lt;15,"B",IF(D26&lt;16,"B+",IF(D26&lt;18,"A",IF(D26&lt;20,"A+")))))))</f>
        <v>D</v>
      </c>
      <c r="M26" s="18"/>
      <c r="N26" s="18"/>
      <c r="O26" s="22">
        <f t="shared" ref="O26:O29" si="18">E26*G26</f>
        <v>7</v>
      </c>
      <c r="P26" s="22">
        <f t="shared" ref="P26:P29" si="19">F26*G26</f>
        <v>7</v>
      </c>
    </row>
    <row r="27" spans="2:16" ht="32.25" thickBot="1" x14ac:dyDescent="0.3">
      <c r="B27" s="80" t="s">
        <v>74</v>
      </c>
      <c r="C27" s="42" t="s">
        <v>87</v>
      </c>
      <c r="D27" s="19">
        <f t="shared" si="15"/>
        <v>14.5</v>
      </c>
      <c r="E27" s="41">
        <v>14</v>
      </c>
      <c r="F27" s="41">
        <v>15</v>
      </c>
      <c r="G27" s="20">
        <v>2</v>
      </c>
      <c r="H27" s="21">
        <f>D27*G27</f>
        <v>29</v>
      </c>
      <c r="I27" s="105">
        <v>14.416666666666666</v>
      </c>
      <c r="J27" s="106">
        <v>14.416666666666666</v>
      </c>
      <c r="K27" s="43" t="s">
        <v>123</v>
      </c>
      <c r="L27" s="19" t="str">
        <f t="shared" si="17"/>
        <v>B</v>
      </c>
      <c r="M27" s="18"/>
      <c r="N27" s="18"/>
      <c r="O27" s="22">
        <f t="shared" si="18"/>
        <v>28</v>
      </c>
      <c r="P27" s="22">
        <f t="shared" si="19"/>
        <v>30</v>
      </c>
    </row>
    <row r="28" spans="2:16" ht="39.75" customHeight="1" thickBot="1" x14ac:dyDescent="0.3">
      <c r="B28" s="80" t="s">
        <v>114</v>
      </c>
      <c r="C28" s="42" t="s">
        <v>88</v>
      </c>
      <c r="D28" s="19">
        <f t="shared" si="15"/>
        <v>11</v>
      </c>
      <c r="E28" s="41">
        <v>11</v>
      </c>
      <c r="F28" s="41">
        <v>11</v>
      </c>
      <c r="G28" s="20">
        <v>1</v>
      </c>
      <c r="H28" s="21">
        <f t="shared" si="16"/>
        <v>11</v>
      </c>
      <c r="I28" s="105">
        <v>12.75</v>
      </c>
      <c r="J28" s="106">
        <v>12.75</v>
      </c>
      <c r="K28" s="43" t="s">
        <v>124</v>
      </c>
      <c r="L28" s="19" t="str">
        <f t="shared" si="17"/>
        <v>C</v>
      </c>
      <c r="M28" s="18"/>
      <c r="N28" s="18"/>
      <c r="O28" s="22">
        <f t="shared" si="18"/>
        <v>11</v>
      </c>
      <c r="P28" s="22">
        <f t="shared" si="19"/>
        <v>11</v>
      </c>
    </row>
    <row r="29" spans="2:16" ht="39" thickBot="1" x14ac:dyDescent="0.3">
      <c r="B29" s="80" t="s">
        <v>115</v>
      </c>
      <c r="C29" s="42" t="s">
        <v>89</v>
      </c>
      <c r="D29" s="19">
        <f t="shared" si="15"/>
        <v>16.5</v>
      </c>
      <c r="E29" s="19">
        <v>16</v>
      </c>
      <c r="F29" s="19">
        <v>17</v>
      </c>
      <c r="G29" s="20">
        <v>1</v>
      </c>
      <c r="H29" s="21">
        <f t="shared" si="16"/>
        <v>16.5</v>
      </c>
      <c r="I29" s="105">
        <v>16.329999999999998</v>
      </c>
      <c r="J29" s="106"/>
      <c r="K29" s="43" t="s">
        <v>124</v>
      </c>
      <c r="L29" s="19" t="str">
        <f>IF(D29&lt;10,"D",IF(D29&lt;12,"C",IF(D29&lt;14,"C+",IF(D29&lt;15,"B",IF(D29&lt;16,"B+",IF(D29&lt;18,"A",IF(D29&lt;20,"A+")))))))</f>
        <v>A</v>
      </c>
      <c r="M29" s="18"/>
      <c r="N29" s="18"/>
      <c r="O29" s="22">
        <f t="shared" si="18"/>
        <v>16</v>
      </c>
      <c r="P29" s="22">
        <f t="shared" si="19"/>
        <v>17</v>
      </c>
    </row>
    <row r="30" spans="2:16" ht="16.5" thickBot="1" x14ac:dyDescent="0.3"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18"/>
      <c r="N30" s="18"/>
      <c r="O30" s="18">
        <f>SUM(O5:O29)</f>
        <v>283</v>
      </c>
      <c r="P30" s="18">
        <f>SUM(P5:P29)</f>
        <v>312</v>
      </c>
    </row>
    <row r="31" spans="2:16" ht="16.5" thickBot="1" x14ac:dyDescent="0.3">
      <c r="B31" s="27" t="s">
        <v>33</v>
      </c>
      <c r="C31" s="37"/>
      <c r="D31" s="112">
        <f>(SUM(H26:H29)/SUM(G26:G29))</f>
        <v>12.7</v>
      </c>
      <c r="E31" s="112"/>
      <c r="F31" s="112"/>
      <c r="G31" s="128" t="s">
        <v>31</v>
      </c>
      <c r="H31" s="128"/>
      <c r="I31" s="78"/>
      <c r="J31" s="129"/>
      <c r="K31" s="129"/>
      <c r="L31" s="130"/>
      <c r="M31" s="18"/>
      <c r="N31" s="18"/>
      <c r="O31" s="18">
        <v>29</v>
      </c>
      <c r="P31" s="18">
        <v>29</v>
      </c>
    </row>
    <row r="32" spans="2:16" ht="16.5" thickBot="1" x14ac:dyDescent="0.3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3"/>
      <c r="M32" s="18"/>
      <c r="N32" s="18"/>
      <c r="O32" s="18">
        <f>O30/O31</f>
        <v>9.7586206896551726</v>
      </c>
      <c r="P32" s="18">
        <f>P30/P31</f>
        <v>10.758620689655173</v>
      </c>
    </row>
    <row r="33" spans="2:16" ht="48" thickBot="1" x14ac:dyDescent="0.3">
      <c r="B33" s="140" t="s">
        <v>36</v>
      </c>
      <c r="C33" s="130"/>
      <c r="D33" s="28" t="s">
        <v>37</v>
      </c>
      <c r="E33" s="35">
        <v>11.57</v>
      </c>
      <c r="F33" s="29" t="s">
        <v>38</v>
      </c>
      <c r="G33" s="129">
        <v>13.24</v>
      </c>
      <c r="H33" s="129"/>
      <c r="I33" s="29" t="s">
        <v>39</v>
      </c>
      <c r="J33" s="134">
        <v>9.66</v>
      </c>
      <c r="K33" s="129"/>
      <c r="L33" s="30"/>
      <c r="M33" s="31"/>
      <c r="N33" s="31"/>
      <c r="O33" s="31"/>
      <c r="P33" s="31"/>
    </row>
    <row r="34" spans="2:16" ht="15.75" x14ac:dyDescent="0.25">
      <c r="B34" s="65"/>
      <c r="C34" s="66"/>
      <c r="D34" s="67" t="s">
        <v>133</v>
      </c>
      <c r="E34" s="67" t="s">
        <v>134</v>
      </c>
      <c r="F34" s="66"/>
      <c r="G34" s="66"/>
      <c r="H34" s="68"/>
      <c r="I34" s="135"/>
      <c r="J34" s="136"/>
      <c r="K34" s="136"/>
      <c r="L34" s="137"/>
      <c r="M34" s="18"/>
      <c r="N34" s="18"/>
      <c r="O34" s="18"/>
      <c r="P34" s="18"/>
    </row>
    <row r="35" spans="2:16" ht="15.75" x14ac:dyDescent="0.25">
      <c r="B35" s="69" t="s">
        <v>40</v>
      </c>
      <c r="C35" s="70"/>
      <c r="D35" s="71">
        <f>O32</f>
        <v>9.7586206896551726</v>
      </c>
      <c r="E35" s="71">
        <f>P32</f>
        <v>10.758620689655173</v>
      </c>
      <c r="F35" s="72" t="s">
        <v>136</v>
      </c>
      <c r="G35" s="73">
        <f>(H5+H6+H7+H8+H9+H13+H14+H15+H16+H20+H21+H22+H26+H27+H28+H29)/29</f>
        <v>10.258620689655173</v>
      </c>
      <c r="H35" s="70" t="s">
        <v>41</v>
      </c>
      <c r="I35" s="138" t="s">
        <v>42</v>
      </c>
      <c r="J35" s="139"/>
      <c r="K35" s="32" t="s">
        <v>102</v>
      </c>
      <c r="L35" s="33" t="s">
        <v>135</v>
      </c>
      <c r="M35" s="18"/>
      <c r="N35" s="18"/>
      <c r="O35" s="18"/>
      <c r="P35" s="18"/>
    </row>
    <row r="36" spans="2:16" ht="16.5" thickBot="1" x14ac:dyDescent="0.3">
      <c r="B36" s="122"/>
      <c r="C36" s="123"/>
      <c r="D36" s="123"/>
      <c r="E36" s="123"/>
      <c r="F36" s="123"/>
      <c r="G36" s="123"/>
      <c r="H36" s="123"/>
      <c r="I36" s="124"/>
      <c r="J36" s="125"/>
      <c r="K36" s="125"/>
      <c r="L36" s="126"/>
      <c r="M36" s="18"/>
      <c r="N36" s="18"/>
      <c r="O36" s="18"/>
      <c r="P36" s="18"/>
    </row>
    <row r="37" spans="2:16" ht="16.5" thickBot="1" x14ac:dyDescent="0.3">
      <c r="B37" s="141" t="s">
        <v>43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3"/>
      <c r="M37" s="18"/>
      <c r="N37" s="18"/>
      <c r="O37" s="18"/>
      <c r="P37" s="18"/>
    </row>
    <row r="38" spans="2:16" ht="16.5" thickBot="1" x14ac:dyDescent="0.3">
      <c r="B38" s="140" t="s">
        <v>44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30"/>
      <c r="M38" s="18"/>
      <c r="N38" s="18"/>
      <c r="O38" s="18"/>
      <c r="P38" s="18"/>
    </row>
    <row r="39" spans="2:16" ht="16.5" thickBot="1" x14ac:dyDescent="0.3">
      <c r="B39" s="24" t="s">
        <v>45</v>
      </c>
      <c r="C39" s="28"/>
      <c r="D39" s="131" t="s">
        <v>46</v>
      </c>
      <c r="E39" s="132"/>
      <c r="F39" s="133"/>
      <c r="G39" s="144" t="s">
        <v>47</v>
      </c>
      <c r="H39" s="145"/>
      <c r="I39" s="145"/>
      <c r="J39" s="145"/>
      <c r="K39" s="145"/>
      <c r="L39" s="146"/>
      <c r="M39" s="18"/>
      <c r="N39" s="18"/>
      <c r="O39" s="18"/>
      <c r="P39" s="18"/>
    </row>
    <row r="40" spans="2:16" ht="16.5" thickBot="1" x14ac:dyDescent="0.3">
      <c r="B40" s="63" t="s">
        <v>48</v>
      </c>
      <c r="C40" s="161"/>
      <c r="D40" s="150" t="str">
        <f>IF(G35&lt;10,"CNA",IF(G35&lt;12,"CMA",IF(G35&lt;14,"CA",IF(G35&lt;16,"CBA",IF(G35&lt;20,"CTBA")))))</f>
        <v>CMA</v>
      </c>
      <c r="E40" s="151" t="e">
        <f>IF(#REF!&lt;10,"D",IF(#REF!&lt;12,"C",IF(#REF!&lt;14,"C+",IF(#REF!&lt;15,"B",IF(#REF!&lt;16,"B+",IF(#REF!&lt;18,"A",IF(#REF!&lt;20,"A+")))))))</f>
        <v>#REF!</v>
      </c>
      <c r="F40" s="152" t="e">
        <f>IF(#REF!&lt;10,"D",IF(#REF!&lt;12,"C",IF(#REF!&lt;14,"C+",IF(#REF!&lt;15,"B",IF(#REF!&lt;16,"B+",IF(#REF!&lt;18,"A",IF(#REF!&lt;20,"A+")))))))</f>
        <v>#REF!</v>
      </c>
      <c r="G40" s="147"/>
      <c r="H40" s="148"/>
      <c r="I40" s="148"/>
      <c r="J40" s="148"/>
      <c r="K40" s="148"/>
      <c r="L40" s="149"/>
      <c r="M40" s="18"/>
      <c r="N40" s="18"/>
      <c r="O40" s="18"/>
      <c r="P40" s="18"/>
    </row>
    <row r="41" spans="2:16" ht="16.5" thickBot="1" x14ac:dyDescent="0.3">
      <c r="B41" s="63" t="s">
        <v>49</v>
      </c>
      <c r="C41" s="162"/>
      <c r="D41" s="153" t="e">
        <f>IF(#REF!&lt;10,"D",IF(#REF!&lt;12,"C",IF(#REF!&lt;14,"C+",IF(#REF!&lt;15,"B",IF(#REF!&lt;16,"B+",IF(#REF!&lt;18,"A",IF(#REF!&lt;20,"A+")))))))</f>
        <v>#REF!</v>
      </c>
      <c r="E41" s="154" t="e">
        <f>IF(#REF!&lt;10,"D",IF(#REF!&lt;12,"C",IF(#REF!&lt;14,"C+",IF(#REF!&lt;15,"B",IF(#REF!&lt;16,"B+",IF(#REF!&lt;18,"A",IF(#REF!&lt;20,"A+")))))))</f>
        <v>#REF!</v>
      </c>
      <c r="F41" s="155" t="e">
        <f>IF(#REF!&lt;10,"D",IF(#REF!&lt;12,"C",IF(#REF!&lt;14,"C+",IF(#REF!&lt;15,"B",IF(#REF!&lt;16,"B+",IF(#REF!&lt;18,"A",IF(#REF!&lt;20,"A+")))))))</f>
        <v>#REF!</v>
      </c>
      <c r="G41" s="140" t="s">
        <v>50</v>
      </c>
      <c r="H41" s="129"/>
      <c r="I41" s="129"/>
      <c r="J41" s="130"/>
      <c r="K41" s="144" t="s">
        <v>51</v>
      </c>
      <c r="L41" s="146"/>
      <c r="M41" s="18"/>
      <c r="N41" s="18"/>
      <c r="O41" s="18"/>
      <c r="P41" s="18"/>
    </row>
    <row r="42" spans="2:16" ht="16.5" thickBot="1" x14ac:dyDescent="0.3">
      <c r="B42" s="64" t="s">
        <v>52</v>
      </c>
      <c r="C42" s="163"/>
      <c r="D42" s="156" t="e">
        <f>IF(#REF!&lt;10,"D",IF(#REF!&lt;12,"C",IF(#REF!&lt;14,"C+",IF(#REF!&lt;15,"B",IF(#REF!&lt;16,"B+",IF(#REF!&lt;18,"A",IF(#REF!&lt;20,"A+")))))))</f>
        <v>#REF!</v>
      </c>
      <c r="E42" s="157" t="e">
        <f>IF(#REF!&lt;10,"D",IF(#REF!&lt;12,"C",IF(#REF!&lt;14,"C+",IF(#REF!&lt;15,"B",IF(#REF!&lt;16,"B+",IF(#REF!&lt;18,"A",IF(#REF!&lt;20,"A+")))))))</f>
        <v>#REF!</v>
      </c>
      <c r="F42" s="158" t="e">
        <f>IF(#REF!&lt;10,"D",IF(#REF!&lt;12,"C",IF(#REF!&lt;14,"C+",IF(#REF!&lt;15,"B",IF(#REF!&lt;16,"B+",IF(#REF!&lt;18,"A",IF(#REF!&lt;20,"A+")))))))</f>
        <v>#REF!</v>
      </c>
      <c r="G42" s="140" t="s">
        <v>53</v>
      </c>
      <c r="H42" s="129"/>
      <c r="I42" s="129"/>
      <c r="J42" s="130"/>
      <c r="K42" s="159" t="s">
        <v>54</v>
      </c>
      <c r="L42" s="160"/>
      <c r="M42" s="18"/>
      <c r="N42" s="18"/>
      <c r="O42" s="18"/>
      <c r="P42" s="18"/>
    </row>
    <row r="43" spans="2:16" ht="16.5" thickBot="1" x14ac:dyDescent="0.3">
      <c r="B43" s="64" t="s">
        <v>55</v>
      </c>
      <c r="C43" s="146"/>
      <c r="D43" s="144" t="s">
        <v>56</v>
      </c>
      <c r="E43" s="145"/>
      <c r="F43" s="146"/>
      <c r="G43" s="140" t="s">
        <v>57</v>
      </c>
      <c r="H43" s="129"/>
      <c r="I43" s="129"/>
      <c r="J43" s="130"/>
      <c r="K43" s="159"/>
      <c r="L43" s="160"/>
      <c r="M43" s="18"/>
      <c r="N43" s="18"/>
      <c r="O43" s="18"/>
      <c r="P43" s="18"/>
    </row>
    <row r="44" spans="2:16" ht="16.5" thickBot="1" x14ac:dyDescent="0.3">
      <c r="B44" s="34" t="s">
        <v>58</v>
      </c>
      <c r="C44" s="103"/>
      <c r="D44" s="147"/>
      <c r="E44" s="148"/>
      <c r="F44" s="149"/>
      <c r="G44" s="140" t="s">
        <v>59</v>
      </c>
      <c r="H44" s="129"/>
      <c r="I44" s="129"/>
      <c r="J44" s="130"/>
      <c r="K44" s="168" t="s">
        <v>60</v>
      </c>
      <c r="L44" s="169"/>
      <c r="M44" s="18"/>
      <c r="N44" s="18"/>
      <c r="O44" s="18"/>
      <c r="P44" s="18"/>
    </row>
    <row r="45" spans="2:16" ht="31.5" x14ac:dyDescent="0.25">
      <c r="B45" s="24" t="s">
        <v>61</v>
      </c>
      <c r="C45" s="104"/>
      <c r="D45" s="135"/>
      <c r="E45" s="136"/>
      <c r="F45" s="137"/>
      <c r="G45" s="135"/>
      <c r="H45" s="136"/>
      <c r="I45" s="136"/>
      <c r="J45" s="137"/>
      <c r="K45" s="168" t="s">
        <v>62</v>
      </c>
      <c r="L45" s="169"/>
      <c r="M45" s="18"/>
      <c r="N45" s="18"/>
      <c r="O45" s="18"/>
      <c r="P45" s="18"/>
    </row>
    <row r="46" spans="2:16" ht="15.75" x14ac:dyDescent="0.25">
      <c r="B46" s="102"/>
      <c r="C46" s="102"/>
      <c r="D46" s="170"/>
      <c r="E46" s="171"/>
      <c r="F46" s="172"/>
      <c r="G46" s="170"/>
      <c r="H46" s="171"/>
      <c r="I46" s="171"/>
      <c r="J46" s="172"/>
      <c r="K46" s="164"/>
      <c r="L46" s="165"/>
      <c r="M46" s="18"/>
      <c r="N46" s="18"/>
      <c r="O46" s="18"/>
      <c r="P46" s="18"/>
    </row>
    <row r="47" spans="2:16" ht="15.75" x14ac:dyDescent="0.25">
      <c r="B47" s="102"/>
      <c r="C47" s="102"/>
      <c r="D47" s="170"/>
      <c r="E47" s="171"/>
      <c r="F47" s="172"/>
      <c r="G47" s="170"/>
      <c r="H47" s="171"/>
      <c r="I47" s="171"/>
      <c r="J47" s="172"/>
      <c r="K47" s="164"/>
      <c r="L47" s="165"/>
      <c r="M47" s="18"/>
      <c r="N47" s="18"/>
      <c r="O47" s="18"/>
      <c r="P47" s="18"/>
    </row>
    <row r="48" spans="2:16" ht="16.5" thickBot="1" x14ac:dyDescent="0.3">
      <c r="B48" s="103"/>
      <c r="C48" s="103"/>
      <c r="D48" s="173"/>
      <c r="E48" s="174"/>
      <c r="F48" s="175"/>
      <c r="G48" s="173"/>
      <c r="H48" s="174"/>
      <c r="I48" s="174"/>
      <c r="J48" s="175"/>
      <c r="K48" s="166"/>
      <c r="L48" s="167"/>
      <c r="M48" s="18"/>
      <c r="N48" s="18"/>
      <c r="O48" s="18"/>
      <c r="P48" s="18"/>
    </row>
  </sheetData>
  <mergeCells count="65">
    <mergeCell ref="C45:C48"/>
    <mergeCell ref="D45:F48"/>
    <mergeCell ref="G45:J48"/>
    <mergeCell ref="K45:L45"/>
    <mergeCell ref="B46:B48"/>
    <mergeCell ref="K46:L48"/>
    <mergeCell ref="G42:J42"/>
    <mergeCell ref="K42:L42"/>
    <mergeCell ref="C43:C44"/>
    <mergeCell ref="D43:F44"/>
    <mergeCell ref="G43:J43"/>
    <mergeCell ref="K43:L43"/>
    <mergeCell ref="G44:J44"/>
    <mergeCell ref="K44:L44"/>
    <mergeCell ref="B36:H36"/>
    <mergeCell ref="I36:L36"/>
    <mergeCell ref="B37:L37"/>
    <mergeCell ref="B38:L38"/>
    <mergeCell ref="D39:F39"/>
    <mergeCell ref="G39:L40"/>
    <mergeCell ref="C40:C42"/>
    <mergeCell ref="D40:F42"/>
    <mergeCell ref="G41:J41"/>
    <mergeCell ref="K41:L41"/>
    <mergeCell ref="B32:L32"/>
    <mergeCell ref="B33:C33"/>
    <mergeCell ref="G33:H33"/>
    <mergeCell ref="J33:K33"/>
    <mergeCell ref="I34:L34"/>
    <mergeCell ref="I35:J35"/>
    <mergeCell ref="B25:L25"/>
    <mergeCell ref="I26:J26"/>
    <mergeCell ref="I27:J27"/>
    <mergeCell ref="I28:J28"/>
    <mergeCell ref="I29:J29"/>
    <mergeCell ref="D31:F31"/>
    <mergeCell ref="G31:H31"/>
    <mergeCell ref="J31:L31"/>
    <mergeCell ref="B19:L19"/>
    <mergeCell ref="I20:J20"/>
    <mergeCell ref="I21:J21"/>
    <mergeCell ref="I22:J22"/>
    <mergeCell ref="B23:L23"/>
    <mergeCell ref="D24:F24"/>
    <mergeCell ref="G24:H24"/>
    <mergeCell ref="J24:L24"/>
    <mergeCell ref="I14:J14"/>
    <mergeCell ref="I15:J15"/>
    <mergeCell ref="I16:J16"/>
    <mergeCell ref="B17:L17"/>
    <mergeCell ref="D18:F18"/>
    <mergeCell ref="G18:H18"/>
    <mergeCell ref="J18:L18"/>
    <mergeCell ref="B10:L10"/>
    <mergeCell ref="D11:F11"/>
    <mergeCell ref="G11:H11"/>
    <mergeCell ref="J11:L11"/>
    <mergeCell ref="B12:L12"/>
    <mergeCell ref="I13:J13"/>
    <mergeCell ref="I4:J4"/>
    <mergeCell ref="I5:J5"/>
    <mergeCell ref="I6:J6"/>
    <mergeCell ref="I7:J7"/>
    <mergeCell ref="I8:J8"/>
    <mergeCell ref="I9:J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1" t="s">
        <v>24</v>
      </c>
      <c r="C4" s="38" t="s">
        <v>70</v>
      </c>
      <c r="D4" s="82" t="s">
        <v>132</v>
      </c>
      <c r="E4" s="82" t="s">
        <v>133</v>
      </c>
      <c r="F4" s="82" t="s">
        <v>134</v>
      </c>
      <c r="G4" s="82" t="s">
        <v>25</v>
      </c>
      <c r="H4" s="81" t="s">
        <v>26</v>
      </c>
      <c r="I4" s="107" t="s">
        <v>27</v>
      </c>
      <c r="J4" s="108"/>
      <c r="K4" s="82" t="s">
        <v>21</v>
      </c>
      <c r="L4" s="82" t="s">
        <v>28</v>
      </c>
      <c r="M4" s="18"/>
      <c r="N4" s="18"/>
      <c r="O4" s="18"/>
      <c r="P4" s="18"/>
    </row>
    <row r="5" spans="2:16" ht="43.5" customHeight="1" thickBot="1" x14ac:dyDescent="0.3">
      <c r="B5" s="80" t="s">
        <v>71</v>
      </c>
      <c r="C5" s="40" t="s">
        <v>77</v>
      </c>
      <c r="D5" s="19">
        <f>(E5+F5)/2</f>
        <v>0</v>
      </c>
      <c r="E5" s="41"/>
      <c r="F5" s="41"/>
      <c r="G5" s="20">
        <v>3</v>
      </c>
      <c r="H5" s="21">
        <f>D5*G5</f>
        <v>0</v>
      </c>
      <c r="I5" s="105">
        <v>12.166666666666666</v>
      </c>
      <c r="J5" s="106">
        <v>12.166666666666666</v>
      </c>
      <c r="K5" s="43" t="s">
        <v>138</v>
      </c>
      <c r="L5" s="19" t="str">
        <f>IF(D5&lt;10,"D",IF(D5&lt;12,"C",IF(D5&lt;14,"C+",IF(D5&lt;15,"B",IF(D5&lt;16,"B+",IF(D5&lt;18,"A",IF(D5&lt;20,"A+")))))))</f>
        <v>D</v>
      </c>
      <c r="M5" s="18"/>
      <c r="N5" s="18"/>
      <c r="O5" s="22">
        <f>E5*G5</f>
        <v>0</v>
      </c>
      <c r="P5" s="22">
        <f>F5*G5</f>
        <v>0</v>
      </c>
    </row>
    <row r="6" spans="2:16" ht="32.25" thickBot="1" x14ac:dyDescent="0.3">
      <c r="B6" s="80" t="s">
        <v>116</v>
      </c>
      <c r="C6" s="40" t="s">
        <v>78</v>
      </c>
      <c r="D6" s="19">
        <f t="shared" ref="D6:D9" si="0">(E6+F6)/2</f>
        <v>0</v>
      </c>
      <c r="E6" s="41"/>
      <c r="F6" s="41"/>
      <c r="G6" s="20">
        <v>1</v>
      </c>
      <c r="H6" s="21">
        <f t="shared" ref="H6:H9" si="1">D6*G6</f>
        <v>0</v>
      </c>
      <c r="I6" s="105">
        <v>14.166666666666666</v>
      </c>
      <c r="J6" s="106">
        <v>14.166666666666666</v>
      </c>
      <c r="K6" s="43" t="s">
        <v>138</v>
      </c>
      <c r="L6" s="19" t="str">
        <f t="shared" ref="L6:L9" si="2">IF(D6&lt;10,"D",IF(D6&lt;12,"C",IF(D6&lt;14,"C+",IF(D6&lt;15,"B",IF(D6&lt;16,"B+",IF(D6&lt;18,"A",IF(D6&lt;20,"A+")))))))</f>
        <v>D</v>
      </c>
      <c r="M6" s="18"/>
      <c r="N6" s="18"/>
      <c r="O6" s="22">
        <f t="shared" ref="O6:O9" si="3">E6*G6</f>
        <v>0</v>
      </c>
      <c r="P6" s="22">
        <f t="shared" ref="P6:P9" si="4">F6*G6</f>
        <v>0</v>
      </c>
    </row>
    <row r="7" spans="2:16" ht="32.25" thickBot="1" x14ac:dyDescent="0.3">
      <c r="B7" s="80" t="s">
        <v>117</v>
      </c>
      <c r="C7" s="40" t="s">
        <v>79</v>
      </c>
      <c r="D7" s="19">
        <f t="shared" si="0"/>
        <v>0</v>
      </c>
      <c r="E7" s="41"/>
      <c r="F7" s="41"/>
      <c r="G7" s="20">
        <v>2</v>
      </c>
      <c r="H7" s="21">
        <f t="shared" si="1"/>
        <v>0</v>
      </c>
      <c r="I7" s="105">
        <v>10.833333333333334</v>
      </c>
      <c r="J7" s="106">
        <v>10.833333333333334</v>
      </c>
      <c r="K7" s="43" t="s">
        <v>138</v>
      </c>
      <c r="L7" s="19" t="str">
        <f t="shared" si="2"/>
        <v>D</v>
      </c>
      <c r="M7" s="18"/>
      <c r="N7" s="18"/>
      <c r="O7" s="22">
        <f t="shared" si="3"/>
        <v>0</v>
      </c>
      <c r="P7" s="22">
        <f t="shared" si="4"/>
        <v>0</v>
      </c>
    </row>
    <row r="8" spans="2:16" ht="39" thickBot="1" x14ac:dyDescent="0.3">
      <c r="B8" s="80" t="s">
        <v>118</v>
      </c>
      <c r="C8" s="40" t="s">
        <v>80</v>
      </c>
      <c r="D8" s="19">
        <f t="shared" si="0"/>
        <v>0</v>
      </c>
      <c r="E8" s="41"/>
      <c r="F8" s="41"/>
      <c r="G8" s="20">
        <v>2</v>
      </c>
      <c r="H8" s="21">
        <f t="shared" si="1"/>
        <v>0</v>
      </c>
      <c r="I8" s="105">
        <v>11.5</v>
      </c>
      <c r="J8" s="106">
        <v>11.5</v>
      </c>
      <c r="K8" s="43" t="s">
        <v>138</v>
      </c>
      <c r="L8" s="19" t="str">
        <f t="shared" si="2"/>
        <v>D</v>
      </c>
      <c r="M8" s="18"/>
      <c r="N8" s="18"/>
      <c r="O8" s="22">
        <f t="shared" si="3"/>
        <v>0</v>
      </c>
      <c r="P8" s="22">
        <f t="shared" si="4"/>
        <v>0</v>
      </c>
    </row>
    <row r="9" spans="2:16" ht="39" thickBot="1" x14ac:dyDescent="0.3">
      <c r="B9" s="80" t="s">
        <v>119</v>
      </c>
      <c r="C9" s="40" t="s">
        <v>80</v>
      </c>
      <c r="D9" s="19">
        <f t="shared" si="0"/>
        <v>0</v>
      </c>
      <c r="E9" s="41"/>
      <c r="F9" s="41"/>
      <c r="G9" s="20">
        <v>1</v>
      </c>
      <c r="H9" s="21">
        <f t="shared" si="1"/>
        <v>0</v>
      </c>
      <c r="I9" s="105">
        <v>15.666666666666666</v>
      </c>
      <c r="J9" s="106">
        <v>15.666666666666666</v>
      </c>
      <c r="K9" s="43" t="s">
        <v>138</v>
      </c>
      <c r="L9" s="19" t="str">
        <f t="shared" si="2"/>
        <v>D</v>
      </c>
      <c r="M9" s="18"/>
      <c r="N9" s="18"/>
      <c r="O9" s="22">
        <f t="shared" si="3"/>
        <v>0</v>
      </c>
      <c r="P9" s="22">
        <f t="shared" si="4"/>
        <v>0</v>
      </c>
    </row>
    <row r="10" spans="2:16" ht="16.5" thickBot="1" x14ac:dyDescent="0.3">
      <c r="B10" s="109" t="s">
        <v>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  <c r="M10" s="18"/>
      <c r="N10" s="18"/>
      <c r="O10" s="18"/>
      <c r="P10" s="18"/>
    </row>
    <row r="11" spans="2:16" ht="16.5" thickBot="1" x14ac:dyDescent="0.3">
      <c r="B11" s="23" t="s">
        <v>30</v>
      </c>
      <c r="C11" s="36"/>
      <c r="D11" s="112">
        <f>(SUM(H5:H9)/SUM(G5:G9))</f>
        <v>0</v>
      </c>
      <c r="E11" s="112"/>
      <c r="F11" s="112"/>
      <c r="G11" s="113" t="s">
        <v>31</v>
      </c>
      <c r="H11" s="113"/>
      <c r="I11" s="79"/>
      <c r="J11" s="114"/>
      <c r="K11" s="114"/>
      <c r="L11" s="115"/>
      <c r="M11" s="18"/>
      <c r="N11" s="18"/>
      <c r="O11" s="18"/>
      <c r="P11" s="18"/>
    </row>
    <row r="12" spans="2:16" ht="16.5" thickBot="1" x14ac:dyDescent="0.3">
      <c r="B12" s="116"/>
      <c r="C12" s="117"/>
      <c r="D12" s="117"/>
      <c r="E12" s="117"/>
      <c r="F12" s="117"/>
      <c r="G12" s="117"/>
      <c r="H12" s="117"/>
      <c r="I12" s="117"/>
      <c r="J12" s="117"/>
      <c r="K12" s="117"/>
      <c r="L12" s="118"/>
      <c r="M12" s="18"/>
      <c r="N12" s="18"/>
      <c r="O12" s="18"/>
      <c r="P12" s="18"/>
    </row>
    <row r="13" spans="2:16" ht="32.25" thickBot="1" x14ac:dyDescent="0.3">
      <c r="B13" s="80" t="s">
        <v>109</v>
      </c>
      <c r="C13" s="40" t="s">
        <v>81</v>
      </c>
      <c r="D13" s="19">
        <f t="shared" ref="D13:D16" si="5">(E13+F13)/2</f>
        <v>0</v>
      </c>
      <c r="E13" s="41"/>
      <c r="F13" s="41"/>
      <c r="G13" s="20">
        <v>2</v>
      </c>
      <c r="H13" s="21">
        <f t="shared" ref="H13:H16" si="6">D13*G13</f>
        <v>0</v>
      </c>
      <c r="I13" s="105">
        <v>11.083333333333334</v>
      </c>
      <c r="J13" s="106">
        <v>11.083333333333334</v>
      </c>
      <c r="K13" s="43" t="s">
        <v>138</v>
      </c>
      <c r="L13" s="19" t="str">
        <f t="shared" ref="L13:L16" si="7">IF(D13&lt;10,"D",IF(D13&lt;12,"C",IF(D13&lt;14,"C+",IF(D13&lt;15,"B",IF(D13&lt;16,"B+",IF(D13&lt;18,"A",IF(D13&lt;20,"A+")))))))</f>
        <v>D</v>
      </c>
      <c r="M13" s="18"/>
      <c r="N13" s="18"/>
      <c r="O13" s="22">
        <f t="shared" ref="O13:O16" si="8">E13*G13</f>
        <v>0</v>
      </c>
      <c r="P13" s="22">
        <f t="shared" ref="P13:P16" si="9">F13*G13</f>
        <v>0</v>
      </c>
    </row>
    <row r="14" spans="2:16" ht="32.25" thickBot="1" x14ac:dyDescent="0.3">
      <c r="B14" s="80" t="s">
        <v>72</v>
      </c>
      <c r="C14" s="42" t="s">
        <v>82</v>
      </c>
      <c r="D14" s="19">
        <f t="shared" si="5"/>
        <v>0</v>
      </c>
      <c r="E14" s="41"/>
      <c r="F14" s="41"/>
      <c r="G14" s="20">
        <v>2</v>
      </c>
      <c r="H14" s="21">
        <f t="shared" si="6"/>
        <v>0</v>
      </c>
      <c r="I14" s="105">
        <v>11.833333333333334</v>
      </c>
      <c r="J14" s="106">
        <v>11.833333333333334</v>
      </c>
      <c r="K14" s="43" t="s">
        <v>138</v>
      </c>
      <c r="L14" s="19" t="str">
        <f t="shared" si="7"/>
        <v>D</v>
      </c>
      <c r="M14" s="18"/>
      <c r="N14" s="18"/>
      <c r="O14" s="22">
        <f t="shared" si="8"/>
        <v>0</v>
      </c>
      <c r="P14" s="22">
        <f t="shared" si="9"/>
        <v>0</v>
      </c>
    </row>
    <row r="15" spans="2:16" ht="37.5" customHeight="1" thickBot="1" x14ac:dyDescent="0.3">
      <c r="B15" s="80" t="s">
        <v>73</v>
      </c>
      <c r="C15" s="42" t="s">
        <v>83</v>
      </c>
      <c r="D15" s="19">
        <f t="shared" si="5"/>
        <v>0</v>
      </c>
      <c r="E15" s="41"/>
      <c r="F15" s="41"/>
      <c r="G15" s="20">
        <v>2</v>
      </c>
      <c r="H15" s="21">
        <f t="shared" si="6"/>
        <v>0</v>
      </c>
      <c r="I15" s="105">
        <v>10.666666666666666</v>
      </c>
      <c r="J15" s="106">
        <v>10.666666666666666</v>
      </c>
      <c r="K15" s="43" t="s">
        <v>138</v>
      </c>
      <c r="L15" s="19" t="str">
        <f t="shared" si="7"/>
        <v>D</v>
      </c>
      <c r="M15" s="18"/>
      <c r="N15" s="18"/>
      <c r="O15" s="22">
        <f t="shared" si="8"/>
        <v>0</v>
      </c>
      <c r="P15" s="22">
        <f t="shared" si="9"/>
        <v>0</v>
      </c>
    </row>
    <row r="16" spans="2:16" ht="32.25" thickBot="1" x14ac:dyDescent="0.3">
      <c r="B16" s="80" t="s">
        <v>110</v>
      </c>
      <c r="C16" s="39" t="s">
        <v>75</v>
      </c>
      <c r="D16" s="19">
        <f t="shared" si="5"/>
        <v>0</v>
      </c>
      <c r="E16" s="19"/>
      <c r="F16" s="19"/>
      <c r="G16" s="20">
        <v>1</v>
      </c>
      <c r="H16" s="21">
        <f t="shared" si="6"/>
        <v>0</v>
      </c>
      <c r="I16" s="105">
        <v>11</v>
      </c>
      <c r="J16" s="106">
        <v>8.3333333333333339</v>
      </c>
      <c r="K16" s="43" t="s">
        <v>138</v>
      </c>
      <c r="L16" s="19" t="str">
        <f t="shared" si="7"/>
        <v>D</v>
      </c>
      <c r="M16" s="18"/>
      <c r="N16" s="18"/>
      <c r="O16" s="22">
        <f t="shared" si="8"/>
        <v>0</v>
      </c>
      <c r="P16" s="22">
        <f t="shared" si="9"/>
        <v>0</v>
      </c>
    </row>
    <row r="17" spans="2:16" ht="16.5" thickBot="1" x14ac:dyDescent="0.3">
      <c r="B17" s="109" t="s">
        <v>32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8"/>
      <c r="N17" s="18"/>
      <c r="O17" s="18"/>
      <c r="P17" s="18"/>
    </row>
    <row r="18" spans="2:16" ht="16.5" thickBot="1" x14ac:dyDescent="0.3">
      <c r="B18" s="23" t="s">
        <v>33</v>
      </c>
      <c r="C18" s="36"/>
      <c r="D18" s="112">
        <f>(SUM(H13:H16)/SUM(G13:G16))</f>
        <v>0</v>
      </c>
      <c r="E18" s="112"/>
      <c r="F18" s="112"/>
      <c r="G18" s="113" t="s">
        <v>31</v>
      </c>
      <c r="H18" s="113"/>
      <c r="I18" s="79"/>
      <c r="J18" s="114"/>
      <c r="K18" s="114"/>
      <c r="L18" s="115"/>
      <c r="M18" s="18"/>
      <c r="N18" s="18"/>
      <c r="O18" s="18"/>
      <c r="P18" s="18"/>
    </row>
    <row r="19" spans="2:16" ht="16.5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1"/>
      <c r="M19" s="18"/>
      <c r="N19" s="18"/>
      <c r="O19" s="18"/>
      <c r="P19" s="18"/>
    </row>
    <row r="20" spans="2:16" ht="51.75" thickBot="1" x14ac:dyDescent="0.3">
      <c r="B20" s="80" t="s">
        <v>120</v>
      </c>
      <c r="C20" s="42" t="s">
        <v>84</v>
      </c>
      <c r="D20" s="19">
        <f t="shared" ref="D20:D22" si="10">(E20+F20)/2</f>
        <v>0</v>
      </c>
      <c r="E20" s="41"/>
      <c r="F20" s="41"/>
      <c r="G20" s="20">
        <v>2</v>
      </c>
      <c r="H20" s="21">
        <f t="shared" ref="H20:H22" si="11">D20*G20</f>
        <v>0</v>
      </c>
      <c r="I20" s="105">
        <v>12.083333333333334</v>
      </c>
      <c r="J20" s="106">
        <v>12.083333333333334</v>
      </c>
      <c r="K20" s="43" t="s">
        <v>138</v>
      </c>
      <c r="L20" s="19" t="str">
        <f t="shared" ref="L20:L22" si="12">IF(D20&lt;10,"D",IF(D20&lt;12,"C",IF(D20&lt;14,"C+",IF(D20&lt;15,"B",IF(D20&lt;16,"B+",IF(D20&lt;18,"A",IF(D20&lt;20,"A+")))))))</f>
        <v>D</v>
      </c>
      <c r="M20" s="18"/>
      <c r="N20" s="18"/>
      <c r="O20" s="22">
        <f t="shared" ref="O20:O22" si="13">E20*G20</f>
        <v>0</v>
      </c>
      <c r="P20" s="22">
        <f t="shared" ref="P20:P22" si="14">F20*G20</f>
        <v>0</v>
      </c>
    </row>
    <row r="21" spans="2:16" ht="64.5" thickBot="1" x14ac:dyDescent="0.3">
      <c r="B21" s="80" t="s">
        <v>111</v>
      </c>
      <c r="C21" s="42" t="s">
        <v>85</v>
      </c>
      <c r="D21" s="19">
        <f t="shared" si="10"/>
        <v>0</v>
      </c>
      <c r="E21" s="41"/>
      <c r="F21" s="41"/>
      <c r="G21" s="20">
        <v>4</v>
      </c>
      <c r="H21" s="21">
        <f t="shared" si="11"/>
        <v>0</v>
      </c>
      <c r="I21" s="105">
        <v>8.5833333333333339</v>
      </c>
      <c r="J21" s="106">
        <v>8.5833333333333339</v>
      </c>
      <c r="K21" s="43" t="s">
        <v>138</v>
      </c>
      <c r="L21" s="19" t="str">
        <f t="shared" si="12"/>
        <v>D</v>
      </c>
      <c r="M21" s="18"/>
      <c r="N21" s="18"/>
      <c r="O21" s="22">
        <f t="shared" si="13"/>
        <v>0</v>
      </c>
      <c r="P21" s="22">
        <f t="shared" si="14"/>
        <v>0</v>
      </c>
    </row>
    <row r="22" spans="2:16" ht="64.5" thickBot="1" x14ac:dyDescent="0.3">
      <c r="B22" s="80" t="s">
        <v>112</v>
      </c>
      <c r="C22" s="42" t="s">
        <v>86</v>
      </c>
      <c r="D22" s="19">
        <f t="shared" si="10"/>
        <v>0</v>
      </c>
      <c r="E22" s="41"/>
      <c r="F22" s="41"/>
      <c r="G22" s="20">
        <v>2</v>
      </c>
      <c r="H22" s="21">
        <f t="shared" si="11"/>
        <v>0</v>
      </c>
      <c r="I22" s="105">
        <v>9.6666666666666661</v>
      </c>
      <c r="J22" s="106">
        <v>9.6666666666666661</v>
      </c>
      <c r="K22" s="43" t="s">
        <v>138</v>
      </c>
      <c r="L22" s="19" t="str">
        <f t="shared" si="12"/>
        <v>D</v>
      </c>
      <c r="M22" s="18"/>
      <c r="N22" s="18"/>
      <c r="O22" s="22">
        <f t="shared" si="13"/>
        <v>0</v>
      </c>
      <c r="P22" s="22">
        <f t="shared" si="14"/>
        <v>0</v>
      </c>
    </row>
    <row r="23" spans="2:16" ht="16.5" thickBot="1" x14ac:dyDescent="0.3">
      <c r="B23" s="109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  <c r="M23" s="18"/>
      <c r="N23" s="18"/>
      <c r="O23" s="18"/>
      <c r="P23" s="18"/>
    </row>
    <row r="24" spans="2:16" ht="16.5" thickBot="1" x14ac:dyDescent="0.3">
      <c r="B24" s="23" t="s">
        <v>30</v>
      </c>
      <c r="C24" s="36"/>
      <c r="D24" s="112">
        <f>(SUM(H20:H22)/SUM(G20:G22))</f>
        <v>0</v>
      </c>
      <c r="E24" s="112"/>
      <c r="F24" s="112"/>
      <c r="G24" s="113" t="s">
        <v>31</v>
      </c>
      <c r="H24" s="113"/>
      <c r="I24" s="79"/>
      <c r="J24" s="114"/>
      <c r="K24" s="114"/>
      <c r="L24" s="115"/>
      <c r="M24" s="18"/>
      <c r="N24" s="18"/>
      <c r="O24" s="18"/>
      <c r="P24" s="18"/>
    </row>
    <row r="25" spans="2:16" ht="16.5" thickBot="1" x14ac:dyDescent="0.3">
      <c r="B25" s="116"/>
      <c r="C25" s="117"/>
      <c r="D25" s="117"/>
      <c r="E25" s="117"/>
      <c r="F25" s="117"/>
      <c r="G25" s="117"/>
      <c r="H25" s="117"/>
      <c r="I25" s="127"/>
      <c r="J25" s="127"/>
      <c r="K25" s="127"/>
      <c r="L25" s="118"/>
      <c r="M25" s="18"/>
      <c r="N25" s="18"/>
      <c r="O25" s="18"/>
      <c r="P25" s="18"/>
    </row>
    <row r="26" spans="2:16" ht="51.75" thickBot="1" x14ac:dyDescent="0.3">
      <c r="B26" s="80" t="s">
        <v>113</v>
      </c>
      <c r="C26" s="40" t="s">
        <v>76</v>
      </c>
      <c r="D26" s="19">
        <f t="shared" ref="D26:D29" si="15">(E26+F26)/2</f>
        <v>0</v>
      </c>
      <c r="E26" s="41"/>
      <c r="F26" s="41"/>
      <c r="G26" s="20">
        <v>1</v>
      </c>
      <c r="H26" s="21">
        <f t="shared" ref="H26:H29" si="16">D26*G26</f>
        <v>0</v>
      </c>
      <c r="I26" s="105">
        <v>10.666666666666666</v>
      </c>
      <c r="J26" s="106">
        <v>10.666666666666666</v>
      </c>
      <c r="K26" s="43" t="s">
        <v>138</v>
      </c>
      <c r="L26" s="19" t="str">
        <f t="shared" ref="L26:L28" si="17">IF(D26&lt;10,"D",IF(D26&lt;12,"C",IF(D26&lt;14,"C+",IF(D26&lt;15,"B",IF(D26&lt;16,"B+",IF(D26&lt;18,"A",IF(D26&lt;20,"A+")))))))</f>
        <v>D</v>
      </c>
      <c r="M26" s="18"/>
      <c r="N26" s="18"/>
      <c r="O26" s="22">
        <f t="shared" ref="O26:O29" si="18">E26*G26</f>
        <v>0</v>
      </c>
      <c r="P26" s="22">
        <f t="shared" ref="P26:P29" si="19">F26*G26</f>
        <v>0</v>
      </c>
    </row>
    <row r="27" spans="2:16" ht="32.25" thickBot="1" x14ac:dyDescent="0.3">
      <c r="B27" s="80" t="s">
        <v>74</v>
      </c>
      <c r="C27" s="42" t="s">
        <v>87</v>
      </c>
      <c r="D27" s="19">
        <f t="shared" si="15"/>
        <v>0</v>
      </c>
      <c r="E27" s="41"/>
      <c r="F27" s="41"/>
      <c r="G27" s="20">
        <v>2</v>
      </c>
      <c r="H27" s="21">
        <f>D27*G27</f>
        <v>0</v>
      </c>
      <c r="I27" s="105">
        <v>14.416666666666666</v>
      </c>
      <c r="J27" s="106">
        <v>14.416666666666666</v>
      </c>
      <c r="K27" s="43" t="s">
        <v>138</v>
      </c>
      <c r="L27" s="19" t="str">
        <f t="shared" si="17"/>
        <v>D</v>
      </c>
      <c r="M27" s="18"/>
      <c r="N27" s="18"/>
      <c r="O27" s="22">
        <f t="shared" si="18"/>
        <v>0</v>
      </c>
      <c r="P27" s="22">
        <f t="shared" si="19"/>
        <v>0</v>
      </c>
    </row>
    <row r="28" spans="2:16" ht="39.75" customHeight="1" thickBot="1" x14ac:dyDescent="0.3">
      <c r="B28" s="80" t="s">
        <v>114</v>
      </c>
      <c r="C28" s="42" t="s">
        <v>88</v>
      </c>
      <c r="D28" s="19">
        <f t="shared" si="15"/>
        <v>0</v>
      </c>
      <c r="E28" s="41"/>
      <c r="F28" s="41"/>
      <c r="G28" s="20">
        <v>1</v>
      </c>
      <c r="H28" s="21">
        <f t="shared" si="16"/>
        <v>0</v>
      </c>
      <c r="I28" s="105">
        <v>12.75</v>
      </c>
      <c r="J28" s="106">
        <v>12.75</v>
      </c>
      <c r="K28" s="43" t="s">
        <v>138</v>
      </c>
      <c r="L28" s="19" t="str">
        <f t="shared" si="17"/>
        <v>D</v>
      </c>
      <c r="M28" s="18"/>
      <c r="N28" s="18"/>
      <c r="O28" s="22">
        <f t="shared" si="18"/>
        <v>0</v>
      </c>
      <c r="P28" s="22">
        <f t="shared" si="19"/>
        <v>0</v>
      </c>
    </row>
    <row r="29" spans="2:16" ht="39" thickBot="1" x14ac:dyDescent="0.3">
      <c r="B29" s="80" t="s">
        <v>115</v>
      </c>
      <c r="C29" s="42" t="s">
        <v>89</v>
      </c>
      <c r="D29" s="19">
        <f t="shared" si="15"/>
        <v>16.5</v>
      </c>
      <c r="E29" s="19">
        <v>16</v>
      </c>
      <c r="F29" s="19">
        <v>17</v>
      </c>
      <c r="G29" s="20">
        <v>1</v>
      </c>
      <c r="H29" s="21">
        <f t="shared" si="16"/>
        <v>16.5</v>
      </c>
      <c r="I29" s="105">
        <v>16.329999999999998</v>
      </c>
      <c r="J29" s="106"/>
      <c r="K29" s="43" t="s">
        <v>138</v>
      </c>
      <c r="L29" s="19" t="str">
        <f>IF(D29&lt;10,"D",IF(D29&lt;12,"C",IF(D29&lt;14,"C+",IF(D29&lt;15,"B",IF(D29&lt;16,"B+",IF(D29&lt;18,"A",IF(D29&lt;20,"A+")))))))</f>
        <v>A</v>
      </c>
      <c r="M29" s="18"/>
      <c r="N29" s="18"/>
      <c r="O29" s="22">
        <f t="shared" si="18"/>
        <v>16</v>
      </c>
      <c r="P29" s="22">
        <f t="shared" si="19"/>
        <v>17</v>
      </c>
    </row>
    <row r="30" spans="2:16" ht="16.5" thickBot="1" x14ac:dyDescent="0.3"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18"/>
      <c r="N30" s="18"/>
      <c r="O30" s="18">
        <f>SUM(O5:O29)</f>
        <v>16</v>
      </c>
      <c r="P30" s="18">
        <f>SUM(P5:P29)</f>
        <v>17</v>
      </c>
    </row>
    <row r="31" spans="2:16" ht="16.5" thickBot="1" x14ac:dyDescent="0.3">
      <c r="B31" s="27" t="s">
        <v>33</v>
      </c>
      <c r="C31" s="37"/>
      <c r="D31" s="112">
        <f>(SUM(H26:H29)/SUM(G26:G29))</f>
        <v>3.3</v>
      </c>
      <c r="E31" s="112"/>
      <c r="F31" s="112"/>
      <c r="G31" s="128" t="s">
        <v>31</v>
      </c>
      <c r="H31" s="128"/>
      <c r="I31" s="78"/>
      <c r="J31" s="129"/>
      <c r="K31" s="129"/>
      <c r="L31" s="130"/>
      <c r="M31" s="18"/>
      <c r="N31" s="18"/>
      <c r="O31" s="18">
        <v>29</v>
      </c>
      <c r="P31" s="18">
        <v>29</v>
      </c>
    </row>
    <row r="32" spans="2:16" ht="16.5" thickBot="1" x14ac:dyDescent="0.3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3"/>
      <c r="M32" s="18"/>
      <c r="N32" s="18"/>
      <c r="O32" s="18">
        <f>O30/O31</f>
        <v>0.55172413793103448</v>
      </c>
      <c r="P32" s="18">
        <f>P30/P31</f>
        <v>0.58620689655172409</v>
      </c>
    </row>
    <row r="33" spans="2:16" ht="48" thickBot="1" x14ac:dyDescent="0.3">
      <c r="B33" s="140" t="s">
        <v>36</v>
      </c>
      <c r="C33" s="130"/>
      <c r="D33" s="28" t="s">
        <v>37</v>
      </c>
      <c r="E33" s="35">
        <v>11.57</v>
      </c>
      <c r="F33" s="29" t="s">
        <v>38</v>
      </c>
      <c r="G33" s="129">
        <v>13.24</v>
      </c>
      <c r="H33" s="129"/>
      <c r="I33" s="29" t="s">
        <v>39</v>
      </c>
      <c r="J33" s="134">
        <v>9.66</v>
      </c>
      <c r="K33" s="129"/>
      <c r="L33" s="30"/>
      <c r="M33" s="31"/>
      <c r="N33" s="31"/>
      <c r="O33" s="31"/>
      <c r="P33" s="31"/>
    </row>
    <row r="34" spans="2:16" ht="15.75" x14ac:dyDescent="0.25">
      <c r="B34" s="65"/>
      <c r="C34" s="66"/>
      <c r="D34" s="67" t="s">
        <v>133</v>
      </c>
      <c r="E34" s="67" t="s">
        <v>134</v>
      </c>
      <c r="F34" s="66"/>
      <c r="G34" s="66"/>
      <c r="H34" s="68"/>
      <c r="I34" s="135"/>
      <c r="J34" s="136"/>
      <c r="K34" s="136"/>
      <c r="L34" s="137"/>
      <c r="M34" s="18"/>
      <c r="N34" s="18"/>
      <c r="O34" s="18"/>
      <c r="P34" s="18"/>
    </row>
    <row r="35" spans="2:16" ht="15.75" x14ac:dyDescent="0.25">
      <c r="B35" s="69" t="s">
        <v>40</v>
      </c>
      <c r="C35" s="70"/>
      <c r="D35" s="71">
        <f>O32</f>
        <v>0.55172413793103448</v>
      </c>
      <c r="E35" s="71">
        <f>P32</f>
        <v>0.58620689655172409</v>
      </c>
      <c r="F35" s="72" t="s">
        <v>136</v>
      </c>
      <c r="G35" s="73">
        <f>(H5+H6+H7+H8+H9+H13+H14+H15+H16+H20+H21+H22+H26+H27+H28+H29)/29</f>
        <v>0.56896551724137934</v>
      </c>
      <c r="H35" s="70" t="s">
        <v>41</v>
      </c>
      <c r="I35" s="138" t="s">
        <v>42</v>
      </c>
      <c r="J35" s="139"/>
      <c r="K35" s="32" t="s">
        <v>137</v>
      </c>
      <c r="L35" s="33" t="s">
        <v>135</v>
      </c>
      <c r="M35" s="18"/>
      <c r="N35" s="18"/>
      <c r="O35" s="18"/>
      <c r="P35" s="18"/>
    </row>
    <row r="36" spans="2:16" ht="16.5" thickBot="1" x14ac:dyDescent="0.3">
      <c r="B36" s="122"/>
      <c r="C36" s="123"/>
      <c r="D36" s="123"/>
      <c r="E36" s="123"/>
      <c r="F36" s="123"/>
      <c r="G36" s="123"/>
      <c r="H36" s="123"/>
      <c r="I36" s="124"/>
      <c r="J36" s="125"/>
      <c r="K36" s="125"/>
      <c r="L36" s="126"/>
      <c r="M36" s="18"/>
      <c r="N36" s="18"/>
      <c r="O36" s="18"/>
      <c r="P36" s="18"/>
    </row>
    <row r="37" spans="2:16" ht="16.5" thickBot="1" x14ac:dyDescent="0.3">
      <c r="B37" s="141" t="s">
        <v>43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3"/>
      <c r="M37" s="18"/>
      <c r="N37" s="18"/>
      <c r="O37" s="18"/>
      <c r="P37" s="18"/>
    </row>
    <row r="38" spans="2:16" ht="16.5" thickBot="1" x14ac:dyDescent="0.3">
      <c r="B38" s="140" t="s">
        <v>44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30"/>
      <c r="M38" s="18"/>
      <c r="N38" s="18"/>
      <c r="O38" s="18"/>
      <c r="P38" s="18"/>
    </row>
    <row r="39" spans="2:16" ht="16.5" thickBot="1" x14ac:dyDescent="0.3">
      <c r="B39" s="24" t="s">
        <v>45</v>
      </c>
      <c r="C39" s="28"/>
      <c r="D39" s="131" t="s">
        <v>46</v>
      </c>
      <c r="E39" s="132"/>
      <c r="F39" s="133"/>
      <c r="G39" s="144" t="s">
        <v>47</v>
      </c>
      <c r="H39" s="145"/>
      <c r="I39" s="145"/>
      <c r="J39" s="145"/>
      <c r="K39" s="145"/>
      <c r="L39" s="146"/>
      <c r="M39" s="18"/>
      <c r="N39" s="18"/>
      <c r="O39" s="18"/>
      <c r="P39" s="18"/>
    </row>
    <row r="40" spans="2:16" ht="16.5" thickBot="1" x14ac:dyDescent="0.3">
      <c r="B40" s="63" t="s">
        <v>48</v>
      </c>
      <c r="C40" s="161"/>
      <c r="D40" s="150" t="str">
        <f>IF(G35&lt;10,"CNA",IF(G35&lt;12,"CMA",IF(G35&lt;14,"CA",IF(G35&lt;16,"CBA",IF(G35&lt;20,"CTBA")))))</f>
        <v>CNA</v>
      </c>
      <c r="E40" s="151" t="e">
        <f>IF(#REF!&lt;10,"D",IF(#REF!&lt;12,"C",IF(#REF!&lt;14,"C+",IF(#REF!&lt;15,"B",IF(#REF!&lt;16,"B+",IF(#REF!&lt;18,"A",IF(#REF!&lt;20,"A+")))))))</f>
        <v>#REF!</v>
      </c>
      <c r="F40" s="152" t="e">
        <f>IF(#REF!&lt;10,"D",IF(#REF!&lt;12,"C",IF(#REF!&lt;14,"C+",IF(#REF!&lt;15,"B",IF(#REF!&lt;16,"B+",IF(#REF!&lt;18,"A",IF(#REF!&lt;20,"A+")))))))</f>
        <v>#REF!</v>
      </c>
      <c r="G40" s="147"/>
      <c r="H40" s="148"/>
      <c r="I40" s="148"/>
      <c r="J40" s="148"/>
      <c r="K40" s="148"/>
      <c r="L40" s="149"/>
      <c r="M40" s="18"/>
      <c r="N40" s="18"/>
      <c r="O40" s="18"/>
      <c r="P40" s="18"/>
    </row>
    <row r="41" spans="2:16" ht="16.5" thickBot="1" x14ac:dyDescent="0.3">
      <c r="B41" s="63" t="s">
        <v>49</v>
      </c>
      <c r="C41" s="162"/>
      <c r="D41" s="153" t="e">
        <f>IF(#REF!&lt;10,"D",IF(#REF!&lt;12,"C",IF(#REF!&lt;14,"C+",IF(#REF!&lt;15,"B",IF(#REF!&lt;16,"B+",IF(#REF!&lt;18,"A",IF(#REF!&lt;20,"A+")))))))</f>
        <v>#REF!</v>
      </c>
      <c r="E41" s="154" t="e">
        <f>IF(#REF!&lt;10,"D",IF(#REF!&lt;12,"C",IF(#REF!&lt;14,"C+",IF(#REF!&lt;15,"B",IF(#REF!&lt;16,"B+",IF(#REF!&lt;18,"A",IF(#REF!&lt;20,"A+")))))))</f>
        <v>#REF!</v>
      </c>
      <c r="F41" s="155" t="e">
        <f>IF(#REF!&lt;10,"D",IF(#REF!&lt;12,"C",IF(#REF!&lt;14,"C+",IF(#REF!&lt;15,"B",IF(#REF!&lt;16,"B+",IF(#REF!&lt;18,"A",IF(#REF!&lt;20,"A+")))))))</f>
        <v>#REF!</v>
      </c>
      <c r="G41" s="140" t="s">
        <v>50</v>
      </c>
      <c r="H41" s="129"/>
      <c r="I41" s="129"/>
      <c r="J41" s="130"/>
      <c r="K41" s="144" t="s">
        <v>51</v>
      </c>
      <c r="L41" s="146"/>
      <c r="M41" s="18"/>
      <c r="N41" s="18"/>
      <c r="O41" s="18"/>
      <c r="P41" s="18"/>
    </row>
    <row r="42" spans="2:16" ht="16.5" thickBot="1" x14ac:dyDescent="0.3">
      <c r="B42" s="64" t="s">
        <v>52</v>
      </c>
      <c r="C42" s="163"/>
      <c r="D42" s="156" t="e">
        <f>IF(#REF!&lt;10,"D",IF(#REF!&lt;12,"C",IF(#REF!&lt;14,"C+",IF(#REF!&lt;15,"B",IF(#REF!&lt;16,"B+",IF(#REF!&lt;18,"A",IF(#REF!&lt;20,"A+")))))))</f>
        <v>#REF!</v>
      </c>
      <c r="E42" s="157" t="e">
        <f>IF(#REF!&lt;10,"D",IF(#REF!&lt;12,"C",IF(#REF!&lt;14,"C+",IF(#REF!&lt;15,"B",IF(#REF!&lt;16,"B+",IF(#REF!&lt;18,"A",IF(#REF!&lt;20,"A+")))))))</f>
        <v>#REF!</v>
      </c>
      <c r="F42" s="158" t="e">
        <f>IF(#REF!&lt;10,"D",IF(#REF!&lt;12,"C",IF(#REF!&lt;14,"C+",IF(#REF!&lt;15,"B",IF(#REF!&lt;16,"B+",IF(#REF!&lt;18,"A",IF(#REF!&lt;20,"A+")))))))</f>
        <v>#REF!</v>
      </c>
      <c r="G42" s="140" t="s">
        <v>53</v>
      </c>
      <c r="H42" s="129"/>
      <c r="I42" s="129"/>
      <c r="J42" s="130"/>
      <c r="K42" s="159" t="s">
        <v>54</v>
      </c>
      <c r="L42" s="160"/>
      <c r="M42" s="18"/>
      <c r="N42" s="18"/>
      <c r="O42" s="18"/>
      <c r="P42" s="18"/>
    </row>
    <row r="43" spans="2:16" ht="16.5" thickBot="1" x14ac:dyDescent="0.3">
      <c r="B43" s="64" t="s">
        <v>55</v>
      </c>
      <c r="C43" s="146"/>
      <c r="D43" s="144" t="s">
        <v>56</v>
      </c>
      <c r="E43" s="145"/>
      <c r="F43" s="146"/>
      <c r="G43" s="140" t="s">
        <v>57</v>
      </c>
      <c r="H43" s="129"/>
      <c r="I43" s="129"/>
      <c r="J43" s="130"/>
      <c r="K43" s="159"/>
      <c r="L43" s="160"/>
      <c r="M43" s="18"/>
      <c r="N43" s="18"/>
      <c r="O43" s="18"/>
      <c r="P43" s="18"/>
    </row>
    <row r="44" spans="2:16" ht="16.5" thickBot="1" x14ac:dyDescent="0.3">
      <c r="B44" s="34" t="s">
        <v>58</v>
      </c>
      <c r="C44" s="103"/>
      <c r="D44" s="147"/>
      <c r="E44" s="148"/>
      <c r="F44" s="149"/>
      <c r="G44" s="140" t="s">
        <v>59</v>
      </c>
      <c r="H44" s="129"/>
      <c r="I44" s="129"/>
      <c r="J44" s="130"/>
      <c r="K44" s="168" t="s">
        <v>60</v>
      </c>
      <c r="L44" s="169"/>
      <c r="M44" s="18"/>
      <c r="N44" s="18"/>
      <c r="O44" s="18"/>
      <c r="P44" s="18"/>
    </row>
    <row r="45" spans="2:16" ht="31.5" x14ac:dyDescent="0.25">
      <c r="B45" s="24" t="s">
        <v>61</v>
      </c>
      <c r="C45" s="104"/>
      <c r="D45" s="135"/>
      <c r="E45" s="136"/>
      <c r="F45" s="137"/>
      <c r="G45" s="135"/>
      <c r="H45" s="136"/>
      <c r="I45" s="136"/>
      <c r="J45" s="137"/>
      <c r="K45" s="168" t="s">
        <v>62</v>
      </c>
      <c r="L45" s="169"/>
      <c r="M45" s="18"/>
      <c r="N45" s="18"/>
      <c r="O45" s="18"/>
      <c r="P45" s="18"/>
    </row>
    <row r="46" spans="2:16" ht="15.75" x14ac:dyDescent="0.25">
      <c r="B46" s="102"/>
      <c r="C46" s="102"/>
      <c r="D46" s="170"/>
      <c r="E46" s="171"/>
      <c r="F46" s="172"/>
      <c r="G46" s="170"/>
      <c r="H46" s="171"/>
      <c r="I46" s="171"/>
      <c r="J46" s="172"/>
      <c r="K46" s="164"/>
      <c r="L46" s="165"/>
      <c r="M46" s="18"/>
      <c r="N46" s="18"/>
      <c r="O46" s="18"/>
      <c r="P46" s="18"/>
    </row>
    <row r="47" spans="2:16" ht="15.75" x14ac:dyDescent="0.25">
      <c r="B47" s="102"/>
      <c r="C47" s="102"/>
      <c r="D47" s="170"/>
      <c r="E47" s="171"/>
      <c r="F47" s="172"/>
      <c r="G47" s="170"/>
      <c r="H47" s="171"/>
      <c r="I47" s="171"/>
      <c r="J47" s="172"/>
      <c r="K47" s="164"/>
      <c r="L47" s="165"/>
      <c r="M47" s="18"/>
      <c r="N47" s="18"/>
      <c r="O47" s="18"/>
      <c r="P47" s="18"/>
    </row>
    <row r="48" spans="2:16" ht="16.5" thickBot="1" x14ac:dyDescent="0.3">
      <c r="B48" s="103"/>
      <c r="C48" s="103"/>
      <c r="D48" s="173"/>
      <c r="E48" s="174"/>
      <c r="F48" s="175"/>
      <c r="G48" s="173"/>
      <c r="H48" s="174"/>
      <c r="I48" s="174"/>
      <c r="J48" s="175"/>
      <c r="K48" s="166"/>
      <c r="L48" s="167"/>
      <c r="M48" s="18"/>
      <c r="N48" s="18"/>
      <c r="O48" s="18"/>
      <c r="P48" s="18"/>
    </row>
  </sheetData>
  <mergeCells count="65">
    <mergeCell ref="D40:F42"/>
    <mergeCell ref="G41:J41"/>
    <mergeCell ref="K41:L41"/>
    <mergeCell ref="G42:J42"/>
    <mergeCell ref="K42:L4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D31:F31"/>
    <mergeCell ref="G31:H31"/>
    <mergeCell ref="J31:L31"/>
    <mergeCell ref="B32:L32"/>
    <mergeCell ref="B25:L25"/>
    <mergeCell ref="I26:J26"/>
    <mergeCell ref="I27:J27"/>
    <mergeCell ref="I28:J28"/>
    <mergeCell ref="I29:J29"/>
    <mergeCell ref="I34:L34"/>
    <mergeCell ref="I35:J35"/>
    <mergeCell ref="B36:H36"/>
    <mergeCell ref="I36:L36"/>
    <mergeCell ref="B37:L37"/>
    <mergeCell ref="B38:L38"/>
    <mergeCell ref="D45:F48"/>
    <mergeCell ref="G45:J48"/>
    <mergeCell ref="K45:L45"/>
    <mergeCell ref="C45:C48"/>
    <mergeCell ref="B46:B48"/>
    <mergeCell ref="D43:F44"/>
    <mergeCell ref="G43:J43"/>
    <mergeCell ref="K43:L43"/>
    <mergeCell ref="G44:J44"/>
    <mergeCell ref="C40:C42"/>
    <mergeCell ref="C43:C44"/>
    <mergeCell ref="K46:L48"/>
    <mergeCell ref="K44:L44"/>
    <mergeCell ref="D39:F39"/>
    <mergeCell ref="G39:L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1" t="s">
        <v>24</v>
      </c>
      <c r="C4" s="38" t="s">
        <v>70</v>
      </c>
      <c r="D4" s="82" t="s">
        <v>132</v>
      </c>
      <c r="E4" s="82" t="s">
        <v>133</v>
      </c>
      <c r="F4" s="82" t="s">
        <v>134</v>
      </c>
      <c r="G4" s="82" t="s">
        <v>25</v>
      </c>
      <c r="H4" s="81" t="s">
        <v>26</v>
      </c>
      <c r="I4" s="107" t="s">
        <v>27</v>
      </c>
      <c r="J4" s="108"/>
      <c r="K4" s="82" t="s">
        <v>21</v>
      </c>
      <c r="L4" s="82" t="s">
        <v>28</v>
      </c>
      <c r="M4" s="18"/>
      <c r="N4" s="18"/>
      <c r="O4" s="18"/>
      <c r="P4" s="18"/>
    </row>
    <row r="5" spans="2:16" ht="43.5" customHeight="1" thickBot="1" x14ac:dyDescent="0.3">
      <c r="B5" s="80" t="s">
        <v>71</v>
      </c>
      <c r="C5" s="40" t="s">
        <v>77</v>
      </c>
      <c r="D5" s="19">
        <f>(E5+F5)/2</f>
        <v>0</v>
      </c>
      <c r="E5" s="41"/>
      <c r="F5" s="41"/>
      <c r="G5" s="20">
        <v>3</v>
      </c>
      <c r="H5" s="21">
        <f>D5*G5</f>
        <v>0</v>
      </c>
      <c r="I5" s="105">
        <v>12.166666666666666</v>
      </c>
      <c r="J5" s="106">
        <v>12.166666666666666</v>
      </c>
      <c r="K5" s="43" t="s">
        <v>138</v>
      </c>
      <c r="L5" s="19" t="str">
        <f>IF(D5&lt;10,"D",IF(D5&lt;12,"C",IF(D5&lt;14,"C+",IF(D5&lt;15,"B",IF(D5&lt;16,"B+",IF(D5&lt;18,"A",IF(D5&lt;20,"A+")))))))</f>
        <v>D</v>
      </c>
      <c r="M5" s="18"/>
      <c r="N5" s="18"/>
      <c r="O5" s="22">
        <f>E5*G5</f>
        <v>0</v>
      </c>
      <c r="P5" s="22">
        <f>F5*G5</f>
        <v>0</v>
      </c>
    </row>
    <row r="6" spans="2:16" ht="32.25" thickBot="1" x14ac:dyDescent="0.3">
      <c r="B6" s="80" t="s">
        <v>116</v>
      </c>
      <c r="C6" s="40" t="s">
        <v>78</v>
      </c>
      <c r="D6" s="19">
        <f t="shared" ref="D6:D9" si="0">(E6+F6)/2</f>
        <v>0</v>
      </c>
      <c r="E6" s="41"/>
      <c r="F6" s="41"/>
      <c r="G6" s="20">
        <v>1</v>
      </c>
      <c r="H6" s="21">
        <f t="shared" ref="H6:H9" si="1">D6*G6</f>
        <v>0</v>
      </c>
      <c r="I6" s="105">
        <v>14.166666666666666</v>
      </c>
      <c r="J6" s="106">
        <v>14.166666666666666</v>
      </c>
      <c r="K6" s="43" t="s">
        <v>138</v>
      </c>
      <c r="L6" s="19" t="str">
        <f t="shared" ref="L6:L9" si="2">IF(D6&lt;10,"D",IF(D6&lt;12,"C",IF(D6&lt;14,"C+",IF(D6&lt;15,"B",IF(D6&lt;16,"B+",IF(D6&lt;18,"A",IF(D6&lt;20,"A+")))))))</f>
        <v>D</v>
      </c>
      <c r="M6" s="18"/>
      <c r="N6" s="18"/>
      <c r="O6" s="22">
        <f t="shared" ref="O6:O9" si="3">E6*G6</f>
        <v>0</v>
      </c>
      <c r="P6" s="22">
        <f t="shared" ref="P6:P9" si="4">F6*G6</f>
        <v>0</v>
      </c>
    </row>
    <row r="7" spans="2:16" ht="32.25" thickBot="1" x14ac:dyDescent="0.3">
      <c r="B7" s="80" t="s">
        <v>117</v>
      </c>
      <c r="C7" s="40" t="s">
        <v>79</v>
      </c>
      <c r="D7" s="19">
        <f t="shared" si="0"/>
        <v>0</v>
      </c>
      <c r="E7" s="41"/>
      <c r="F7" s="41"/>
      <c r="G7" s="20">
        <v>2</v>
      </c>
      <c r="H7" s="21">
        <f t="shared" si="1"/>
        <v>0</v>
      </c>
      <c r="I7" s="105">
        <v>10.833333333333334</v>
      </c>
      <c r="J7" s="106">
        <v>10.833333333333334</v>
      </c>
      <c r="K7" s="43" t="s">
        <v>138</v>
      </c>
      <c r="L7" s="19" t="str">
        <f t="shared" si="2"/>
        <v>D</v>
      </c>
      <c r="M7" s="18"/>
      <c r="N7" s="18"/>
      <c r="O7" s="22">
        <f t="shared" si="3"/>
        <v>0</v>
      </c>
      <c r="P7" s="22">
        <f t="shared" si="4"/>
        <v>0</v>
      </c>
    </row>
    <row r="8" spans="2:16" ht="39" thickBot="1" x14ac:dyDescent="0.3">
      <c r="B8" s="80" t="s">
        <v>118</v>
      </c>
      <c r="C8" s="40" t="s">
        <v>80</v>
      </c>
      <c r="D8" s="19">
        <f t="shared" si="0"/>
        <v>0</v>
      </c>
      <c r="E8" s="41"/>
      <c r="F8" s="41"/>
      <c r="G8" s="20">
        <v>2</v>
      </c>
      <c r="H8" s="21">
        <f t="shared" si="1"/>
        <v>0</v>
      </c>
      <c r="I8" s="105">
        <v>11.5</v>
      </c>
      <c r="J8" s="106">
        <v>11.5</v>
      </c>
      <c r="K8" s="43" t="s">
        <v>138</v>
      </c>
      <c r="L8" s="19" t="str">
        <f t="shared" si="2"/>
        <v>D</v>
      </c>
      <c r="M8" s="18"/>
      <c r="N8" s="18"/>
      <c r="O8" s="22">
        <f t="shared" si="3"/>
        <v>0</v>
      </c>
      <c r="P8" s="22">
        <f t="shared" si="4"/>
        <v>0</v>
      </c>
    </row>
    <row r="9" spans="2:16" ht="39" thickBot="1" x14ac:dyDescent="0.3">
      <c r="B9" s="80" t="s">
        <v>119</v>
      </c>
      <c r="C9" s="40" t="s">
        <v>80</v>
      </c>
      <c r="D9" s="19">
        <f t="shared" si="0"/>
        <v>0</v>
      </c>
      <c r="E9" s="41"/>
      <c r="F9" s="41"/>
      <c r="G9" s="20">
        <v>1</v>
      </c>
      <c r="H9" s="21">
        <f t="shared" si="1"/>
        <v>0</v>
      </c>
      <c r="I9" s="105">
        <v>15.666666666666666</v>
      </c>
      <c r="J9" s="106">
        <v>15.666666666666666</v>
      </c>
      <c r="K9" s="43" t="s">
        <v>138</v>
      </c>
      <c r="L9" s="19" t="str">
        <f t="shared" si="2"/>
        <v>D</v>
      </c>
      <c r="M9" s="18"/>
      <c r="N9" s="18"/>
      <c r="O9" s="22">
        <f t="shared" si="3"/>
        <v>0</v>
      </c>
      <c r="P9" s="22">
        <f t="shared" si="4"/>
        <v>0</v>
      </c>
    </row>
    <row r="10" spans="2:16" ht="16.5" thickBot="1" x14ac:dyDescent="0.3">
      <c r="B10" s="109" t="s">
        <v>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  <c r="M10" s="18"/>
      <c r="N10" s="18"/>
      <c r="O10" s="18"/>
      <c r="P10" s="18"/>
    </row>
    <row r="11" spans="2:16" ht="16.5" thickBot="1" x14ac:dyDescent="0.3">
      <c r="B11" s="23" t="s">
        <v>30</v>
      </c>
      <c r="C11" s="36"/>
      <c r="D11" s="112">
        <f>(SUM(H5:H9)/SUM(G5:G9))</f>
        <v>0</v>
      </c>
      <c r="E11" s="112"/>
      <c r="F11" s="112"/>
      <c r="G11" s="113" t="s">
        <v>31</v>
      </c>
      <c r="H11" s="113"/>
      <c r="I11" s="79"/>
      <c r="J11" s="114"/>
      <c r="K11" s="114"/>
      <c r="L11" s="115"/>
      <c r="M11" s="18"/>
      <c r="N11" s="18"/>
      <c r="O11" s="18"/>
      <c r="P11" s="18"/>
    </row>
    <row r="12" spans="2:16" ht="16.5" thickBot="1" x14ac:dyDescent="0.3">
      <c r="B12" s="116"/>
      <c r="C12" s="117"/>
      <c r="D12" s="117"/>
      <c r="E12" s="117"/>
      <c r="F12" s="117"/>
      <c r="G12" s="117"/>
      <c r="H12" s="117"/>
      <c r="I12" s="117"/>
      <c r="J12" s="117"/>
      <c r="K12" s="117"/>
      <c r="L12" s="118"/>
      <c r="M12" s="18"/>
      <c r="N12" s="18"/>
      <c r="O12" s="18"/>
      <c r="P12" s="18"/>
    </row>
    <row r="13" spans="2:16" ht="32.25" thickBot="1" x14ac:dyDescent="0.3">
      <c r="B13" s="80" t="s">
        <v>109</v>
      </c>
      <c r="C13" s="40" t="s">
        <v>81</v>
      </c>
      <c r="D13" s="19">
        <f t="shared" ref="D13:D16" si="5">(E13+F13)/2</f>
        <v>0</v>
      </c>
      <c r="E13" s="41"/>
      <c r="F13" s="41"/>
      <c r="G13" s="20">
        <v>2</v>
      </c>
      <c r="H13" s="21">
        <f t="shared" ref="H13:H16" si="6">D13*G13</f>
        <v>0</v>
      </c>
      <c r="I13" s="105">
        <v>11.083333333333334</v>
      </c>
      <c r="J13" s="106">
        <v>11.083333333333334</v>
      </c>
      <c r="K13" s="43" t="s">
        <v>138</v>
      </c>
      <c r="L13" s="19" t="str">
        <f t="shared" ref="L13:L16" si="7">IF(D13&lt;10,"D",IF(D13&lt;12,"C",IF(D13&lt;14,"C+",IF(D13&lt;15,"B",IF(D13&lt;16,"B+",IF(D13&lt;18,"A",IF(D13&lt;20,"A+")))))))</f>
        <v>D</v>
      </c>
      <c r="M13" s="18"/>
      <c r="N13" s="18"/>
      <c r="O13" s="22">
        <f t="shared" ref="O13:O16" si="8">E13*G13</f>
        <v>0</v>
      </c>
      <c r="P13" s="22">
        <f t="shared" ref="P13:P16" si="9">F13*G13</f>
        <v>0</v>
      </c>
    </row>
    <row r="14" spans="2:16" ht="32.25" thickBot="1" x14ac:dyDescent="0.3">
      <c r="B14" s="80" t="s">
        <v>72</v>
      </c>
      <c r="C14" s="42" t="s">
        <v>82</v>
      </c>
      <c r="D14" s="19">
        <f t="shared" si="5"/>
        <v>0</v>
      </c>
      <c r="E14" s="41"/>
      <c r="F14" s="41"/>
      <c r="G14" s="20">
        <v>2</v>
      </c>
      <c r="H14" s="21">
        <f t="shared" si="6"/>
        <v>0</v>
      </c>
      <c r="I14" s="105">
        <v>11.833333333333334</v>
      </c>
      <c r="J14" s="106">
        <v>11.833333333333334</v>
      </c>
      <c r="K14" s="43" t="s">
        <v>138</v>
      </c>
      <c r="L14" s="19" t="str">
        <f t="shared" si="7"/>
        <v>D</v>
      </c>
      <c r="M14" s="18"/>
      <c r="N14" s="18"/>
      <c r="O14" s="22">
        <f t="shared" si="8"/>
        <v>0</v>
      </c>
      <c r="P14" s="22">
        <f t="shared" si="9"/>
        <v>0</v>
      </c>
    </row>
    <row r="15" spans="2:16" ht="37.5" customHeight="1" thickBot="1" x14ac:dyDescent="0.3">
      <c r="B15" s="80" t="s">
        <v>73</v>
      </c>
      <c r="C15" s="42" t="s">
        <v>83</v>
      </c>
      <c r="D15" s="19">
        <f t="shared" si="5"/>
        <v>0</v>
      </c>
      <c r="E15" s="41"/>
      <c r="F15" s="41"/>
      <c r="G15" s="20">
        <v>2</v>
      </c>
      <c r="H15" s="21">
        <f t="shared" si="6"/>
        <v>0</v>
      </c>
      <c r="I15" s="105">
        <v>10.666666666666666</v>
      </c>
      <c r="J15" s="106">
        <v>10.666666666666666</v>
      </c>
      <c r="K15" s="43" t="s">
        <v>138</v>
      </c>
      <c r="L15" s="19" t="str">
        <f t="shared" si="7"/>
        <v>D</v>
      </c>
      <c r="M15" s="18"/>
      <c r="N15" s="18"/>
      <c r="O15" s="22">
        <f t="shared" si="8"/>
        <v>0</v>
      </c>
      <c r="P15" s="22">
        <f t="shared" si="9"/>
        <v>0</v>
      </c>
    </row>
    <row r="16" spans="2:16" ht="32.25" thickBot="1" x14ac:dyDescent="0.3">
      <c r="B16" s="80" t="s">
        <v>110</v>
      </c>
      <c r="C16" s="39" t="s">
        <v>75</v>
      </c>
      <c r="D16" s="19">
        <f t="shared" si="5"/>
        <v>0</v>
      </c>
      <c r="E16" s="19"/>
      <c r="F16" s="19"/>
      <c r="G16" s="20">
        <v>1</v>
      </c>
      <c r="H16" s="21">
        <f t="shared" si="6"/>
        <v>0</v>
      </c>
      <c r="I16" s="105">
        <v>11</v>
      </c>
      <c r="J16" s="106">
        <v>8.3333333333333339</v>
      </c>
      <c r="K16" s="43" t="s">
        <v>138</v>
      </c>
      <c r="L16" s="19" t="str">
        <f t="shared" si="7"/>
        <v>D</v>
      </c>
      <c r="M16" s="18"/>
      <c r="N16" s="18"/>
      <c r="O16" s="22">
        <f t="shared" si="8"/>
        <v>0</v>
      </c>
      <c r="P16" s="22">
        <f t="shared" si="9"/>
        <v>0</v>
      </c>
    </row>
    <row r="17" spans="2:16" ht="16.5" thickBot="1" x14ac:dyDescent="0.3">
      <c r="B17" s="109" t="s">
        <v>32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8"/>
      <c r="N17" s="18"/>
      <c r="O17" s="18"/>
      <c r="P17" s="18"/>
    </row>
    <row r="18" spans="2:16" ht="16.5" thickBot="1" x14ac:dyDescent="0.3">
      <c r="B18" s="23" t="s">
        <v>33</v>
      </c>
      <c r="C18" s="36"/>
      <c r="D18" s="112">
        <f>(SUM(H13:H16)/SUM(G13:G16))</f>
        <v>0</v>
      </c>
      <c r="E18" s="112"/>
      <c r="F18" s="112"/>
      <c r="G18" s="113" t="s">
        <v>31</v>
      </c>
      <c r="H18" s="113"/>
      <c r="I18" s="79"/>
      <c r="J18" s="114"/>
      <c r="K18" s="114"/>
      <c r="L18" s="115"/>
      <c r="M18" s="18"/>
      <c r="N18" s="18"/>
      <c r="O18" s="18"/>
      <c r="P18" s="18"/>
    </row>
    <row r="19" spans="2:16" ht="16.5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1"/>
      <c r="M19" s="18"/>
      <c r="N19" s="18"/>
      <c r="O19" s="18"/>
      <c r="P19" s="18"/>
    </row>
    <row r="20" spans="2:16" ht="51.75" thickBot="1" x14ac:dyDescent="0.3">
      <c r="B20" s="80" t="s">
        <v>120</v>
      </c>
      <c r="C20" s="42" t="s">
        <v>84</v>
      </c>
      <c r="D20" s="19">
        <f t="shared" ref="D20:D22" si="10">(E20+F20)/2</f>
        <v>0</v>
      </c>
      <c r="E20" s="41"/>
      <c r="F20" s="41"/>
      <c r="G20" s="20">
        <v>2</v>
      </c>
      <c r="H20" s="21">
        <f t="shared" ref="H20:H22" si="11">D20*G20</f>
        <v>0</v>
      </c>
      <c r="I20" s="105">
        <v>12.083333333333334</v>
      </c>
      <c r="J20" s="106">
        <v>12.083333333333334</v>
      </c>
      <c r="K20" s="43" t="s">
        <v>138</v>
      </c>
      <c r="L20" s="19" t="str">
        <f t="shared" ref="L20:L22" si="12">IF(D20&lt;10,"D",IF(D20&lt;12,"C",IF(D20&lt;14,"C+",IF(D20&lt;15,"B",IF(D20&lt;16,"B+",IF(D20&lt;18,"A",IF(D20&lt;20,"A+")))))))</f>
        <v>D</v>
      </c>
      <c r="M20" s="18"/>
      <c r="N20" s="18"/>
      <c r="O20" s="22">
        <f t="shared" ref="O20:O22" si="13">E20*G20</f>
        <v>0</v>
      </c>
      <c r="P20" s="22">
        <f t="shared" ref="P20:P22" si="14">F20*G20</f>
        <v>0</v>
      </c>
    </row>
    <row r="21" spans="2:16" ht="64.5" thickBot="1" x14ac:dyDescent="0.3">
      <c r="B21" s="80" t="s">
        <v>111</v>
      </c>
      <c r="C21" s="42" t="s">
        <v>85</v>
      </c>
      <c r="D21" s="19">
        <f t="shared" si="10"/>
        <v>0</v>
      </c>
      <c r="E21" s="41"/>
      <c r="F21" s="41"/>
      <c r="G21" s="20">
        <v>4</v>
      </c>
      <c r="H21" s="21">
        <f t="shared" si="11"/>
        <v>0</v>
      </c>
      <c r="I21" s="105">
        <v>8.5833333333333339</v>
      </c>
      <c r="J21" s="106">
        <v>8.5833333333333339</v>
      </c>
      <c r="K21" s="43" t="s">
        <v>138</v>
      </c>
      <c r="L21" s="19" t="str">
        <f t="shared" si="12"/>
        <v>D</v>
      </c>
      <c r="M21" s="18"/>
      <c r="N21" s="18"/>
      <c r="O21" s="22">
        <f t="shared" si="13"/>
        <v>0</v>
      </c>
      <c r="P21" s="22">
        <f t="shared" si="14"/>
        <v>0</v>
      </c>
    </row>
    <row r="22" spans="2:16" ht="64.5" thickBot="1" x14ac:dyDescent="0.3">
      <c r="B22" s="80" t="s">
        <v>112</v>
      </c>
      <c r="C22" s="42" t="s">
        <v>86</v>
      </c>
      <c r="D22" s="19">
        <f t="shared" si="10"/>
        <v>0</v>
      </c>
      <c r="E22" s="41"/>
      <c r="F22" s="41"/>
      <c r="G22" s="20">
        <v>2</v>
      </c>
      <c r="H22" s="21">
        <f t="shared" si="11"/>
        <v>0</v>
      </c>
      <c r="I22" s="105">
        <v>9.6666666666666661</v>
      </c>
      <c r="J22" s="106">
        <v>9.6666666666666661</v>
      </c>
      <c r="K22" s="43" t="s">
        <v>138</v>
      </c>
      <c r="L22" s="19" t="str">
        <f t="shared" si="12"/>
        <v>D</v>
      </c>
      <c r="M22" s="18"/>
      <c r="N22" s="18"/>
      <c r="O22" s="22">
        <f t="shared" si="13"/>
        <v>0</v>
      </c>
      <c r="P22" s="22">
        <f t="shared" si="14"/>
        <v>0</v>
      </c>
    </row>
    <row r="23" spans="2:16" ht="16.5" thickBot="1" x14ac:dyDescent="0.3">
      <c r="B23" s="109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  <c r="M23" s="18"/>
      <c r="N23" s="18"/>
      <c r="O23" s="18"/>
      <c r="P23" s="18"/>
    </row>
    <row r="24" spans="2:16" ht="16.5" thickBot="1" x14ac:dyDescent="0.3">
      <c r="B24" s="23" t="s">
        <v>30</v>
      </c>
      <c r="C24" s="36"/>
      <c r="D24" s="112">
        <f>(SUM(H20:H22)/SUM(G20:G22))</f>
        <v>0</v>
      </c>
      <c r="E24" s="112"/>
      <c r="F24" s="112"/>
      <c r="G24" s="113" t="s">
        <v>31</v>
      </c>
      <c r="H24" s="113"/>
      <c r="I24" s="79"/>
      <c r="J24" s="114"/>
      <c r="K24" s="114"/>
      <c r="L24" s="115"/>
      <c r="M24" s="18"/>
      <c r="N24" s="18"/>
      <c r="O24" s="18"/>
      <c r="P24" s="18"/>
    </row>
    <row r="25" spans="2:16" ht="16.5" thickBot="1" x14ac:dyDescent="0.3">
      <c r="B25" s="116"/>
      <c r="C25" s="117"/>
      <c r="D25" s="117"/>
      <c r="E25" s="117"/>
      <c r="F25" s="117"/>
      <c r="G25" s="117"/>
      <c r="H25" s="117"/>
      <c r="I25" s="127"/>
      <c r="J25" s="127"/>
      <c r="K25" s="127"/>
      <c r="L25" s="118"/>
      <c r="M25" s="18"/>
      <c r="N25" s="18"/>
      <c r="O25" s="18"/>
      <c r="P25" s="18"/>
    </row>
    <row r="26" spans="2:16" ht="51.75" thickBot="1" x14ac:dyDescent="0.3">
      <c r="B26" s="80" t="s">
        <v>113</v>
      </c>
      <c r="C26" s="40" t="s">
        <v>76</v>
      </c>
      <c r="D26" s="19">
        <f t="shared" ref="D26:D29" si="15">(E26+F26)/2</f>
        <v>0</v>
      </c>
      <c r="E26" s="41"/>
      <c r="F26" s="41"/>
      <c r="G26" s="20">
        <v>1</v>
      </c>
      <c r="H26" s="21">
        <f t="shared" ref="H26:H29" si="16">D26*G26</f>
        <v>0</v>
      </c>
      <c r="I26" s="105">
        <v>10.666666666666666</v>
      </c>
      <c r="J26" s="106">
        <v>10.666666666666666</v>
      </c>
      <c r="K26" s="43" t="s">
        <v>138</v>
      </c>
      <c r="L26" s="19" t="str">
        <f t="shared" ref="L26:L28" si="17">IF(D26&lt;10,"D",IF(D26&lt;12,"C",IF(D26&lt;14,"C+",IF(D26&lt;15,"B",IF(D26&lt;16,"B+",IF(D26&lt;18,"A",IF(D26&lt;20,"A+")))))))</f>
        <v>D</v>
      </c>
      <c r="M26" s="18"/>
      <c r="N26" s="18"/>
      <c r="O26" s="22">
        <f t="shared" ref="O26:O29" si="18">E26*G26</f>
        <v>0</v>
      </c>
      <c r="P26" s="22">
        <f t="shared" ref="P26:P29" si="19">F26*G26</f>
        <v>0</v>
      </c>
    </row>
    <row r="27" spans="2:16" ht="32.25" thickBot="1" x14ac:dyDescent="0.3">
      <c r="B27" s="80" t="s">
        <v>74</v>
      </c>
      <c r="C27" s="42" t="s">
        <v>87</v>
      </c>
      <c r="D27" s="19">
        <f t="shared" si="15"/>
        <v>0</v>
      </c>
      <c r="E27" s="41"/>
      <c r="F27" s="41"/>
      <c r="G27" s="20">
        <v>2</v>
      </c>
      <c r="H27" s="21">
        <f>D27*G27</f>
        <v>0</v>
      </c>
      <c r="I27" s="105">
        <v>14.416666666666666</v>
      </c>
      <c r="J27" s="106">
        <v>14.416666666666666</v>
      </c>
      <c r="K27" s="43" t="s">
        <v>138</v>
      </c>
      <c r="L27" s="19" t="str">
        <f t="shared" si="17"/>
        <v>D</v>
      </c>
      <c r="M27" s="18"/>
      <c r="N27" s="18"/>
      <c r="O27" s="22">
        <f t="shared" si="18"/>
        <v>0</v>
      </c>
      <c r="P27" s="22">
        <f t="shared" si="19"/>
        <v>0</v>
      </c>
    </row>
    <row r="28" spans="2:16" ht="39.75" customHeight="1" thickBot="1" x14ac:dyDescent="0.3">
      <c r="B28" s="80" t="s">
        <v>114</v>
      </c>
      <c r="C28" s="42" t="s">
        <v>88</v>
      </c>
      <c r="D28" s="19">
        <f t="shared" si="15"/>
        <v>0</v>
      </c>
      <c r="E28" s="41"/>
      <c r="F28" s="41"/>
      <c r="G28" s="20">
        <v>1</v>
      </c>
      <c r="H28" s="21">
        <f t="shared" si="16"/>
        <v>0</v>
      </c>
      <c r="I28" s="105">
        <v>12.75</v>
      </c>
      <c r="J28" s="106">
        <v>12.75</v>
      </c>
      <c r="K28" s="43" t="s">
        <v>138</v>
      </c>
      <c r="L28" s="19" t="str">
        <f t="shared" si="17"/>
        <v>D</v>
      </c>
      <c r="M28" s="18"/>
      <c r="N28" s="18"/>
      <c r="O28" s="22">
        <f t="shared" si="18"/>
        <v>0</v>
      </c>
      <c r="P28" s="22">
        <f t="shared" si="19"/>
        <v>0</v>
      </c>
    </row>
    <row r="29" spans="2:16" ht="39" thickBot="1" x14ac:dyDescent="0.3">
      <c r="B29" s="80" t="s">
        <v>115</v>
      </c>
      <c r="C29" s="42" t="s">
        <v>89</v>
      </c>
      <c r="D29" s="19">
        <f t="shared" si="15"/>
        <v>16.5</v>
      </c>
      <c r="E29" s="19">
        <v>16</v>
      </c>
      <c r="F29" s="19">
        <v>17</v>
      </c>
      <c r="G29" s="20">
        <v>1</v>
      </c>
      <c r="H29" s="21">
        <f t="shared" si="16"/>
        <v>16.5</v>
      </c>
      <c r="I29" s="105">
        <v>16.329999999999998</v>
      </c>
      <c r="J29" s="106"/>
      <c r="K29" s="43" t="s">
        <v>138</v>
      </c>
      <c r="L29" s="19" t="str">
        <f>IF(D29&lt;10,"D",IF(D29&lt;12,"C",IF(D29&lt;14,"C+",IF(D29&lt;15,"B",IF(D29&lt;16,"B+",IF(D29&lt;18,"A",IF(D29&lt;20,"A+")))))))</f>
        <v>A</v>
      </c>
      <c r="M29" s="18"/>
      <c r="N29" s="18"/>
      <c r="O29" s="22">
        <f t="shared" si="18"/>
        <v>16</v>
      </c>
      <c r="P29" s="22">
        <f t="shared" si="19"/>
        <v>17</v>
      </c>
    </row>
    <row r="30" spans="2:16" ht="16.5" thickBot="1" x14ac:dyDescent="0.3"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18"/>
      <c r="N30" s="18"/>
      <c r="O30" s="18">
        <f>SUM(O5:O29)</f>
        <v>16</v>
      </c>
      <c r="P30" s="18">
        <f>SUM(P5:P29)</f>
        <v>17</v>
      </c>
    </row>
    <row r="31" spans="2:16" ht="16.5" thickBot="1" x14ac:dyDescent="0.3">
      <c r="B31" s="27" t="s">
        <v>33</v>
      </c>
      <c r="C31" s="37"/>
      <c r="D31" s="112">
        <f>(SUM(H26:H29)/SUM(G26:G29))</f>
        <v>3.3</v>
      </c>
      <c r="E31" s="112"/>
      <c r="F31" s="112"/>
      <c r="G31" s="128" t="s">
        <v>31</v>
      </c>
      <c r="H31" s="128"/>
      <c r="I31" s="78"/>
      <c r="J31" s="129"/>
      <c r="K31" s="129"/>
      <c r="L31" s="130"/>
      <c r="M31" s="18"/>
      <c r="N31" s="18"/>
      <c r="O31" s="18">
        <v>29</v>
      </c>
      <c r="P31" s="18">
        <v>29</v>
      </c>
    </row>
    <row r="32" spans="2:16" ht="16.5" thickBot="1" x14ac:dyDescent="0.3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3"/>
      <c r="M32" s="18"/>
      <c r="N32" s="18"/>
      <c r="O32" s="18">
        <f>O30/O31</f>
        <v>0.55172413793103448</v>
      </c>
      <c r="P32" s="18">
        <f>P30/P31</f>
        <v>0.58620689655172409</v>
      </c>
    </row>
    <row r="33" spans="2:16" ht="48" thickBot="1" x14ac:dyDescent="0.3">
      <c r="B33" s="140" t="s">
        <v>36</v>
      </c>
      <c r="C33" s="130"/>
      <c r="D33" s="28" t="s">
        <v>37</v>
      </c>
      <c r="E33" s="35">
        <v>11.57</v>
      </c>
      <c r="F33" s="29" t="s">
        <v>38</v>
      </c>
      <c r="G33" s="129">
        <v>13.24</v>
      </c>
      <c r="H33" s="129"/>
      <c r="I33" s="29" t="s">
        <v>39</v>
      </c>
      <c r="J33" s="134">
        <v>9.66</v>
      </c>
      <c r="K33" s="129"/>
      <c r="L33" s="30"/>
      <c r="M33" s="31"/>
      <c r="N33" s="31"/>
      <c r="O33" s="31"/>
      <c r="P33" s="31"/>
    </row>
    <row r="34" spans="2:16" ht="15.75" x14ac:dyDescent="0.25">
      <c r="B34" s="65"/>
      <c r="C34" s="66"/>
      <c r="D34" s="67" t="s">
        <v>133</v>
      </c>
      <c r="E34" s="67" t="s">
        <v>134</v>
      </c>
      <c r="F34" s="66"/>
      <c r="G34" s="66"/>
      <c r="H34" s="68"/>
      <c r="I34" s="135"/>
      <c r="J34" s="136"/>
      <c r="K34" s="136"/>
      <c r="L34" s="137"/>
      <c r="M34" s="18"/>
      <c r="N34" s="18"/>
      <c r="O34" s="18"/>
      <c r="P34" s="18"/>
    </row>
    <row r="35" spans="2:16" ht="15.75" x14ac:dyDescent="0.25">
      <c r="B35" s="69" t="s">
        <v>40</v>
      </c>
      <c r="C35" s="70"/>
      <c r="D35" s="71">
        <f>O32</f>
        <v>0.55172413793103448</v>
      </c>
      <c r="E35" s="71">
        <f>P32</f>
        <v>0.58620689655172409</v>
      </c>
      <c r="F35" s="72" t="s">
        <v>136</v>
      </c>
      <c r="G35" s="73">
        <f>(H5+H6+H7+H8+H9+H13+H14+H15+H16+H20+H21+H22+H26+H27+H28+H29)/29</f>
        <v>0.56896551724137934</v>
      </c>
      <c r="H35" s="70" t="s">
        <v>41</v>
      </c>
      <c r="I35" s="138" t="s">
        <v>42</v>
      </c>
      <c r="J35" s="139"/>
      <c r="K35" s="32" t="s">
        <v>137</v>
      </c>
      <c r="L35" s="33" t="s">
        <v>135</v>
      </c>
      <c r="M35" s="18"/>
      <c r="N35" s="18"/>
      <c r="O35" s="18"/>
      <c r="P35" s="18"/>
    </row>
    <row r="36" spans="2:16" ht="16.5" thickBot="1" x14ac:dyDescent="0.3">
      <c r="B36" s="122"/>
      <c r="C36" s="123"/>
      <c r="D36" s="123"/>
      <c r="E36" s="123"/>
      <c r="F36" s="123"/>
      <c r="G36" s="123"/>
      <c r="H36" s="123"/>
      <c r="I36" s="124"/>
      <c r="J36" s="125"/>
      <c r="K36" s="125"/>
      <c r="L36" s="126"/>
      <c r="M36" s="18"/>
      <c r="N36" s="18"/>
      <c r="O36" s="18"/>
      <c r="P36" s="18"/>
    </row>
    <row r="37" spans="2:16" ht="16.5" thickBot="1" x14ac:dyDescent="0.3">
      <c r="B37" s="141" t="s">
        <v>43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3"/>
      <c r="M37" s="18"/>
      <c r="N37" s="18"/>
      <c r="O37" s="18"/>
      <c r="P37" s="18"/>
    </row>
    <row r="38" spans="2:16" ht="16.5" thickBot="1" x14ac:dyDescent="0.3">
      <c r="B38" s="140" t="s">
        <v>44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30"/>
      <c r="M38" s="18"/>
      <c r="N38" s="18"/>
      <c r="O38" s="18"/>
      <c r="P38" s="18"/>
    </row>
    <row r="39" spans="2:16" ht="16.5" thickBot="1" x14ac:dyDescent="0.3">
      <c r="B39" s="24" t="s">
        <v>45</v>
      </c>
      <c r="C39" s="28"/>
      <c r="D39" s="131" t="s">
        <v>46</v>
      </c>
      <c r="E39" s="132"/>
      <c r="F39" s="133"/>
      <c r="G39" s="144" t="s">
        <v>47</v>
      </c>
      <c r="H39" s="145"/>
      <c r="I39" s="145"/>
      <c r="J39" s="145"/>
      <c r="K39" s="145"/>
      <c r="L39" s="146"/>
      <c r="M39" s="18"/>
      <c r="N39" s="18"/>
      <c r="O39" s="18"/>
      <c r="P39" s="18"/>
    </row>
    <row r="40" spans="2:16" ht="16.5" thickBot="1" x14ac:dyDescent="0.3">
      <c r="B40" s="63" t="s">
        <v>48</v>
      </c>
      <c r="C40" s="161"/>
      <c r="D40" s="150" t="str">
        <f>IF(G35&lt;10,"CNA",IF(G35&lt;12,"CMA",IF(G35&lt;14,"CA",IF(G35&lt;16,"CBA",IF(G35&lt;20,"CTBA")))))</f>
        <v>CNA</v>
      </c>
      <c r="E40" s="151" t="e">
        <f>IF(#REF!&lt;10,"D",IF(#REF!&lt;12,"C",IF(#REF!&lt;14,"C+",IF(#REF!&lt;15,"B",IF(#REF!&lt;16,"B+",IF(#REF!&lt;18,"A",IF(#REF!&lt;20,"A+")))))))</f>
        <v>#REF!</v>
      </c>
      <c r="F40" s="152" t="e">
        <f>IF(#REF!&lt;10,"D",IF(#REF!&lt;12,"C",IF(#REF!&lt;14,"C+",IF(#REF!&lt;15,"B",IF(#REF!&lt;16,"B+",IF(#REF!&lt;18,"A",IF(#REF!&lt;20,"A+")))))))</f>
        <v>#REF!</v>
      </c>
      <c r="G40" s="147"/>
      <c r="H40" s="148"/>
      <c r="I40" s="148"/>
      <c r="J40" s="148"/>
      <c r="K40" s="148"/>
      <c r="L40" s="149"/>
      <c r="M40" s="18"/>
      <c r="N40" s="18"/>
      <c r="O40" s="18"/>
      <c r="P40" s="18"/>
    </row>
    <row r="41" spans="2:16" ht="16.5" thickBot="1" x14ac:dyDescent="0.3">
      <c r="B41" s="63" t="s">
        <v>49</v>
      </c>
      <c r="C41" s="162"/>
      <c r="D41" s="153" t="e">
        <f>IF(#REF!&lt;10,"D",IF(#REF!&lt;12,"C",IF(#REF!&lt;14,"C+",IF(#REF!&lt;15,"B",IF(#REF!&lt;16,"B+",IF(#REF!&lt;18,"A",IF(#REF!&lt;20,"A+")))))))</f>
        <v>#REF!</v>
      </c>
      <c r="E41" s="154" t="e">
        <f>IF(#REF!&lt;10,"D",IF(#REF!&lt;12,"C",IF(#REF!&lt;14,"C+",IF(#REF!&lt;15,"B",IF(#REF!&lt;16,"B+",IF(#REF!&lt;18,"A",IF(#REF!&lt;20,"A+")))))))</f>
        <v>#REF!</v>
      </c>
      <c r="F41" s="155" t="e">
        <f>IF(#REF!&lt;10,"D",IF(#REF!&lt;12,"C",IF(#REF!&lt;14,"C+",IF(#REF!&lt;15,"B",IF(#REF!&lt;16,"B+",IF(#REF!&lt;18,"A",IF(#REF!&lt;20,"A+")))))))</f>
        <v>#REF!</v>
      </c>
      <c r="G41" s="140" t="s">
        <v>50</v>
      </c>
      <c r="H41" s="129"/>
      <c r="I41" s="129"/>
      <c r="J41" s="130"/>
      <c r="K41" s="144" t="s">
        <v>51</v>
      </c>
      <c r="L41" s="146"/>
      <c r="M41" s="18"/>
      <c r="N41" s="18"/>
      <c r="O41" s="18"/>
      <c r="P41" s="18"/>
    </row>
    <row r="42" spans="2:16" ht="16.5" thickBot="1" x14ac:dyDescent="0.3">
      <c r="B42" s="64" t="s">
        <v>52</v>
      </c>
      <c r="C42" s="163"/>
      <c r="D42" s="156" t="e">
        <f>IF(#REF!&lt;10,"D",IF(#REF!&lt;12,"C",IF(#REF!&lt;14,"C+",IF(#REF!&lt;15,"B",IF(#REF!&lt;16,"B+",IF(#REF!&lt;18,"A",IF(#REF!&lt;20,"A+")))))))</f>
        <v>#REF!</v>
      </c>
      <c r="E42" s="157" t="e">
        <f>IF(#REF!&lt;10,"D",IF(#REF!&lt;12,"C",IF(#REF!&lt;14,"C+",IF(#REF!&lt;15,"B",IF(#REF!&lt;16,"B+",IF(#REF!&lt;18,"A",IF(#REF!&lt;20,"A+")))))))</f>
        <v>#REF!</v>
      </c>
      <c r="F42" s="158" t="e">
        <f>IF(#REF!&lt;10,"D",IF(#REF!&lt;12,"C",IF(#REF!&lt;14,"C+",IF(#REF!&lt;15,"B",IF(#REF!&lt;16,"B+",IF(#REF!&lt;18,"A",IF(#REF!&lt;20,"A+")))))))</f>
        <v>#REF!</v>
      </c>
      <c r="G42" s="140" t="s">
        <v>53</v>
      </c>
      <c r="H42" s="129"/>
      <c r="I42" s="129"/>
      <c r="J42" s="130"/>
      <c r="K42" s="159" t="s">
        <v>54</v>
      </c>
      <c r="L42" s="160"/>
      <c r="M42" s="18"/>
      <c r="N42" s="18"/>
      <c r="O42" s="18"/>
      <c r="P42" s="18"/>
    </row>
    <row r="43" spans="2:16" ht="16.5" thickBot="1" x14ac:dyDescent="0.3">
      <c r="B43" s="64" t="s">
        <v>55</v>
      </c>
      <c r="C43" s="146"/>
      <c r="D43" s="144" t="s">
        <v>56</v>
      </c>
      <c r="E43" s="145"/>
      <c r="F43" s="146"/>
      <c r="G43" s="140" t="s">
        <v>57</v>
      </c>
      <c r="H43" s="129"/>
      <c r="I43" s="129"/>
      <c r="J43" s="130"/>
      <c r="K43" s="159"/>
      <c r="L43" s="160"/>
      <c r="M43" s="18"/>
      <c r="N43" s="18"/>
      <c r="O43" s="18"/>
      <c r="P43" s="18"/>
    </row>
    <row r="44" spans="2:16" ht="16.5" thickBot="1" x14ac:dyDescent="0.3">
      <c r="B44" s="34" t="s">
        <v>58</v>
      </c>
      <c r="C44" s="103"/>
      <c r="D44" s="147"/>
      <c r="E44" s="148"/>
      <c r="F44" s="149"/>
      <c r="G44" s="140" t="s">
        <v>59</v>
      </c>
      <c r="H44" s="129"/>
      <c r="I44" s="129"/>
      <c r="J44" s="130"/>
      <c r="K44" s="168" t="s">
        <v>60</v>
      </c>
      <c r="L44" s="169"/>
      <c r="M44" s="18"/>
      <c r="N44" s="18"/>
      <c r="O44" s="18"/>
      <c r="P44" s="18"/>
    </row>
    <row r="45" spans="2:16" ht="31.5" x14ac:dyDescent="0.25">
      <c r="B45" s="24" t="s">
        <v>61</v>
      </c>
      <c r="C45" s="104"/>
      <c r="D45" s="135"/>
      <c r="E45" s="136"/>
      <c r="F45" s="137"/>
      <c r="G45" s="135"/>
      <c r="H45" s="136"/>
      <c r="I45" s="136"/>
      <c r="J45" s="137"/>
      <c r="K45" s="168" t="s">
        <v>62</v>
      </c>
      <c r="L45" s="169"/>
      <c r="M45" s="18"/>
      <c r="N45" s="18"/>
      <c r="O45" s="18"/>
      <c r="P45" s="18"/>
    </row>
    <row r="46" spans="2:16" ht="15.75" x14ac:dyDescent="0.25">
      <c r="B46" s="102"/>
      <c r="C46" s="102"/>
      <c r="D46" s="170"/>
      <c r="E46" s="171"/>
      <c r="F46" s="172"/>
      <c r="G46" s="170"/>
      <c r="H46" s="171"/>
      <c r="I46" s="171"/>
      <c r="J46" s="172"/>
      <c r="K46" s="164"/>
      <c r="L46" s="165"/>
      <c r="M46" s="18"/>
      <c r="N46" s="18"/>
      <c r="O46" s="18"/>
      <c r="P46" s="18"/>
    </row>
    <row r="47" spans="2:16" ht="15.75" x14ac:dyDescent="0.25">
      <c r="B47" s="102"/>
      <c r="C47" s="102"/>
      <c r="D47" s="170"/>
      <c r="E47" s="171"/>
      <c r="F47" s="172"/>
      <c r="G47" s="170"/>
      <c r="H47" s="171"/>
      <c r="I47" s="171"/>
      <c r="J47" s="172"/>
      <c r="K47" s="164"/>
      <c r="L47" s="165"/>
      <c r="M47" s="18"/>
      <c r="N47" s="18"/>
      <c r="O47" s="18"/>
      <c r="P47" s="18"/>
    </row>
    <row r="48" spans="2:16" ht="16.5" thickBot="1" x14ac:dyDescent="0.3">
      <c r="B48" s="103"/>
      <c r="C48" s="103"/>
      <c r="D48" s="173"/>
      <c r="E48" s="174"/>
      <c r="F48" s="175"/>
      <c r="G48" s="173"/>
      <c r="H48" s="174"/>
      <c r="I48" s="174"/>
      <c r="J48" s="175"/>
      <c r="K48" s="166"/>
      <c r="L48" s="167"/>
      <c r="M48" s="18"/>
      <c r="N48" s="18"/>
      <c r="O48" s="18"/>
      <c r="P48" s="18"/>
    </row>
  </sheetData>
  <mergeCells count="65">
    <mergeCell ref="D40:F42"/>
    <mergeCell ref="G41:J41"/>
    <mergeCell ref="K41:L41"/>
    <mergeCell ref="G42:J42"/>
    <mergeCell ref="K42:L4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D31:F31"/>
    <mergeCell ref="G31:H31"/>
    <mergeCell ref="J31:L31"/>
    <mergeCell ref="B32:L32"/>
    <mergeCell ref="B25:L25"/>
    <mergeCell ref="I26:J26"/>
    <mergeCell ref="I27:J27"/>
    <mergeCell ref="I28:J28"/>
    <mergeCell ref="I29:J29"/>
    <mergeCell ref="I34:L34"/>
    <mergeCell ref="I35:J35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  <mergeCell ref="C40:C42"/>
    <mergeCell ref="C43:C44"/>
    <mergeCell ref="K46:L48"/>
    <mergeCell ref="K44:L44"/>
    <mergeCell ref="D39:F39"/>
    <mergeCell ref="G39:L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1" t="s">
        <v>24</v>
      </c>
      <c r="C4" s="38" t="s">
        <v>70</v>
      </c>
      <c r="D4" s="82" t="s">
        <v>132</v>
      </c>
      <c r="E4" s="82" t="s">
        <v>133</v>
      </c>
      <c r="F4" s="82" t="s">
        <v>134</v>
      </c>
      <c r="G4" s="82" t="s">
        <v>25</v>
      </c>
      <c r="H4" s="81" t="s">
        <v>26</v>
      </c>
      <c r="I4" s="107" t="s">
        <v>27</v>
      </c>
      <c r="J4" s="108"/>
      <c r="K4" s="82" t="s">
        <v>21</v>
      </c>
      <c r="L4" s="82" t="s">
        <v>28</v>
      </c>
      <c r="M4" s="18"/>
      <c r="N4" s="18"/>
      <c r="O4" s="18"/>
      <c r="P4" s="18"/>
    </row>
    <row r="5" spans="2:16" ht="43.5" customHeight="1" thickBot="1" x14ac:dyDescent="0.3">
      <c r="B5" s="80" t="s">
        <v>71</v>
      </c>
      <c r="C5" s="40" t="s">
        <v>77</v>
      </c>
      <c r="D5" s="19">
        <f>(E5+F5)/2</f>
        <v>0</v>
      </c>
      <c r="E5" s="41"/>
      <c r="F5" s="41"/>
      <c r="G5" s="20">
        <v>3</v>
      </c>
      <c r="H5" s="21">
        <f>D5*G5</f>
        <v>0</v>
      </c>
      <c r="I5" s="105">
        <v>12.166666666666666</v>
      </c>
      <c r="J5" s="106">
        <v>12.166666666666666</v>
      </c>
      <c r="K5" s="43" t="s">
        <v>138</v>
      </c>
      <c r="L5" s="19" t="str">
        <f>IF(D5&lt;10,"D",IF(D5&lt;12,"C",IF(D5&lt;14,"C+",IF(D5&lt;15,"B",IF(D5&lt;16,"B+",IF(D5&lt;18,"A",IF(D5&lt;20,"A+")))))))</f>
        <v>D</v>
      </c>
      <c r="M5" s="18"/>
      <c r="N5" s="18"/>
      <c r="O5" s="22">
        <f>E5*G5</f>
        <v>0</v>
      </c>
      <c r="P5" s="22">
        <f>F5*G5</f>
        <v>0</v>
      </c>
    </row>
    <row r="6" spans="2:16" ht="32.25" thickBot="1" x14ac:dyDescent="0.3">
      <c r="B6" s="80" t="s">
        <v>116</v>
      </c>
      <c r="C6" s="40" t="s">
        <v>78</v>
      </c>
      <c r="D6" s="19">
        <f t="shared" ref="D6:D9" si="0">(E6+F6)/2</f>
        <v>0</v>
      </c>
      <c r="E6" s="41"/>
      <c r="F6" s="41"/>
      <c r="G6" s="20">
        <v>1</v>
      </c>
      <c r="H6" s="21">
        <f t="shared" ref="H6:H9" si="1">D6*G6</f>
        <v>0</v>
      </c>
      <c r="I6" s="105">
        <v>14.166666666666666</v>
      </c>
      <c r="J6" s="106">
        <v>14.166666666666666</v>
      </c>
      <c r="K6" s="43" t="s">
        <v>138</v>
      </c>
      <c r="L6" s="19" t="str">
        <f t="shared" ref="L6:L9" si="2">IF(D6&lt;10,"D",IF(D6&lt;12,"C",IF(D6&lt;14,"C+",IF(D6&lt;15,"B",IF(D6&lt;16,"B+",IF(D6&lt;18,"A",IF(D6&lt;20,"A+")))))))</f>
        <v>D</v>
      </c>
      <c r="M6" s="18"/>
      <c r="N6" s="18"/>
      <c r="O6" s="22">
        <f t="shared" ref="O6:O9" si="3">E6*G6</f>
        <v>0</v>
      </c>
      <c r="P6" s="22">
        <f t="shared" ref="P6:P9" si="4">F6*G6</f>
        <v>0</v>
      </c>
    </row>
    <row r="7" spans="2:16" ht="32.25" thickBot="1" x14ac:dyDescent="0.3">
      <c r="B7" s="80" t="s">
        <v>117</v>
      </c>
      <c r="C7" s="40" t="s">
        <v>79</v>
      </c>
      <c r="D7" s="19">
        <f t="shared" si="0"/>
        <v>0</v>
      </c>
      <c r="E7" s="41"/>
      <c r="F7" s="41"/>
      <c r="G7" s="20">
        <v>2</v>
      </c>
      <c r="H7" s="21">
        <f t="shared" si="1"/>
        <v>0</v>
      </c>
      <c r="I7" s="105">
        <v>10.833333333333334</v>
      </c>
      <c r="J7" s="106">
        <v>10.833333333333334</v>
      </c>
      <c r="K7" s="43" t="s">
        <v>138</v>
      </c>
      <c r="L7" s="19" t="str">
        <f t="shared" si="2"/>
        <v>D</v>
      </c>
      <c r="M7" s="18"/>
      <c r="N7" s="18"/>
      <c r="O7" s="22">
        <f t="shared" si="3"/>
        <v>0</v>
      </c>
      <c r="P7" s="22">
        <f t="shared" si="4"/>
        <v>0</v>
      </c>
    </row>
    <row r="8" spans="2:16" ht="39" thickBot="1" x14ac:dyDescent="0.3">
      <c r="B8" s="80" t="s">
        <v>118</v>
      </c>
      <c r="C8" s="40" t="s">
        <v>80</v>
      </c>
      <c r="D8" s="19">
        <f t="shared" si="0"/>
        <v>0</v>
      </c>
      <c r="E8" s="41"/>
      <c r="F8" s="41"/>
      <c r="G8" s="20">
        <v>2</v>
      </c>
      <c r="H8" s="21">
        <f t="shared" si="1"/>
        <v>0</v>
      </c>
      <c r="I8" s="105">
        <v>11.5</v>
      </c>
      <c r="J8" s="106">
        <v>11.5</v>
      </c>
      <c r="K8" s="43" t="s">
        <v>138</v>
      </c>
      <c r="L8" s="19" t="str">
        <f t="shared" si="2"/>
        <v>D</v>
      </c>
      <c r="M8" s="18"/>
      <c r="N8" s="18"/>
      <c r="O8" s="22">
        <f t="shared" si="3"/>
        <v>0</v>
      </c>
      <c r="P8" s="22">
        <f t="shared" si="4"/>
        <v>0</v>
      </c>
    </row>
    <row r="9" spans="2:16" ht="39" thickBot="1" x14ac:dyDescent="0.3">
      <c r="B9" s="80" t="s">
        <v>119</v>
      </c>
      <c r="C9" s="40" t="s">
        <v>80</v>
      </c>
      <c r="D9" s="19">
        <f t="shared" si="0"/>
        <v>0</v>
      </c>
      <c r="E9" s="41"/>
      <c r="F9" s="41"/>
      <c r="G9" s="20">
        <v>1</v>
      </c>
      <c r="H9" s="21">
        <f t="shared" si="1"/>
        <v>0</v>
      </c>
      <c r="I9" s="105">
        <v>15.666666666666666</v>
      </c>
      <c r="J9" s="106">
        <v>15.666666666666666</v>
      </c>
      <c r="K9" s="43" t="s">
        <v>138</v>
      </c>
      <c r="L9" s="19" t="str">
        <f t="shared" si="2"/>
        <v>D</v>
      </c>
      <c r="M9" s="18"/>
      <c r="N9" s="18"/>
      <c r="O9" s="22">
        <f t="shared" si="3"/>
        <v>0</v>
      </c>
      <c r="P9" s="22">
        <f t="shared" si="4"/>
        <v>0</v>
      </c>
    </row>
    <row r="10" spans="2:16" ht="16.5" thickBot="1" x14ac:dyDescent="0.3">
      <c r="B10" s="109" t="s">
        <v>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  <c r="M10" s="18"/>
      <c r="N10" s="18"/>
      <c r="O10" s="18"/>
      <c r="P10" s="18"/>
    </row>
    <row r="11" spans="2:16" ht="16.5" thickBot="1" x14ac:dyDescent="0.3">
      <c r="B11" s="23" t="s">
        <v>30</v>
      </c>
      <c r="C11" s="36"/>
      <c r="D11" s="112">
        <f>(SUM(H5:H9)/SUM(G5:G9))</f>
        <v>0</v>
      </c>
      <c r="E11" s="112"/>
      <c r="F11" s="112"/>
      <c r="G11" s="113" t="s">
        <v>31</v>
      </c>
      <c r="H11" s="113"/>
      <c r="I11" s="79"/>
      <c r="J11" s="114"/>
      <c r="K11" s="114"/>
      <c r="L11" s="115"/>
      <c r="M11" s="18"/>
      <c r="N11" s="18"/>
      <c r="O11" s="18"/>
      <c r="P11" s="18"/>
    </row>
    <row r="12" spans="2:16" ht="16.5" thickBot="1" x14ac:dyDescent="0.3">
      <c r="B12" s="116"/>
      <c r="C12" s="117"/>
      <c r="D12" s="117"/>
      <c r="E12" s="117"/>
      <c r="F12" s="117"/>
      <c r="G12" s="117"/>
      <c r="H12" s="117"/>
      <c r="I12" s="117"/>
      <c r="J12" s="117"/>
      <c r="K12" s="117"/>
      <c r="L12" s="118"/>
      <c r="M12" s="18"/>
      <c r="N12" s="18"/>
      <c r="O12" s="18"/>
      <c r="P12" s="18"/>
    </row>
    <row r="13" spans="2:16" ht="32.25" thickBot="1" x14ac:dyDescent="0.3">
      <c r="B13" s="80" t="s">
        <v>109</v>
      </c>
      <c r="C13" s="40" t="s">
        <v>81</v>
      </c>
      <c r="D13" s="19">
        <f t="shared" ref="D13:D16" si="5">(E13+F13)/2</f>
        <v>0</v>
      </c>
      <c r="E13" s="41"/>
      <c r="F13" s="41"/>
      <c r="G13" s="20">
        <v>2</v>
      </c>
      <c r="H13" s="21">
        <f t="shared" ref="H13:H16" si="6">D13*G13</f>
        <v>0</v>
      </c>
      <c r="I13" s="105">
        <v>11.083333333333334</v>
      </c>
      <c r="J13" s="106">
        <v>11.083333333333334</v>
      </c>
      <c r="K13" s="43" t="s">
        <v>138</v>
      </c>
      <c r="L13" s="19" t="str">
        <f t="shared" ref="L13:L16" si="7">IF(D13&lt;10,"D",IF(D13&lt;12,"C",IF(D13&lt;14,"C+",IF(D13&lt;15,"B",IF(D13&lt;16,"B+",IF(D13&lt;18,"A",IF(D13&lt;20,"A+")))))))</f>
        <v>D</v>
      </c>
      <c r="M13" s="18"/>
      <c r="N13" s="18"/>
      <c r="O13" s="22">
        <f t="shared" ref="O13:O16" si="8">E13*G13</f>
        <v>0</v>
      </c>
      <c r="P13" s="22">
        <f t="shared" ref="P13:P16" si="9">F13*G13</f>
        <v>0</v>
      </c>
    </row>
    <row r="14" spans="2:16" ht="32.25" thickBot="1" x14ac:dyDescent="0.3">
      <c r="B14" s="80" t="s">
        <v>72</v>
      </c>
      <c r="C14" s="42" t="s">
        <v>82</v>
      </c>
      <c r="D14" s="19">
        <f t="shared" si="5"/>
        <v>0</v>
      </c>
      <c r="E14" s="41"/>
      <c r="F14" s="41"/>
      <c r="G14" s="20">
        <v>2</v>
      </c>
      <c r="H14" s="21">
        <f t="shared" si="6"/>
        <v>0</v>
      </c>
      <c r="I14" s="105">
        <v>11.833333333333334</v>
      </c>
      <c r="J14" s="106">
        <v>11.833333333333334</v>
      </c>
      <c r="K14" s="43" t="s">
        <v>138</v>
      </c>
      <c r="L14" s="19" t="str">
        <f t="shared" si="7"/>
        <v>D</v>
      </c>
      <c r="M14" s="18"/>
      <c r="N14" s="18"/>
      <c r="O14" s="22">
        <f t="shared" si="8"/>
        <v>0</v>
      </c>
      <c r="P14" s="22">
        <f t="shared" si="9"/>
        <v>0</v>
      </c>
    </row>
    <row r="15" spans="2:16" ht="37.5" customHeight="1" thickBot="1" x14ac:dyDescent="0.3">
      <c r="B15" s="80" t="s">
        <v>73</v>
      </c>
      <c r="C15" s="42" t="s">
        <v>83</v>
      </c>
      <c r="D15" s="19">
        <f t="shared" si="5"/>
        <v>0</v>
      </c>
      <c r="E15" s="41"/>
      <c r="F15" s="41"/>
      <c r="G15" s="20">
        <v>2</v>
      </c>
      <c r="H15" s="21">
        <f t="shared" si="6"/>
        <v>0</v>
      </c>
      <c r="I15" s="105">
        <v>10.666666666666666</v>
      </c>
      <c r="J15" s="106">
        <v>10.666666666666666</v>
      </c>
      <c r="K15" s="43" t="s">
        <v>138</v>
      </c>
      <c r="L15" s="19" t="str">
        <f t="shared" si="7"/>
        <v>D</v>
      </c>
      <c r="M15" s="18"/>
      <c r="N15" s="18"/>
      <c r="O15" s="22">
        <f t="shared" si="8"/>
        <v>0</v>
      </c>
      <c r="P15" s="22">
        <f t="shared" si="9"/>
        <v>0</v>
      </c>
    </row>
    <row r="16" spans="2:16" ht="32.25" thickBot="1" x14ac:dyDescent="0.3">
      <c r="B16" s="80" t="s">
        <v>110</v>
      </c>
      <c r="C16" s="39" t="s">
        <v>75</v>
      </c>
      <c r="D16" s="19">
        <f t="shared" si="5"/>
        <v>0</v>
      </c>
      <c r="E16" s="19"/>
      <c r="F16" s="19"/>
      <c r="G16" s="20">
        <v>1</v>
      </c>
      <c r="H16" s="21">
        <f t="shared" si="6"/>
        <v>0</v>
      </c>
      <c r="I16" s="105">
        <v>11</v>
      </c>
      <c r="J16" s="106">
        <v>8.3333333333333339</v>
      </c>
      <c r="K16" s="43" t="s">
        <v>138</v>
      </c>
      <c r="L16" s="19" t="str">
        <f t="shared" si="7"/>
        <v>D</v>
      </c>
      <c r="M16" s="18"/>
      <c r="N16" s="18"/>
      <c r="O16" s="22">
        <f t="shared" si="8"/>
        <v>0</v>
      </c>
      <c r="P16" s="22">
        <f t="shared" si="9"/>
        <v>0</v>
      </c>
    </row>
    <row r="17" spans="2:16" ht="16.5" thickBot="1" x14ac:dyDescent="0.3">
      <c r="B17" s="109" t="s">
        <v>32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8"/>
      <c r="N17" s="18"/>
      <c r="O17" s="18"/>
      <c r="P17" s="18"/>
    </row>
    <row r="18" spans="2:16" ht="16.5" thickBot="1" x14ac:dyDescent="0.3">
      <c r="B18" s="23" t="s">
        <v>33</v>
      </c>
      <c r="C18" s="36"/>
      <c r="D18" s="112">
        <f>(SUM(H13:H16)/SUM(G13:G16))</f>
        <v>0</v>
      </c>
      <c r="E18" s="112"/>
      <c r="F18" s="112"/>
      <c r="G18" s="113" t="s">
        <v>31</v>
      </c>
      <c r="H18" s="113"/>
      <c r="I18" s="79"/>
      <c r="J18" s="114"/>
      <c r="K18" s="114"/>
      <c r="L18" s="115"/>
      <c r="M18" s="18"/>
      <c r="N18" s="18"/>
      <c r="O18" s="18"/>
      <c r="P18" s="18"/>
    </row>
    <row r="19" spans="2:16" ht="16.5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1"/>
      <c r="M19" s="18"/>
      <c r="N19" s="18"/>
      <c r="O19" s="18"/>
      <c r="P19" s="18"/>
    </row>
    <row r="20" spans="2:16" ht="51.75" thickBot="1" x14ac:dyDescent="0.3">
      <c r="B20" s="80" t="s">
        <v>120</v>
      </c>
      <c r="C20" s="42" t="s">
        <v>84</v>
      </c>
      <c r="D20" s="19">
        <f t="shared" ref="D20:D22" si="10">(E20+F20)/2</f>
        <v>0</v>
      </c>
      <c r="E20" s="41"/>
      <c r="F20" s="41"/>
      <c r="G20" s="20">
        <v>2</v>
      </c>
      <c r="H20" s="21">
        <f t="shared" ref="H20:H22" si="11">D20*G20</f>
        <v>0</v>
      </c>
      <c r="I20" s="105">
        <v>12.083333333333334</v>
      </c>
      <c r="J20" s="106">
        <v>12.083333333333334</v>
      </c>
      <c r="K20" s="43" t="s">
        <v>138</v>
      </c>
      <c r="L20" s="19" t="str">
        <f t="shared" ref="L20:L22" si="12">IF(D20&lt;10,"D",IF(D20&lt;12,"C",IF(D20&lt;14,"C+",IF(D20&lt;15,"B",IF(D20&lt;16,"B+",IF(D20&lt;18,"A",IF(D20&lt;20,"A+")))))))</f>
        <v>D</v>
      </c>
      <c r="M20" s="18"/>
      <c r="N20" s="18"/>
      <c r="O20" s="22">
        <f t="shared" ref="O20:O22" si="13">E20*G20</f>
        <v>0</v>
      </c>
      <c r="P20" s="22">
        <f t="shared" ref="P20:P22" si="14">F20*G20</f>
        <v>0</v>
      </c>
    </row>
    <row r="21" spans="2:16" ht="64.5" thickBot="1" x14ac:dyDescent="0.3">
      <c r="B21" s="80" t="s">
        <v>111</v>
      </c>
      <c r="C21" s="42" t="s">
        <v>85</v>
      </c>
      <c r="D21" s="19">
        <f t="shared" si="10"/>
        <v>0</v>
      </c>
      <c r="E21" s="41"/>
      <c r="F21" s="41"/>
      <c r="G21" s="20">
        <v>4</v>
      </c>
      <c r="H21" s="21">
        <f t="shared" si="11"/>
        <v>0</v>
      </c>
      <c r="I21" s="105">
        <v>8.5833333333333339</v>
      </c>
      <c r="J21" s="106">
        <v>8.5833333333333339</v>
      </c>
      <c r="K21" s="43" t="s">
        <v>138</v>
      </c>
      <c r="L21" s="19" t="str">
        <f t="shared" si="12"/>
        <v>D</v>
      </c>
      <c r="M21" s="18"/>
      <c r="N21" s="18"/>
      <c r="O21" s="22">
        <f t="shared" si="13"/>
        <v>0</v>
      </c>
      <c r="P21" s="22">
        <f t="shared" si="14"/>
        <v>0</v>
      </c>
    </row>
    <row r="22" spans="2:16" ht="64.5" thickBot="1" x14ac:dyDescent="0.3">
      <c r="B22" s="80" t="s">
        <v>112</v>
      </c>
      <c r="C22" s="42" t="s">
        <v>86</v>
      </c>
      <c r="D22" s="19">
        <f t="shared" si="10"/>
        <v>0</v>
      </c>
      <c r="E22" s="41"/>
      <c r="F22" s="41"/>
      <c r="G22" s="20">
        <v>2</v>
      </c>
      <c r="H22" s="21">
        <f t="shared" si="11"/>
        <v>0</v>
      </c>
      <c r="I22" s="105">
        <v>9.6666666666666661</v>
      </c>
      <c r="J22" s="106">
        <v>9.6666666666666661</v>
      </c>
      <c r="K22" s="43" t="s">
        <v>138</v>
      </c>
      <c r="L22" s="19" t="str">
        <f t="shared" si="12"/>
        <v>D</v>
      </c>
      <c r="M22" s="18"/>
      <c r="N22" s="18"/>
      <c r="O22" s="22">
        <f t="shared" si="13"/>
        <v>0</v>
      </c>
      <c r="P22" s="22">
        <f t="shared" si="14"/>
        <v>0</v>
      </c>
    </row>
    <row r="23" spans="2:16" ht="16.5" thickBot="1" x14ac:dyDescent="0.3">
      <c r="B23" s="109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  <c r="M23" s="18"/>
      <c r="N23" s="18"/>
      <c r="O23" s="18"/>
      <c r="P23" s="18"/>
    </row>
    <row r="24" spans="2:16" ht="16.5" thickBot="1" x14ac:dyDescent="0.3">
      <c r="B24" s="23" t="s">
        <v>30</v>
      </c>
      <c r="C24" s="36"/>
      <c r="D24" s="112">
        <f>(SUM(H20:H22)/SUM(G20:G22))</f>
        <v>0</v>
      </c>
      <c r="E24" s="112"/>
      <c r="F24" s="112"/>
      <c r="G24" s="113" t="s">
        <v>31</v>
      </c>
      <c r="H24" s="113"/>
      <c r="I24" s="79"/>
      <c r="J24" s="114"/>
      <c r="K24" s="114"/>
      <c r="L24" s="115"/>
      <c r="M24" s="18"/>
      <c r="N24" s="18"/>
      <c r="O24" s="18"/>
      <c r="P24" s="18"/>
    </row>
    <row r="25" spans="2:16" ht="16.5" thickBot="1" x14ac:dyDescent="0.3">
      <c r="B25" s="116"/>
      <c r="C25" s="117"/>
      <c r="D25" s="117"/>
      <c r="E25" s="117"/>
      <c r="F25" s="117"/>
      <c r="G25" s="117"/>
      <c r="H25" s="117"/>
      <c r="I25" s="127"/>
      <c r="J25" s="127"/>
      <c r="K25" s="127"/>
      <c r="L25" s="118"/>
      <c r="M25" s="18"/>
      <c r="N25" s="18"/>
      <c r="O25" s="18"/>
      <c r="P25" s="18"/>
    </row>
    <row r="26" spans="2:16" ht="51.75" thickBot="1" x14ac:dyDescent="0.3">
      <c r="B26" s="80" t="s">
        <v>113</v>
      </c>
      <c r="C26" s="40" t="s">
        <v>76</v>
      </c>
      <c r="D26" s="19">
        <f t="shared" ref="D26:D29" si="15">(E26+F26)/2</f>
        <v>0</v>
      </c>
      <c r="E26" s="41"/>
      <c r="F26" s="41"/>
      <c r="G26" s="20">
        <v>1</v>
      </c>
      <c r="H26" s="21">
        <f t="shared" ref="H26:H29" si="16">D26*G26</f>
        <v>0</v>
      </c>
      <c r="I26" s="105">
        <v>10.666666666666666</v>
      </c>
      <c r="J26" s="106">
        <v>10.666666666666666</v>
      </c>
      <c r="K26" s="43" t="s">
        <v>138</v>
      </c>
      <c r="L26" s="19" t="str">
        <f t="shared" ref="L26:L28" si="17">IF(D26&lt;10,"D",IF(D26&lt;12,"C",IF(D26&lt;14,"C+",IF(D26&lt;15,"B",IF(D26&lt;16,"B+",IF(D26&lt;18,"A",IF(D26&lt;20,"A+")))))))</f>
        <v>D</v>
      </c>
      <c r="M26" s="18"/>
      <c r="N26" s="18"/>
      <c r="O26" s="22">
        <f t="shared" ref="O26:O29" si="18">E26*G26</f>
        <v>0</v>
      </c>
      <c r="P26" s="22">
        <f t="shared" ref="P26:P29" si="19">F26*G26</f>
        <v>0</v>
      </c>
    </row>
    <row r="27" spans="2:16" ht="32.25" thickBot="1" x14ac:dyDescent="0.3">
      <c r="B27" s="80" t="s">
        <v>74</v>
      </c>
      <c r="C27" s="42" t="s">
        <v>87</v>
      </c>
      <c r="D27" s="19">
        <f t="shared" si="15"/>
        <v>0</v>
      </c>
      <c r="E27" s="41"/>
      <c r="F27" s="41"/>
      <c r="G27" s="20">
        <v>2</v>
      </c>
      <c r="H27" s="21">
        <f>D27*G27</f>
        <v>0</v>
      </c>
      <c r="I27" s="105">
        <v>14.416666666666666</v>
      </c>
      <c r="J27" s="106">
        <v>14.416666666666666</v>
      </c>
      <c r="K27" s="43" t="s">
        <v>138</v>
      </c>
      <c r="L27" s="19" t="str">
        <f t="shared" si="17"/>
        <v>D</v>
      </c>
      <c r="M27" s="18"/>
      <c r="N27" s="18"/>
      <c r="O27" s="22">
        <f t="shared" si="18"/>
        <v>0</v>
      </c>
      <c r="P27" s="22">
        <f t="shared" si="19"/>
        <v>0</v>
      </c>
    </row>
    <row r="28" spans="2:16" ht="39.75" customHeight="1" thickBot="1" x14ac:dyDescent="0.3">
      <c r="B28" s="80" t="s">
        <v>114</v>
      </c>
      <c r="C28" s="42" t="s">
        <v>88</v>
      </c>
      <c r="D28" s="19">
        <f t="shared" si="15"/>
        <v>0</v>
      </c>
      <c r="E28" s="41"/>
      <c r="F28" s="41"/>
      <c r="G28" s="20">
        <v>1</v>
      </c>
      <c r="H28" s="21">
        <f t="shared" si="16"/>
        <v>0</v>
      </c>
      <c r="I28" s="105">
        <v>12.75</v>
      </c>
      <c r="J28" s="106">
        <v>12.75</v>
      </c>
      <c r="K28" s="43" t="s">
        <v>138</v>
      </c>
      <c r="L28" s="19" t="str">
        <f t="shared" si="17"/>
        <v>D</v>
      </c>
      <c r="M28" s="18"/>
      <c r="N28" s="18"/>
      <c r="O28" s="22">
        <f t="shared" si="18"/>
        <v>0</v>
      </c>
      <c r="P28" s="22">
        <f t="shared" si="19"/>
        <v>0</v>
      </c>
    </row>
    <row r="29" spans="2:16" ht="39" thickBot="1" x14ac:dyDescent="0.3">
      <c r="B29" s="80" t="s">
        <v>115</v>
      </c>
      <c r="C29" s="42" t="s">
        <v>89</v>
      </c>
      <c r="D29" s="19">
        <f t="shared" si="15"/>
        <v>16.5</v>
      </c>
      <c r="E29" s="19">
        <v>16</v>
      </c>
      <c r="F29" s="19">
        <v>17</v>
      </c>
      <c r="G29" s="20">
        <v>1</v>
      </c>
      <c r="H29" s="21">
        <f t="shared" si="16"/>
        <v>16.5</v>
      </c>
      <c r="I29" s="105">
        <v>16.329999999999998</v>
      </c>
      <c r="J29" s="106"/>
      <c r="K29" s="43" t="s">
        <v>138</v>
      </c>
      <c r="L29" s="19" t="str">
        <f>IF(D29&lt;10,"D",IF(D29&lt;12,"C",IF(D29&lt;14,"C+",IF(D29&lt;15,"B",IF(D29&lt;16,"B+",IF(D29&lt;18,"A",IF(D29&lt;20,"A+")))))))</f>
        <v>A</v>
      </c>
      <c r="M29" s="18"/>
      <c r="N29" s="18"/>
      <c r="O29" s="22">
        <f t="shared" si="18"/>
        <v>16</v>
      </c>
      <c r="P29" s="22">
        <f t="shared" si="19"/>
        <v>17</v>
      </c>
    </row>
    <row r="30" spans="2:16" ht="16.5" thickBot="1" x14ac:dyDescent="0.3"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18"/>
      <c r="N30" s="18"/>
      <c r="O30" s="18">
        <f>SUM(O5:O29)</f>
        <v>16</v>
      </c>
      <c r="P30" s="18">
        <f>SUM(P5:P29)</f>
        <v>17</v>
      </c>
    </row>
    <row r="31" spans="2:16" ht="16.5" thickBot="1" x14ac:dyDescent="0.3">
      <c r="B31" s="27" t="s">
        <v>33</v>
      </c>
      <c r="C31" s="37"/>
      <c r="D31" s="112">
        <f>(SUM(H26:H29)/SUM(G26:G29))</f>
        <v>3.3</v>
      </c>
      <c r="E31" s="112"/>
      <c r="F31" s="112"/>
      <c r="G31" s="128" t="s">
        <v>31</v>
      </c>
      <c r="H31" s="128"/>
      <c r="I31" s="78"/>
      <c r="J31" s="129"/>
      <c r="K31" s="129"/>
      <c r="L31" s="130"/>
      <c r="M31" s="18"/>
      <c r="N31" s="18"/>
      <c r="O31" s="18">
        <v>29</v>
      </c>
      <c r="P31" s="18">
        <v>29</v>
      </c>
    </row>
    <row r="32" spans="2:16" ht="16.5" thickBot="1" x14ac:dyDescent="0.3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3"/>
      <c r="M32" s="18"/>
      <c r="N32" s="18"/>
      <c r="O32" s="18">
        <f>O30/O31</f>
        <v>0.55172413793103448</v>
      </c>
      <c r="P32" s="18">
        <f>P30/P31</f>
        <v>0.58620689655172409</v>
      </c>
    </row>
    <row r="33" spans="2:16" ht="48" thickBot="1" x14ac:dyDescent="0.3">
      <c r="B33" s="140" t="s">
        <v>36</v>
      </c>
      <c r="C33" s="130"/>
      <c r="D33" s="28" t="s">
        <v>37</v>
      </c>
      <c r="E33" s="35">
        <v>11.57</v>
      </c>
      <c r="F33" s="29" t="s">
        <v>38</v>
      </c>
      <c r="G33" s="129">
        <v>13.24</v>
      </c>
      <c r="H33" s="129"/>
      <c r="I33" s="29" t="s">
        <v>39</v>
      </c>
      <c r="J33" s="134">
        <v>9.66</v>
      </c>
      <c r="K33" s="129"/>
      <c r="L33" s="30"/>
      <c r="M33" s="31"/>
      <c r="N33" s="31"/>
      <c r="O33" s="31"/>
      <c r="P33" s="31"/>
    </row>
    <row r="34" spans="2:16" ht="15.75" x14ac:dyDescent="0.25">
      <c r="B34" s="65"/>
      <c r="C34" s="66"/>
      <c r="D34" s="67" t="s">
        <v>133</v>
      </c>
      <c r="E34" s="67" t="s">
        <v>134</v>
      </c>
      <c r="F34" s="66"/>
      <c r="G34" s="66"/>
      <c r="H34" s="68"/>
      <c r="I34" s="135"/>
      <c r="J34" s="136"/>
      <c r="K34" s="136"/>
      <c r="L34" s="137"/>
      <c r="M34" s="18"/>
      <c r="N34" s="18"/>
      <c r="O34" s="18"/>
      <c r="P34" s="18"/>
    </row>
    <row r="35" spans="2:16" ht="15.75" x14ac:dyDescent="0.25">
      <c r="B35" s="69" t="s">
        <v>40</v>
      </c>
      <c r="C35" s="70"/>
      <c r="D35" s="71">
        <f>O32</f>
        <v>0.55172413793103448</v>
      </c>
      <c r="E35" s="71">
        <f>P32</f>
        <v>0.58620689655172409</v>
      </c>
      <c r="F35" s="72" t="s">
        <v>136</v>
      </c>
      <c r="G35" s="73">
        <f>(H5+H6+H7+H8+H9+H13+H14+H15+H16+H20+H21+H22+H26+H27+H28+H29)/29</f>
        <v>0.56896551724137934</v>
      </c>
      <c r="H35" s="70" t="s">
        <v>41</v>
      </c>
      <c r="I35" s="138" t="s">
        <v>42</v>
      </c>
      <c r="J35" s="139"/>
      <c r="K35" s="32" t="s">
        <v>137</v>
      </c>
      <c r="L35" s="33" t="s">
        <v>135</v>
      </c>
      <c r="M35" s="18"/>
      <c r="N35" s="18"/>
      <c r="O35" s="18"/>
      <c r="P35" s="18"/>
    </row>
    <row r="36" spans="2:16" ht="16.5" thickBot="1" x14ac:dyDescent="0.3">
      <c r="B36" s="122"/>
      <c r="C36" s="123"/>
      <c r="D36" s="123"/>
      <c r="E36" s="123"/>
      <c r="F36" s="123"/>
      <c r="G36" s="123"/>
      <c r="H36" s="123"/>
      <c r="I36" s="124"/>
      <c r="J36" s="125"/>
      <c r="K36" s="125"/>
      <c r="L36" s="126"/>
      <c r="M36" s="18"/>
      <c r="N36" s="18"/>
      <c r="O36" s="18"/>
      <c r="P36" s="18"/>
    </row>
    <row r="37" spans="2:16" ht="16.5" thickBot="1" x14ac:dyDescent="0.3">
      <c r="B37" s="141" t="s">
        <v>43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3"/>
      <c r="M37" s="18"/>
      <c r="N37" s="18"/>
      <c r="O37" s="18"/>
      <c r="P37" s="18"/>
    </row>
    <row r="38" spans="2:16" ht="16.5" thickBot="1" x14ac:dyDescent="0.3">
      <c r="B38" s="140" t="s">
        <v>44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30"/>
      <c r="M38" s="18"/>
      <c r="N38" s="18"/>
      <c r="O38" s="18"/>
      <c r="P38" s="18"/>
    </row>
    <row r="39" spans="2:16" ht="16.5" thickBot="1" x14ac:dyDescent="0.3">
      <c r="B39" s="24" t="s">
        <v>45</v>
      </c>
      <c r="C39" s="28"/>
      <c r="D39" s="131" t="s">
        <v>46</v>
      </c>
      <c r="E39" s="132"/>
      <c r="F39" s="133"/>
      <c r="G39" s="144" t="s">
        <v>47</v>
      </c>
      <c r="H39" s="145"/>
      <c r="I39" s="145"/>
      <c r="J39" s="145"/>
      <c r="K39" s="145"/>
      <c r="L39" s="146"/>
      <c r="M39" s="18"/>
      <c r="N39" s="18"/>
      <c r="O39" s="18"/>
      <c r="P39" s="18"/>
    </row>
    <row r="40" spans="2:16" ht="16.5" thickBot="1" x14ac:dyDescent="0.3">
      <c r="B40" s="63" t="s">
        <v>48</v>
      </c>
      <c r="C40" s="161"/>
      <c r="D40" s="150" t="str">
        <f>IF(G35&lt;10,"CNA",IF(G35&lt;12,"CMA",IF(G35&lt;14,"CA",IF(G35&lt;16,"CBA",IF(G35&lt;20,"CTBA")))))</f>
        <v>CNA</v>
      </c>
      <c r="E40" s="151" t="e">
        <f>IF(#REF!&lt;10,"D",IF(#REF!&lt;12,"C",IF(#REF!&lt;14,"C+",IF(#REF!&lt;15,"B",IF(#REF!&lt;16,"B+",IF(#REF!&lt;18,"A",IF(#REF!&lt;20,"A+")))))))</f>
        <v>#REF!</v>
      </c>
      <c r="F40" s="152" t="e">
        <f>IF(#REF!&lt;10,"D",IF(#REF!&lt;12,"C",IF(#REF!&lt;14,"C+",IF(#REF!&lt;15,"B",IF(#REF!&lt;16,"B+",IF(#REF!&lt;18,"A",IF(#REF!&lt;20,"A+")))))))</f>
        <v>#REF!</v>
      </c>
      <c r="G40" s="147"/>
      <c r="H40" s="148"/>
      <c r="I40" s="148"/>
      <c r="J40" s="148"/>
      <c r="K40" s="148"/>
      <c r="L40" s="149"/>
      <c r="M40" s="18"/>
      <c r="N40" s="18"/>
      <c r="O40" s="18"/>
      <c r="P40" s="18"/>
    </row>
    <row r="41" spans="2:16" ht="16.5" thickBot="1" x14ac:dyDescent="0.3">
      <c r="B41" s="63" t="s">
        <v>49</v>
      </c>
      <c r="C41" s="162"/>
      <c r="D41" s="153" t="e">
        <f>IF(#REF!&lt;10,"D",IF(#REF!&lt;12,"C",IF(#REF!&lt;14,"C+",IF(#REF!&lt;15,"B",IF(#REF!&lt;16,"B+",IF(#REF!&lt;18,"A",IF(#REF!&lt;20,"A+")))))))</f>
        <v>#REF!</v>
      </c>
      <c r="E41" s="154" t="e">
        <f>IF(#REF!&lt;10,"D",IF(#REF!&lt;12,"C",IF(#REF!&lt;14,"C+",IF(#REF!&lt;15,"B",IF(#REF!&lt;16,"B+",IF(#REF!&lt;18,"A",IF(#REF!&lt;20,"A+")))))))</f>
        <v>#REF!</v>
      </c>
      <c r="F41" s="155" t="e">
        <f>IF(#REF!&lt;10,"D",IF(#REF!&lt;12,"C",IF(#REF!&lt;14,"C+",IF(#REF!&lt;15,"B",IF(#REF!&lt;16,"B+",IF(#REF!&lt;18,"A",IF(#REF!&lt;20,"A+")))))))</f>
        <v>#REF!</v>
      </c>
      <c r="G41" s="140" t="s">
        <v>50</v>
      </c>
      <c r="H41" s="129"/>
      <c r="I41" s="129"/>
      <c r="J41" s="130"/>
      <c r="K41" s="144" t="s">
        <v>51</v>
      </c>
      <c r="L41" s="146"/>
      <c r="M41" s="18"/>
      <c r="N41" s="18"/>
      <c r="O41" s="18"/>
      <c r="P41" s="18"/>
    </row>
    <row r="42" spans="2:16" ht="16.5" thickBot="1" x14ac:dyDescent="0.3">
      <c r="B42" s="64" t="s">
        <v>52</v>
      </c>
      <c r="C42" s="163"/>
      <c r="D42" s="156" t="e">
        <f>IF(#REF!&lt;10,"D",IF(#REF!&lt;12,"C",IF(#REF!&lt;14,"C+",IF(#REF!&lt;15,"B",IF(#REF!&lt;16,"B+",IF(#REF!&lt;18,"A",IF(#REF!&lt;20,"A+")))))))</f>
        <v>#REF!</v>
      </c>
      <c r="E42" s="157" t="e">
        <f>IF(#REF!&lt;10,"D",IF(#REF!&lt;12,"C",IF(#REF!&lt;14,"C+",IF(#REF!&lt;15,"B",IF(#REF!&lt;16,"B+",IF(#REF!&lt;18,"A",IF(#REF!&lt;20,"A+")))))))</f>
        <v>#REF!</v>
      </c>
      <c r="F42" s="158" t="e">
        <f>IF(#REF!&lt;10,"D",IF(#REF!&lt;12,"C",IF(#REF!&lt;14,"C+",IF(#REF!&lt;15,"B",IF(#REF!&lt;16,"B+",IF(#REF!&lt;18,"A",IF(#REF!&lt;20,"A+")))))))</f>
        <v>#REF!</v>
      </c>
      <c r="G42" s="140" t="s">
        <v>53</v>
      </c>
      <c r="H42" s="129"/>
      <c r="I42" s="129"/>
      <c r="J42" s="130"/>
      <c r="K42" s="159" t="s">
        <v>54</v>
      </c>
      <c r="L42" s="160"/>
      <c r="M42" s="18"/>
      <c r="N42" s="18"/>
      <c r="O42" s="18"/>
      <c r="P42" s="18"/>
    </row>
    <row r="43" spans="2:16" ht="16.5" thickBot="1" x14ac:dyDescent="0.3">
      <c r="B43" s="64" t="s">
        <v>55</v>
      </c>
      <c r="C43" s="146"/>
      <c r="D43" s="144" t="s">
        <v>56</v>
      </c>
      <c r="E43" s="145"/>
      <c r="F43" s="146"/>
      <c r="G43" s="140" t="s">
        <v>57</v>
      </c>
      <c r="H43" s="129"/>
      <c r="I43" s="129"/>
      <c r="J43" s="130"/>
      <c r="K43" s="159"/>
      <c r="L43" s="160"/>
      <c r="M43" s="18"/>
      <c r="N43" s="18"/>
      <c r="O43" s="18"/>
      <c r="P43" s="18"/>
    </row>
    <row r="44" spans="2:16" ht="16.5" thickBot="1" x14ac:dyDescent="0.3">
      <c r="B44" s="34" t="s">
        <v>58</v>
      </c>
      <c r="C44" s="103"/>
      <c r="D44" s="147"/>
      <c r="E44" s="148"/>
      <c r="F44" s="149"/>
      <c r="G44" s="140" t="s">
        <v>59</v>
      </c>
      <c r="H44" s="129"/>
      <c r="I44" s="129"/>
      <c r="J44" s="130"/>
      <c r="K44" s="168" t="s">
        <v>60</v>
      </c>
      <c r="L44" s="169"/>
      <c r="M44" s="18"/>
      <c r="N44" s="18"/>
      <c r="O44" s="18"/>
      <c r="P44" s="18"/>
    </row>
    <row r="45" spans="2:16" ht="31.5" x14ac:dyDescent="0.25">
      <c r="B45" s="24" t="s">
        <v>61</v>
      </c>
      <c r="C45" s="104"/>
      <c r="D45" s="135"/>
      <c r="E45" s="136"/>
      <c r="F45" s="137"/>
      <c r="G45" s="135"/>
      <c r="H45" s="136"/>
      <c r="I45" s="136"/>
      <c r="J45" s="137"/>
      <c r="K45" s="168" t="s">
        <v>62</v>
      </c>
      <c r="L45" s="169"/>
      <c r="M45" s="18"/>
      <c r="N45" s="18"/>
      <c r="O45" s="18"/>
      <c r="P45" s="18"/>
    </row>
    <row r="46" spans="2:16" ht="15.75" x14ac:dyDescent="0.25">
      <c r="B46" s="102"/>
      <c r="C46" s="102"/>
      <c r="D46" s="170"/>
      <c r="E46" s="171"/>
      <c r="F46" s="172"/>
      <c r="G46" s="170"/>
      <c r="H46" s="171"/>
      <c r="I46" s="171"/>
      <c r="J46" s="172"/>
      <c r="K46" s="164"/>
      <c r="L46" s="165"/>
      <c r="M46" s="18"/>
      <c r="N46" s="18"/>
      <c r="O46" s="18"/>
      <c r="P46" s="18"/>
    </row>
    <row r="47" spans="2:16" ht="15.75" x14ac:dyDescent="0.25">
      <c r="B47" s="102"/>
      <c r="C47" s="102"/>
      <c r="D47" s="170"/>
      <c r="E47" s="171"/>
      <c r="F47" s="172"/>
      <c r="G47" s="170"/>
      <c r="H47" s="171"/>
      <c r="I47" s="171"/>
      <c r="J47" s="172"/>
      <c r="K47" s="164"/>
      <c r="L47" s="165"/>
      <c r="M47" s="18"/>
      <c r="N47" s="18"/>
      <c r="O47" s="18"/>
      <c r="P47" s="18"/>
    </row>
    <row r="48" spans="2:16" ht="16.5" thickBot="1" x14ac:dyDescent="0.3">
      <c r="B48" s="103"/>
      <c r="C48" s="103"/>
      <c r="D48" s="173"/>
      <c r="E48" s="174"/>
      <c r="F48" s="175"/>
      <c r="G48" s="173"/>
      <c r="H48" s="174"/>
      <c r="I48" s="174"/>
      <c r="J48" s="175"/>
      <c r="K48" s="166"/>
      <c r="L48" s="167"/>
      <c r="M48" s="18"/>
      <c r="N48" s="18"/>
      <c r="O48" s="18"/>
      <c r="P48" s="18"/>
    </row>
  </sheetData>
  <mergeCells count="65">
    <mergeCell ref="D40:F42"/>
    <mergeCell ref="G41:J41"/>
    <mergeCell ref="K41:L41"/>
    <mergeCell ref="G42:J42"/>
    <mergeCell ref="K42:L4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D31:F31"/>
    <mergeCell ref="G31:H31"/>
    <mergeCell ref="J31:L31"/>
    <mergeCell ref="B32:L32"/>
    <mergeCell ref="B25:L25"/>
    <mergeCell ref="I26:J26"/>
    <mergeCell ref="I27:J27"/>
    <mergeCell ref="I28:J28"/>
    <mergeCell ref="I29:J29"/>
    <mergeCell ref="I34:L34"/>
    <mergeCell ref="I35:J35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  <mergeCell ref="C40:C42"/>
    <mergeCell ref="C43:C44"/>
    <mergeCell ref="K46:L48"/>
    <mergeCell ref="K44:L44"/>
    <mergeCell ref="D39:F39"/>
    <mergeCell ref="G39:L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13" zoomScale="50" zoomScaleNormal="50" workbookViewId="0">
      <selection activeCell="S28" sqref="S28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1" t="s">
        <v>24</v>
      </c>
      <c r="C4" s="38" t="s">
        <v>70</v>
      </c>
      <c r="D4" s="82" t="s">
        <v>132</v>
      </c>
      <c r="E4" s="82" t="s">
        <v>133</v>
      </c>
      <c r="F4" s="82" t="s">
        <v>134</v>
      </c>
      <c r="G4" s="82" t="s">
        <v>25</v>
      </c>
      <c r="H4" s="81" t="s">
        <v>26</v>
      </c>
      <c r="I4" s="107" t="s">
        <v>27</v>
      </c>
      <c r="J4" s="108"/>
      <c r="K4" s="82" t="s">
        <v>21</v>
      </c>
      <c r="L4" s="82" t="s">
        <v>28</v>
      </c>
      <c r="M4" s="18"/>
      <c r="N4" s="18"/>
      <c r="O4" s="18"/>
      <c r="P4" s="18"/>
    </row>
    <row r="5" spans="2:16" ht="43.5" customHeight="1" thickBot="1" x14ac:dyDescent="0.3">
      <c r="B5" s="80" t="s">
        <v>71</v>
      </c>
      <c r="C5" s="40" t="s">
        <v>77</v>
      </c>
      <c r="D5" s="41">
        <v>8</v>
      </c>
      <c r="E5" s="41">
        <v>8</v>
      </c>
      <c r="F5" s="41"/>
      <c r="G5" s="20">
        <v>3</v>
      </c>
      <c r="H5" s="21">
        <f>D5*G5</f>
        <v>24</v>
      </c>
      <c r="I5" s="105">
        <v>12.166666666666666</v>
      </c>
      <c r="J5" s="106">
        <v>12.166666666666666</v>
      </c>
      <c r="K5" s="43" t="s">
        <v>124</v>
      </c>
      <c r="L5" s="19" t="str">
        <f>IF(D5&lt;10,"D",IF(D5&lt;12,"C",IF(D5&lt;14,"C+",IF(D5&lt;15,"B",IF(D5&lt;16,"B+",IF(D5&lt;18,"A",IF(D5&lt;20,"A+")))))))</f>
        <v>D</v>
      </c>
      <c r="M5" s="18"/>
      <c r="N5" s="18"/>
      <c r="O5" s="22">
        <f>E5*G5</f>
        <v>24</v>
      </c>
      <c r="P5" s="22">
        <f>F5*G5</f>
        <v>0</v>
      </c>
    </row>
    <row r="6" spans="2:16" ht="32.25" thickBot="1" x14ac:dyDescent="0.3">
      <c r="B6" s="80" t="s">
        <v>116</v>
      </c>
      <c r="C6" s="40" t="s">
        <v>78</v>
      </c>
      <c r="D6" s="41">
        <v>15</v>
      </c>
      <c r="E6" s="41">
        <v>15</v>
      </c>
      <c r="F6" s="41"/>
      <c r="G6" s="20">
        <v>1</v>
      </c>
      <c r="H6" s="21">
        <f t="shared" ref="H6:H9" si="0">D6*G6</f>
        <v>15</v>
      </c>
      <c r="I6" s="105">
        <v>14.166666666666666</v>
      </c>
      <c r="J6" s="106">
        <v>14.166666666666666</v>
      </c>
      <c r="K6" s="43" t="s">
        <v>139</v>
      </c>
      <c r="L6" s="19" t="str">
        <f t="shared" ref="L6:L9" si="1">IF(D6&lt;10,"D",IF(D6&lt;12,"C",IF(D6&lt;14,"C+",IF(D6&lt;15,"B",IF(D6&lt;16,"B+",IF(D6&lt;18,"A",IF(D6&lt;20,"A+")))))))</f>
        <v>B+</v>
      </c>
      <c r="M6" s="18"/>
      <c r="N6" s="18"/>
      <c r="O6" s="22">
        <f t="shared" ref="O6:O9" si="2">E6*G6</f>
        <v>15</v>
      </c>
      <c r="P6" s="22">
        <f t="shared" ref="P6:P9" si="3">F6*G6</f>
        <v>0</v>
      </c>
    </row>
    <row r="7" spans="2:16" ht="32.25" thickBot="1" x14ac:dyDescent="0.3">
      <c r="B7" s="80" t="s">
        <v>117</v>
      </c>
      <c r="C7" s="40" t="s">
        <v>79</v>
      </c>
      <c r="D7" s="41">
        <v>10</v>
      </c>
      <c r="E7" s="41">
        <v>10</v>
      </c>
      <c r="F7" s="41"/>
      <c r="G7" s="20">
        <v>2</v>
      </c>
      <c r="H7" s="21">
        <f t="shared" si="0"/>
        <v>20</v>
      </c>
      <c r="I7" s="105">
        <v>10.833333333333334</v>
      </c>
      <c r="J7" s="106">
        <v>10.833333333333334</v>
      </c>
      <c r="K7" s="43" t="s">
        <v>124</v>
      </c>
      <c r="L7" s="19" t="str">
        <f t="shared" si="1"/>
        <v>C</v>
      </c>
      <c r="M7" s="18"/>
      <c r="N7" s="18"/>
      <c r="O7" s="22">
        <f t="shared" si="2"/>
        <v>20</v>
      </c>
      <c r="P7" s="22">
        <f t="shared" si="3"/>
        <v>0</v>
      </c>
    </row>
    <row r="8" spans="2:16" ht="39" thickBot="1" x14ac:dyDescent="0.3">
      <c r="B8" s="80" t="s">
        <v>118</v>
      </c>
      <c r="C8" s="40" t="s">
        <v>80</v>
      </c>
      <c r="D8" s="41">
        <v>10</v>
      </c>
      <c r="E8" s="41">
        <v>10</v>
      </c>
      <c r="F8" s="41"/>
      <c r="G8" s="20">
        <v>2</v>
      </c>
      <c r="H8" s="21">
        <f t="shared" si="0"/>
        <v>20</v>
      </c>
      <c r="I8" s="105">
        <v>11.5</v>
      </c>
      <c r="J8" s="106">
        <v>11.5</v>
      </c>
      <c r="K8" s="43" t="s">
        <v>125</v>
      </c>
      <c r="L8" s="19" t="str">
        <f t="shared" si="1"/>
        <v>C</v>
      </c>
      <c r="M8" s="18"/>
      <c r="N8" s="18"/>
      <c r="O8" s="22">
        <f t="shared" si="2"/>
        <v>20</v>
      </c>
      <c r="P8" s="22">
        <f t="shared" si="3"/>
        <v>0</v>
      </c>
    </row>
    <row r="9" spans="2:16" ht="39" thickBot="1" x14ac:dyDescent="0.3">
      <c r="B9" s="80" t="s">
        <v>119</v>
      </c>
      <c r="C9" s="40" t="s">
        <v>80</v>
      </c>
      <c r="D9" s="41">
        <v>15</v>
      </c>
      <c r="E9" s="41">
        <v>15</v>
      </c>
      <c r="F9" s="41"/>
      <c r="G9" s="20">
        <v>1</v>
      </c>
      <c r="H9" s="21">
        <f t="shared" si="0"/>
        <v>15</v>
      </c>
      <c r="I9" s="105">
        <v>15.666666666666666</v>
      </c>
      <c r="J9" s="106">
        <v>15.666666666666666</v>
      </c>
      <c r="K9" s="43" t="s">
        <v>125</v>
      </c>
      <c r="L9" s="19" t="str">
        <f t="shared" si="1"/>
        <v>B+</v>
      </c>
      <c r="M9" s="18"/>
      <c r="N9" s="18"/>
      <c r="O9" s="22">
        <f t="shared" si="2"/>
        <v>15</v>
      </c>
      <c r="P9" s="22">
        <f t="shared" si="3"/>
        <v>0</v>
      </c>
    </row>
    <row r="10" spans="2:16" ht="16.5" thickBot="1" x14ac:dyDescent="0.3">
      <c r="B10" s="109" t="s">
        <v>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  <c r="M10" s="18"/>
      <c r="N10" s="18"/>
      <c r="O10" s="18"/>
      <c r="P10" s="18"/>
    </row>
    <row r="11" spans="2:16" ht="16.5" thickBot="1" x14ac:dyDescent="0.3">
      <c r="B11" s="23" t="s">
        <v>30</v>
      </c>
      <c r="C11" s="36"/>
      <c r="D11" s="112">
        <f>(SUM(H5:H9)/SUM(G5:G9))</f>
        <v>10.444444444444445</v>
      </c>
      <c r="E11" s="112"/>
      <c r="F11" s="112"/>
      <c r="G11" s="113" t="s">
        <v>31</v>
      </c>
      <c r="H11" s="113"/>
      <c r="I11" s="79"/>
      <c r="J11" s="114"/>
      <c r="K11" s="114"/>
      <c r="L11" s="115"/>
      <c r="M11" s="18"/>
      <c r="N11" s="18"/>
      <c r="O11" s="18"/>
      <c r="P11" s="18"/>
    </row>
    <row r="12" spans="2:16" ht="16.5" thickBot="1" x14ac:dyDescent="0.3">
      <c r="B12" s="116"/>
      <c r="C12" s="117"/>
      <c r="D12" s="117"/>
      <c r="E12" s="117"/>
      <c r="F12" s="117"/>
      <c r="G12" s="117"/>
      <c r="H12" s="117"/>
      <c r="I12" s="117"/>
      <c r="J12" s="117"/>
      <c r="K12" s="117"/>
      <c r="L12" s="118"/>
      <c r="M12" s="18"/>
      <c r="N12" s="18"/>
      <c r="O12" s="18"/>
      <c r="P12" s="18"/>
    </row>
    <row r="13" spans="2:16" ht="32.25" thickBot="1" x14ac:dyDescent="0.3">
      <c r="B13" s="80" t="s">
        <v>109</v>
      </c>
      <c r="C13" s="40" t="s">
        <v>81</v>
      </c>
      <c r="D13" s="41">
        <v>7</v>
      </c>
      <c r="E13" s="41">
        <v>7</v>
      </c>
      <c r="F13" s="41"/>
      <c r="G13" s="20">
        <v>2</v>
      </c>
      <c r="H13" s="21">
        <f t="shared" ref="H13:H16" si="4">D13*G13</f>
        <v>14</v>
      </c>
      <c r="I13" s="105">
        <v>11.083333333333334</v>
      </c>
      <c r="J13" s="106">
        <v>11.083333333333334</v>
      </c>
      <c r="K13" s="43" t="s">
        <v>125</v>
      </c>
      <c r="L13" s="19" t="str">
        <f t="shared" ref="L13:L16" si="5">IF(D13&lt;10,"D",IF(D13&lt;12,"C",IF(D13&lt;14,"C+",IF(D13&lt;15,"B",IF(D13&lt;16,"B+",IF(D13&lt;18,"A",IF(D13&lt;20,"A+")))))))</f>
        <v>D</v>
      </c>
      <c r="M13" s="18"/>
      <c r="N13" s="18"/>
      <c r="O13" s="22">
        <f t="shared" ref="O13:O16" si="6">E13*G13</f>
        <v>14</v>
      </c>
      <c r="P13" s="22">
        <f t="shared" ref="P13:P16" si="7">F13*G13</f>
        <v>0</v>
      </c>
    </row>
    <row r="14" spans="2:16" ht="32.25" thickBot="1" x14ac:dyDescent="0.3">
      <c r="B14" s="80" t="s">
        <v>72</v>
      </c>
      <c r="C14" s="42" t="s">
        <v>82</v>
      </c>
      <c r="D14" s="41">
        <v>12</v>
      </c>
      <c r="E14" s="41">
        <v>12</v>
      </c>
      <c r="F14" s="41"/>
      <c r="G14" s="20">
        <v>2</v>
      </c>
      <c r="H14" s="21">
        <f t="shared" si="4"/>
        <v>24</v>
      </c>
      <c r="I14" s="105">
        <v>11.833333333333334</v>
      </c>
      <c r="J14" s="106">
        <v>11.833333333333334</v>
      </c>
      <c r="K14" s="43" t="s">
        <v>124</v>
      </c>
      <c r="L14" s="19" t="str">
        <f t="shared" si="5"/>
        <v>C+</v>
      </c>
      <c r="M14" s="18"/>
      <c r="N14" s="18"/>
      <c r="O14" s="22">
        <f t="shared" si="6"/>
        <v>24</v>
      </c>
      <c r="P14" s="22">
        <f t="shared" si="7"/>
        <v>0</v>
      </c>
    </row>
    <row r="15" spans="2:16" ht="37.5" customHeight="1" thickBot="1" x14ac:dyDescent="0.3">
      <c r="B15" s="80" t="s">
        <v>73</v>
      </c>
      <c r="C15" s="42" t="s">
        <v>83</v>
      </c>
      <c r="D15" s="41">
        <v>6</v>
      </c>
      <c r="E15" s="41">
        <v>6</v>
      </c>
      <c r="F15" s="41"/>
      <c r="G15" s="20">
        <v>2</v>
      </c>
      <c r="H15" s="21">
        <f t="shared" si="4"/>
        <v>12</v>
      </c>
      <c r="I15" s="105">
        <v>10.666666666666666</v>
      </c>
      <c r="J15" s="106">
        <v>10.666666666666666</v>
      </c>
      <c r="K15" s="43" t="s">
        <v>125</v>
      </c>
      <c r="L15" s="19" t="str">
        <f t="shared" si="5"/>
        <v>D</v>
      </c>
      <c r="M15" s="18"/>
      <c r="N15" s="18"/>
      <c r="O15" s="22">
        <f t="shared" si="6"/>
        <v>12</v>
      </c>
      <c r="P15" s="22">
        <f t="shared" si="7"/>
        <v>0</v>
      </c>
    </row>
    <row r="16" spans="2:16" ht="32.25" thickBot="1" x14ac:dyDescent="0.3">
      <c r="B16" s="80" t="s">
        <v>110</v>
      </c>
      <c r="C16" s="39" t="s">
        <v>75</v>
      </c>
      <c r="D16" s="19">
        <v>11</v>
      </c>
      <c r="E16" s="19">
        <v>11</v>
      </c>
      <c r="F16" s="19"/>
      <c r="G16" s="20">
        <v>1</v>
      </c>
      <c r="H16" s="21">
        <f t="shared" si="4"/>
        <v>11</v>
      </c>
      <c r="I16" s="105">
        <v>11</v>
      </c>
      <c r="J16" s="106">
        <v>8.3333333333333339</v>
      </c>
      <c r="K16" s="43" t="s">
        <v>139</v>
      </c>
      <c r="L16" s="19" t="str">
        <f t="shared" si="5"/>
        <v>C</v>
      </c>
      <c r="M16" s="18"/>
      <c r="N16" s="18"/>
      <c r="O16" s="22">
        <f t="shared" si="6"/>
        <v>11</v>
      </c>
      <c r="P16" s="22">
        <f t="shared" si="7"/>
        <v>0</v>
      </c>
    </row>
    <row r="17" spans="2:16" ht="16.5" thickBot="1" x14ac:dyDescent="0.3">
      <c r="B17" s="109" t="s">
        <v>32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8"/>
      <c r="N17" s="18"/>
      <c r="O17" s="18"/>
      <c r="P17" s="18"/>
    </row>
    <row r="18" spans="2:16" ht="16.5" thickBot="1" x14ac:dyDescent="0.3">
      <c r="B18" s="23" t="s">
        <v>33</v>
      </c>
      <c r="C18" s="36"/>
      <c r="D18" s="112">
        <f>(SUM(H13:H16)/SUM(G13:G16))</f>
        <v>8.7142857142857135</v>
      </c>
      <c r="E18" s="112"/>
      <c r="F18" s="112"/>
      <c r="G18" s="113" t="s">
        <v>31</v>
      </c>
      <c r="H18" s="113"/>
      <c r="I18" s="79"/>
      <c r="J18" s="114"/>
      <c r="K18" s="114"/>
      <c r="L18" s="115"/>
      <c r="M18" s="18"/>
      <c r="N18" s="18"/>
      <c r="O18" s="18"/>
      <c r="P18" s="18"/>
    </row>
    <row r="19" spans="2:16" ht="16.5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1"/>
      <c r="M19" s="18"/>
      <c r="N19" s="18"/>
      <c r="O19" s="18"/>
      <c r="P19" s="18"/>
    </row>
    <row r="20" spans="2:16" ht="51.75" thickBot="1" x14ac:dyDescent="0.3">
      <c r="B20" s="80" t="s">
        <v>120</v>
      </c>
      <c r="C20" s="42" t="s">
        <v>84</v>
      </c>
      <c r="D20" s="41">
        <v>10</v>
      </c>
      <c r="E20" s="41">
        <v>10</v>
      </c>
      <c r="F20" s="41"/>
      <c r="G20" s="20">
        <v>2</v>
      </c>
      <c r="H20" s="21">
        <f t="shared" ref="H20:H22" si="8">D20*G20</f>
        <v>20</v>
      </c>
      <c r="I20" s="105">
        <v>12.083333333333334</v>
      </c>
      <c r="J20" s="106">
        <v>12.083333333333334</v>
      </c>
      <c r="K20" s="43" t="s">
        <v>124</v>
      </c>
      <c r="L20" s="19" t="str">
        <f t="shared" ref="L20:L22" si="9">IF(D20&lt;10,"D",IF(D20&lt;12,"C",IF(D20&lt;14,"C+",IF(D20&lt;15,"B",IF(D20&lt;16,"B+",IF(D20&lt;18,"A",IF(D20&lt;20,"A+")))))))</f>
        <v>C</v>
      </c>
      <c r="M20" s="18"/>
      <c r="N20" s="18"/>
      <c r="O20" s="22">
        <f t="shared" ref="O20:O22" si="10">E20*G20</f>
        <v>20</v>
      </c>
      <c r="P20" s="22">
        <f t="shared" ref="P20:P22" si="11">F20*G20</f>
        <v>0</v>
      </c>
    </row>
    <row r="21" spans="2:16" ht="64.5" thickBot="1" x14ac:dyDescent="0.3">
      <c r="B21" s="80" t="s">
        <v>111</v>
      </c>
      <c r="C21" s="42" t="s">
        <v>85</v>
      </c>
      <c r="D21" s="41">
        <v>6</v>
      </c>
      <c r="E21" s="41">
        <v>6</v>
      </c>
      <c r="F21" s="41"/>
      <c r="G21" s="20">
        <v>4</v>
      </c>
      <c r="H21" s="21">
        <f t="shared" si="8"/>
        <v>24</v>
      </c>
      <c r="I21" s="105">
        <v>8.5833333333333339</v>
      </c>
      <c r="J21" s="106">
        <v>8.5833333333333339</v>
      </c>
      <c r="K21" s="43" t="s">
        <v>125</v>
      </c>
      <c r="L21" s="19" t="str">
        <f t="shared" si="9"/>
        <v>D</v>
      </c>
      <c r="M21" s="18"/>
      <c r="N21" s="18"/>
      <c r="O21" s="22">
        <f t="shared" si="10"/>
        <v>24</v>
      </c>
      <c r="P21" s="22">
        <f t="shared" si="11"/>
        <v>0</v>
      </c>
    </row>
    <row r="22" spans="2:16" ht="64.5" thickBot="1" x14ac:dyDescent="0.3">
      <c r="B22" s="80" t="s">
        <v>112</v>
      </c>
      <c r="C22" s="42" t="s">
        <v>86</v>
      </c>
      <c r="D22" s="41">
        <v>7</v>
      </c>
      <c r="E22" s="41">
        <v>7</v>
      </c>
      <c r="F22" s="41"/>
      <c r="G22" s="20">
        <v>2</v>
      </c>
      <c r="H22" s="21">
        <f t="shared" si="8"/>
        <v>14</v>
      </c>
      <c r="I22" s="105">
        <v>9.6666666666666661</v>
      </c>
      <c r="J22" s="106">
        <v>9.6666666666666661</v>
      </c>
      <c r="K22" s="43" t="s">
        <v>125</v>
      </c>
      <c r="L22" s="19" t="str">
        <f t="shared" si="9"/>
        <v>D</v>
      </c>
      <c r="M22" s="18"/>
      <c r="N22" s="18"/>
      <c r="O22" s="22">
        <f t="shared" si="10"/>
        <v>14</v>
      </c>
      <c r="P22" s="22">
        <f t="shared" si="11"/>
        <v>0</v>
      </c>
    </row>
    <row r="23" spans="2:16" ht="16.5" thickBot="1" x14ac:dyDescent="0.3">
      <c r="B23" s="109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  <c r="M23" s="18"/>
      <c r="N23" s="18"/>
      <c r="O23" s="18"/>
      <c r="P23" s="18"/>
    </row>
    <row r="24" spans="2:16" ht="16.5" thickBot="1" x14ac:dyDescent="0.3">
      <c r="B24" s="23" t="s">
        <v>30</v>
      </c>
      <c r="C24" s="36"/>
      <c r="D24" s="112">
        <f>(SUM(H20:H22)/SUM(G20:G22))</f>
        <v>7.25</v>
      </c>
      <c r="E24" s="112"/>
      <c r="F24" s="112"/>
      <c r="G24" s="113" t="s">
        <v>31</v>
      </c>
      <c r="H24" s="113"/>
      <c r="I24" s="79"/>
      <c r="J24" s="114"/>
      <c r="K24" s="114"/>
      <c r="L24" s="115"/>
      <c r="M24" s="18"/>
      <c r="N24" s="18"/>
      <c r="O24" s="18"/>
      <c r="P24" s="18"/>
    </row>
    <row r="25" spans="2:16" ht="16.5" thickBot="1" x14ac:dyDescent="0.3">
      <c r="B25" s="116"/>
      <c r="C25" s="117"/>
      <c r="D25" s="117"/>
      <c r="E25" s="117"/>
      <c r="F25" s="117"/>
      <c r="G25" s="117"/>
      <c r="H25" s="117"/>
      <c r="I25" s="127"/>
      <c r="J25" s="127"/>
      <c r="K25" s="127"/>
      <c r="L25" s="118"/>
      <c r="M25" s="18"/>
      <c r="N25" s="18"/>
      <c r="O25" s="18"/>
      <c r="P25" s="18"/>
    </row>
    <row r="26" spans="2:16" ht="51.75" thickBot="1" x14ac:dyDescent="0.3">
      <c r="B26" s="80" t="s">
        <v>113</v>
      </c>
      <c r="C26" s="40" t="s">
        <v>76</v>
      </c>
      <c r="D26" s="41">
        <v>12</v>
      </c>
      <c r="E26" s="41">
        <v>12</v>
      </c>
      <c r="F26" s="41"/>
      <c r="G26" s="20">
        <v>1</v>
      </c>
      <c r="H26" s="21">
        <f t="shared" ref="H26:H29" si="12">D26*G26</f>
        <v>12</v>
      </c>
      <c r="I26" s="105">
        <v>10.666666666666666</v>
      </c>
      <c r="J26" s="106">
        <v>10.666666666666666</v>
      </c>
      <c r="K26" s="43" t="s">
        <v>124</v>
      </c>
      <c r="L26" s="19" t="str">
        <f t="shared" ref="L26:L28" si="13">IF(D26&lt;10,"D",IF(D26&lt;12,"C",IF(D26&lt;14,"C+",IF(D26&lt;15,"B",IF(D26&lt;16,"B+",IF(D26&lt;18,"A",IF(D26&lt;20,"A+")))))))</f>
        <v>C+</v>
      </c>
      <c r="M26" s="18"/>
      <c r="N26" s="18"/>
      <c r="O26" s="22">
        <f t="shared" ref="O26:O29" si="14">E26*G26</f>
        <v>12</v>
      </c>
      <c r="P26" s="22">
        <f t="shared" ref="P26:P29" si="15">F26*G26</f>
        <v>0</v>
      </c>
    </row>
    <row r="27" spans="2:16" ht="32.25" thickBot="1" x14ac:dyDescent="0.3">
      <c r="B27" s="80" t="s">
        <v>74</v>
      </c>
      <c r="C27" s="42" t="s">
        <v>87</v>
      </c>
      <c r="D27" s="41">
        <v>14</v>
      </c>
      <c r="E27" s="41">
        <v>14</v>
      </c>
      <c r="F27" s="41"/>
      <c r="G27" s="20">
        <v>2</v>
      </c>
      <c r="H27" s="21">
        <f>D27*G27</f>
        <v>28</v>
      </c>
      <c r="I27" s="105">
        <v>14.416666666666666</v>
      </c>
      <c r="J27" s="106">
        <v>14.416666666666666</v>
      </c>
      <c r="K27" s="43" t="s">
        <v>124</v>
      </c>
      <c r="L27" s="19" t="str">
        <f t="shared" si="13"/>
        <v>B</v>
      </c>
      <c r="M27" s="18"/>
      <c r="N27" s="18"/>
      <c r="O27" s="22">
        <f t="shared" si="14"/>
        <v>28</v>
      </c>
      <c r="P27" s="22">
        <f t="shared" si="15"/>
        <v>0</v>
      </c>
    </row>
    <row r="28" spans="2:16" ht="39.75" customHeight="1" thickBot="1" x14ac:dyDescent="0.3">
      <c r="B28" s="80" t="s">
        <v>114</v>
      </c>
      <c r="C28" s="42" t="s">
        <v>88</v>
      </c>
      <c r="D28" s="41">
        <v>11</v>
      </c>
      <c r="E28" s="41">
        <v>11</v>
      </c>
      <c r="F28" s="41"/>
      <c r="G28" s="20">
        <v>1</v>
      </c>
      <c r="H28" s="21">
        <f t="shared" si="12"/>
        <v>11</v>
      </c>
      <c r="I28" s="105">
        <v>12.75</v>
      </c>
      <c r="J28" s="106">
        <v>12.75</v>
      </c>
      <c r="K28" s="43" t="s">
        <v>123</v>
      </c>
      <c r="L28" s="19" t="str">
        <f t="shared" si="13"/>
        <v>C</v>
      </c>
      <c r="M28" s="18"/>
      <c r="N28" s="18"/>
      <c r="O28" s="22">
        <f t="shared" si="14"/>
        <v>11</v>
      </c>
      <c r="P28" s="22">
        <f t="shared" si="15"/>
        <v>0</v>
      </c>
    </row>
    <row r="29" spans="2:16" ht="39" thickBot="1" x14ac:dyDescent="0.3">
      <c r="B29" s="80" t="s">
        <v>115</v>
      </c>
      <c r="C29" s="42" t="s">
        <v>89</v>
      </c>
      <c r="D29" s="19">
        <v>16</v>
      </c>
      <c r="E29" s="19">
        <v>16</v>
      </c>
      <c r="F29" s="19"/>
      <c r="G29" s="20">
        <v>1</v>
      </c>
      <c r="H29" s="21">
        <f t="shared" si="12"/>
        <v>16</v>
      </c>
      <c r="I29" s="105">
        <v>16.329999999999998</v>
      </c>
      <c r="J29" s="106"/>
      <c r="K29" s="43" t="s">
        <v>125</v>
      </c>
      <c r="L29" s="19" t="str">
        <f>IF(D29&lt;10,"D",IF(D29&lt;12,"C",IF(D29&lt;14,"C+",IF(D29&lt;15,"B",IF(D29&lt;16,"B+",IF(D29&lt;18,"A",IF(D29&lt;20,"A+")))))))</f>
        <v>A</v>
      </c>
      <c r="M29" s="18"/>
      <c r="N29" s="18"/>
      <c r="O29" s="22">
        <f t="shared" si="14"/>
        <v>16</v>
      </c>
      <c r="P29" s="22">
        <f t="shared" si="15"/>
        <v>0</v>
      </c>
    </row>
    <row r="30" spans="2:16" ht="16.5" thickBot="1" x14ac:dyDescent="0.3"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18"/>
      <c r="N30" s="18"/>
      <c r="O30" s="18">
        <f>SUM(O5:O29)</f>
        <v>280</v>
      </c>
      <c r="P30" s="18">
        <f>SUM(P5:P29)</f>
        <v>0</v>
      </c>
    </row>
    <row r="31" spans="2:16" ht="16.5" thickBot="1" x14ac:dyDescent="0.3">
      <c r="B31" s="27" t="s">
        <v>33</v>
      </c>
      <c r="C31" s="37"/>
      <c r="D31" s="112">
        <f>(SUM(H26:H29)/SUM(G26:G29))</f>
        <v>13.4</v>
      </c>
      <c r="E31" s="112"/>
      <c r="F31" s="112"/>
      <c r="G31" s="128" t="s">
        <v>31</v>
      </c>
      <c r="H31" s="128"/>
      <c r="I31" s="78"/>
      <c r="J31" s="129"/>
      <c r="K31" s="129"/>
      <c r="L31" s="130"/>
      <c r="M31" s="18"/>
      <c r="N31" s="18"/>
      <c r="O31" s="18">
        <v>29</v>
      </c>
      <c r="P31" s="18">
        <v>29</v>
      </c>
    </row>
    <row r="32" spans="2:16" ht="16.5" thickBot="1" x14ac:dyDescent="0.3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3"/>
      <c r="M32" s="18"/>
      <c r="N32" s="18"/>
      <c r="O32" s="18">
        <f>O30/O31</f>
        <v>9.6551724137931032</v>
      </c>
      <c r="P32" s="18">
        <f>P30/P31</f>
        <v>0</v>
      </c>
    </row>
    <row r="33" spans="2:16" ht="48" thickBot="1" x14ac:dyDescent="0.3">
      <c r="B33" s="140" t="s">
        <v>36</v>
      </c>
      <c r="C33" s="130"/>
      <c r="D33" s="28" t="s">
        <v>37</v>
      </c>
      <c r="E33" s="35">
        <v>11.57</v>
      </c>
      <c r="F33" s="29" t="s">
        <v>38</v>
      </c>
      <c r="G33" s="129">
        <v>13.24</v>
      </c>
      <c r="H33" s="129"/>
      <c r="I33" s="29" t="s">
        <v>39</v>
      </c>
      <c r="J33" s="134">
        <v>9.66</v>
      </c>
      <c r="K33" s="129"/>
      <c r="L33" s="30"/>
      <c r="M33" s="31"/>
      <c r="N33" s="31"/>
      <c r="O33" s="31"/>
      <c r="P33" s="31"/>
    </row>
    <row r="34" spans="2:16" ht="15.75" x14ac:dyDescent="0.25">
      <c r="B34" s="65"/>
      <c r="C34" s="66"/>
      <c r="D34" s="67" t="s">
        <v>133</v>
      </c>
      <c r="E34" s="67" t="s">
        <v>134</v>
      </c>
      <c r="F34" s="66"/>
      <c r="G34" s="66"/>
      <c r="H34" s="68"/>
      <c r="I34" s="135"/>
      <c r="J34" s="136"/>
      <c r="K34" s="136"/>
      <c r="L34" s="137"/>
      <c r="M34" s="18"/>
      <c r="N34" s="18"/>
      <c r="O34" s="18"/>
      <c r="P34" s="18"/>
    </row>
    <row r="35" spans="2:16" ht="15.75" x14ac:dyDescent="0.25">
      <c r="B35" s="69" t="s">
        <v>40</v>
      </c>
      <c r="C35" s="70"/>
      <c r="D35" s="71">
        <f>O32</f>
        <v>9.6551724137931032</v>
      </c>
      <c r="E35" s="71"/>
      <c r="F35" s="72" t="s">
        <v>136</v>
      </c>
      <c r="G35" s="73">
        <f>(H5+H6+H7+H8+H9+H13+H14+H15+H16+H20+H21+H22+H26+H27+H28+H29)/29</f>
        <v>9.6551724137931032</v>
      </c>
      <c r="H35" s="70" t="s">
        <v>41</v>
      </c>
      <c r="I35" s="138" t="s">
        <v>42</v>
      </c>
      <c r="J35" s="139"/>
      <c r="K35" s="32" t="s">
        <v>103</v>
      </c>
      <c r="L35" s="33" t="s">
        <v>135</v>
      </c>
      <c r="M35" s="18"/>
      <c r="N35" s="18"/>
      <c r="O35" s="18"/>
      <c r="P35" s="18"/>
    </row>
    <row r="36" spans="2:16" ht="16.5" thickBot="1" x14ac:dyDescent="0.3">
      <c r="B36" s="122"/>
      <c r="C36" s="123"/>
      <c r="D36" s="123"/>
      <c r="E36" s="123"/>
      <c r="F36" s="123"/>
      <c r="G36" s="123"/>
      <c r="H36" s="123"/>
      <c r="I36" s="124"/>
      <c r="J36" s="125"/>
      <c r="K36" s="125"/>
      <c r="L36" s="126"/>
      <c r="M36" s="18"/>
      <c r="N36" s="18"/>
      <c r="O36" s="18"/>
      <c r="P36" s="18"/>
    </row>
    <row r="37" spans="2:16" ht="16.5" thickBot="1" x14ac:dyDescent="0.3">
      <c r="B37" s="141" t="s">
        <v>43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3"/>
      <c r="M37" s="18"/>
      <c r="N37" s="18"/>
      <c r="O37" s="18"/>
      <c r="P37" s="18"/>
    </row>
    <row r="38" spans="2:16" ht="16.5" thickBot="1" x14ac:dyDescent="0.3">
      <c r="B38" s="140" t="s">
        <v>44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30"/>
      <c r="M38" s="18"/>
      <c r="N38" s="18"/>
      <c r="O38" s="18"/>
      <c r="P38" s="18"/>
    </row>
    <row r="39" spans="2:16" ht="16.5" thickBot="1" x14ac:dyDescent="0.3">
      <c r="B39" s="24" t="s">
        <v>45</v>
      </c>
      <c r="C39" s="28"/>
      <c r="D39" s="131" t="s">
        <v>46</v>
      </c>
      <c r="E39" s="132"/>
      <c r="F39" s="133"/>
      <c r="G39" s="144" t="s">
        <v>47</v>
      </c>
      <c r="H39" s="145"/>
      <c r="I39" s="145"/>
      <c r="J39" s="145"/>
      <c r="K39" s="145"/>
      <c r="L39" s="146"/>
      <c r="M39" s="18"/>
      <c r="N39" s="18"/>
      <c r="O39" s="18"/>
      <c r="P39" s="18"/>
    </row>
    <row r="40" spans="2:16" ht="16.5" thickBot="1" x14ac:dyDescent="0.3">
      <c r="B40" s="63" t="s">
        <v>48</v>
      </c>
      <c r="C40" s="161"/>
      <c r="D40" s="150" t="str">
        <f>IF(G35&lt;10,"CNA",IF(G35&lt;12,"CMA",IF(G35&lt;14,"CA",IF(G35&lt;16,"CBA",IF(G35&lt;20,"CTBA")))))</f>
        <v>CNA</v>
      </c>
      <c r="E40" s="151" t="e">
        <f>IF(#REF!&lt;10,"D",IF(#REF!&lt;12,"C",IF(#REF!&lt;14,"C+",IF(#REF!&lt;15,"B",IF(#REF!&lt;16,"B+",IF(#REF!&lt;18,"A",IF(#REF!&lt;20,"A+")))))))</f>
        <v>#REF!</v>
      </c>
      <c r="F40" s="152" t="e">
        <f>IF(#REF!&lt;10,"D",IF(#REF!&lt;12,"C",IF(#REF!&lt;14,"C+",IF(#REF!&lt;15,"B",IF(#REF!&lt;16,"B+",IF(#REF!&lt;18,"A",IF(#REF!&lt;20,"A+")))))))</f>
        <v>#REF!</v>
      </c>
      <c r="G40" s="147"/>
      <c r="H40" s="148"/>
      <c r="I40" s="148"/>
      <c r="J40" s="148"/>
      <c r="K40" s="148"/>
      <c r="L40" s="149"/>
      <c r="M40" s="18"/>
      <c r="N40" s="18"/>
      <c r="O40" s="18"/>
      <c r="P40" s="18"/>
    </row>
    <row r="41" spans="2:16" ht="16.5" thickBot="1" x14ac:dyDescent="0.3">
      <c r="B41" s="63" t="s">
        <v>49</v>
      </c>
      <c r="C41" s="162"/>
      <c r="D41" s="153" t="e">
        <f>IF(#REF!&lt;10,"D",IF(#REF!&lt;12,"C",IF(#REF!&lt;14,"C+",IF(#REF!&lt;15,"B",IF(#REF!&lt;16,"B+",IF(#REF!&lt;18,"A",IF(#REF!&lt;20,"A+")))))))</f>
        <v>#REF!</v>
      </c>
      <c r="E41" s="154" t="e">
        <f>IF(#REF!&lt;10,"D",IF(#REF!&lt;12,"C",IF(#REF!&lt;14,"C+",IF(#REF!&lt;15,"B",IF(#REF!&lt;16,"B+",IF(#REF!&lt;18,"A",IF(#REF!&lt;20,"A+")))))))</f>
        <v>#REF!</v>
      </c>
      <c r="F41" s="155" t="e">
        <f>IF(#REF!&lt;10,"D",IF(#REF!&lt;12,"C",IF(#REF!&lt;14,"C+",IF(#REF!&lt;15,"B",IF(#REF!&lt;16,"B+",IF(#REF!&lt;18,"A",IF(#REF!&lt;20,"A+")))))))</f>
        <v>#REF!</v>
      </c>
      <c r="G41" s="140" t="s">
        <v>50</v>
      </c>
      <c r="H41" s="129"/>
      <c r="I41" s="129"/>
      <c r="J41" s="130"/>
      <c r="K41" s="144" t="s">
        <v>51</v>
      </c>
      <c r="L41" s="146"/>
      <c r="M41" s="18"/>
      <c r="N41" s="18"/>
      <c r="O41" s="18"/>
      <c r="P41" s="18"/>
    </row>
    <row r="42" spans="2:16" ht="16.5" thickBot="1" x14ac:dyDescent="0.3">
      <c r="B42" s="64" t="s">
        <v>52</v>
      </c>
      <c r="C42" s="163"/>
      <c r="D42" s="156" t="e">
        <f>IF(#REF!&lt;10,"D",IF(#REF!&lt;12,"C",IF(#REF!&lt;14,"C+",IF(#REF!&lt;15,"B",IF(#REF!&lt;16,"B+",IF(#REF!&lt;18,"A",IF(#REF!&lt;20,"A+")))))))</f>
        <v>#REF!</v>
      </c>
      <c r="E42" s="157" t="e">
        <f>IF(#REF!&lt;10,"D",IF(#REF!&lt;12,"C",IF(#REF!&lt;14,"C+",IF(#REF!&lt;15,"B",IF(#REF!&lt;16,"B+",IF(#REF!&lt;18,"A",IF(#REF!&lt;20,"A+")))))))</f>
        <v>#REF!</v>
      </c>
      <c r="F42" s="158" t="e">
        <f>IF(#REF!&lt;10,"D",IF(#REF!&lt;12,"C",IF(#REF!&lt;14,"C+",IF(#REF!&lt;15,"B",IF(#REF!&lt;16,"B+",IF(#REF!&lt;18,"A",IF(#REF!&lt;20,"A+")))))))</f>
        <v>#REF!</v>
      </c>
      <c r="G42" s="140" t="s">
        <v>53</v>
      </c>
      <c r="H42" s="129"/>
      <c r="I42" s="129"/>
      <c r="J42" s="130"/>
      <c r="K42" s="159" t="s">
        <v>54</v>
      </c>
      <c r="L42" s="160"/>
      <c r="M42" s="18"/>
      <c r="N42" s="18"/>
      <c r="O42" s="18"/>
      <c r="P42" s="18"/>
    </row>
    <row r="43" spans="2:16" ht="16.5" thickBot="1" x14ac:dyDescent="0.3">
      <c r="B43" s="64" t="s">
        <v>55</v>
      </c>
      <c r="C43" s="146"/>
      <c r="D43" s="144" t="s">
        <v>56</v>
      </c>
      <c r="E43" s="145"/>
      <c r="F43" s="146"/>
      <c r="G43" s="140" t="s">
        <v>57</v>
      </c>
      <c r="H43" s="129"/>
      <c r="I43" s="129"/>
      <c r="J43" s="130"/>
      <c r="K43" s="159"/>
      <c r="L43" s="160"/>
      <c r="M43" s="18"/>
      <c r="N43" s="18"/>
      <c r="O43" s="18"/>
      <c r="P43" s="18"/>
    </row>
    <row r="44" spans="2:16" ht="16.5" thickBot="1" x14ac:dyDescent="0.3">
      <c r="B44" s="34" t="s">
        <v>58</v>
      </c>
      <c r="C44" s="103"/>
      <c r="D44" s="147"/>
      <c r="E44" s="148"/>
      <c r="F44" s="149"/>
      <c r="G44" s="140" t="s">
        <v>59</v>
      </c>
      <c r="H44" s="129"/>
      <c r="I44" s="129"/>
      <c r="J44" s="130"/>
      <c r="K44" s="168" t="s">
        <v>60</v>
      </c>
      <c r="L44" s="169"/>
      <c r="M44" s="18"/>
      <c r="N44" s="18"/>
      <c r="O44" s="18"/>
      <c r="P44" s="18"/>
    </row>
    <row r="45" spans="2:16" ht="31.5" x14ac:dyDescent="0.25">
      <c r="B45" s="24" t="s">
        <v>61</v>
      </c>
      <c r="C45" s="104"/>
      <c r="D45" s="135"/>
      <c r="E45" s="136"/>
      <c r="F45" s="137"/>
      <c r="G45" s="135"/>
      <c r="H45" s="136"/>
      <c r="I45" s="136"/>
      <c r="J45" s="137"/>
      <c r="K45" s="168" t="s">
        <v>62</v>
      </c>
      <c r="L45" s="169"/>
      <c r="M45" s="18"/>
      <c r="N45" s="18"/>
      <c r="O45" s="18"/>
      <c r="P45" s="18"/>
    </row>
    <row r="46" spans="2:16" ht="15.75" x14ac:dyDescent="0.25">
      <c r="B46" s="102"/>
      <c r="C46" s="102"/>
      <c r="D46" s="170"/>
      <c r="E46" s="171"/>
      <c r="F46" s="172"/>
      <c r="G46" s="170"/>
      <c r="H46" s="171"/>
      <c r="I46" s="171"/>
      <c r="J46" s="172"/>
      <c r="K46" s="164"/>
      <c r="L46" s="165"/>
      <c r="M46" s="18"/>
      <c r="N46" s="18"/>
      <c r="O46" s="18"/>
      <c r="P46" s="18"/>
    </row>
    <row r="47" spans="2:16" ht="15.75" x14ac:dyDescent="0.25">
      <c r="B47" s="102"/>
      <c r="C47" s="102"/>
      <c r="D47" s="170"/>
      <c r="E47" s="171"/>
      <c r="F47" s="172"/>
      <c r="G47" s="170"/>
      <c r="H47" s="171"/>
      <c r="I47" s="171"/>
      <c r="J47" s="172"/>
      <c r="K47" s="164"/>
      <c r="L47" s="165"/>
      <c r="M47" s="18"/>
      <c r="N47" s="18"/>
      <c r="O47" s="18"/>
      <c r="P47" s="18"/>
    </row>
    <row r="48" spans="2:16" ht="16.5" thickBot="1" x14ac:dyDescent="0.3">
      <c r="B48" s="103"/>
      <c r="C48" s="103"/>
      <c r="D48" s="173"/>
      <c r="E48" s="174"/>
      <c r="F48" s="175"/>
      <c r="G48" s="173"/>
      <c r="H48" s="174"/>
      <c r="I48" s="174"/>
      <c r="J48" s="175"/>
      <c r="K48" s="166"/>
      <c r="L48" s="167"/>
      <c r="M48" s="18"/>
      <c r="N48" s="18"/>
      <c r="O48" s="18"/>
      <c r="P48" s="18"/>
    </row>
  </sheetData>
  <mergeCells count="65">
    <mergeCell ref="D40:F42"/>
    <mergeCell ref="G41:J41"/>
    <mergeCell ref="K41:L41"/>
    <mergeCell ref="G42:J42"/>
    <mergeCell ref="K42:L4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D31:F31"/>
    <mergeCell ref="G31:H31"/>
    <mergeCell ref="J31:L31"/>
    <mergeCell ref="B32:L32"/>
    <mergeCell ref="B25:L25"/>
    <mergeCell ref="I26:J26"/>
    <mergeCell ref="I27:J27"/>
    <mergeCell ref="I28:J28"/>
    <mergeCell ref="I29:J29"/>
    <mergeCell ref="I34:L34"/>
    <mergeCell ref="I35:J35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  <mergeCell ref="C40:C42"/>
    <mergeCell ref="C43:C44"/>
    <mergeCell ref="K46:L48"/>
    <mergeCell ref="K44:L44"/>
    <mergeCell ref="D39:F39"/>
    <mergeCell ref="G39:L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48"/>
  <sheetViews>
    <sheetView topLeftCell="A17" zoomScale="50" zoomScaleNormal="50" workbookViewId="0">
      <selection activeCell="K29" sqref="K29"/>
    </sheetView>
  </sheetViews>
  <sheetFormatPr baseColWidth="10" defaultRowHeight="15" x14ac:dyDescent="0.25"/>
  <cols>
    <col min="2" max="2" width="38.7109375" customWidth="1"/>
    <col min="3" max="3" width="31.5703125" customWidth="1"/>
    <col min="4" max="4" width="12.140625" customWidth="1"/>
    <col min="6" max="6" width="15.5703125" customWidth="1"/>
    <col min="8" max="8" width="12.42578125" customWidth="1"/>
    <col min="12" max="12" width="16.42578125" customWidth="1"/>
  </cols>
  <sheetData>
    <row r="3" spans="2:16" ht="15.75" thickBot="1" x14ac:dyDescent="0.3"/>
    <row r="4" spans="2:16" ht="16.5" thickBot="1" x14ac:dyDescent="0.3">
      <c r="B4" s="81" t="s">
        <v>24</v>
      </c>
      <c r="C4" s="38" t="s">
        <v>70</v>
      </c>
      <c r="D4" s="82" t="s">
        <v>132</v>
      </c>
      <c r="E4" s="82" t="s">
        <v>133</v>
      </c>
      <c r="F4" s="82" t="s">
        <v>134</v>
      </c>
      <c r="G4" s="82" t="s">
        <v>25</v>
      </c>
      <c r="H4" s="81" t="s">
        <v>26</v>
      </c>
      <c r="I4" s="107" t="s">
        <v>27</v>
      </c>
      <c r="J4" s="108"/>
      <c r="K4" s="82" t="s">
        <v>21</v>
      </c>
      <c r="L4" s="82" t="s">
        <v>28</v>
      </c>
      <c r="M4" s="18"/>
      <c r="N4" s="18"/>
      <c r="O4" s="18"/>
      <c r="P4" s="18"/>
    </row>
    <row r="5" spans="2:16" ht="43.5" customHeight="1" thickBot="1" x14ac:dyDescent="0.3">
      <c r="B5" s="80" t="s">
        <v>71</v>
      </c>
      <c r="C5" s="40" t="s">
        <v>77</v>
      </c>
      <c r="D5" s="19">
        <f>(E5+F5)/2</f>
        <v>14.5</v>
      </c>
      <c r="E5" s="41">
        <v>15</v>
      </c>
      <c r="F5" s="41">
        <v>14</v>
      </c>
      <c r="G5" s="20">
        <v>3</v>
      </c>
      <c r="H5" s="21">
        <f>D5*G5</f>
        <v>43.5</v>
      </c>
      <c r="I5" s="105">
        <v>12.166666666666666</v>
      </c>
      <c r="J5" s="106">
        <v>12.166666666666666</v>
      </c>
      <c r="K5" s="43" t="s">
        <v>139</v>
      </c>
      <c r="L5" s="19" t="str">
        <f>IF(D5&lt;10,"D",IF(D5&lt;12,"C",IF(D5&lt;14,"C+",IF(D5&lt;15,"B",IF(D5&lt;16,"B+",IF(D5&lt;18,"A",IF(D5&lt;20,"A+")))))))</f>
        <v>B</v>
      </c>
      <c r="M5" s="18"/>
      <c r="N5" s="18"/>
      <c r="O5" s="22">
        <f>E5*G5</f>
        <v>45</v>
      </c>
      <c r="P5" s="22">
        <f>F5*G5</f>
        <v>42</v>
      </c>
    </row>
    <row r="6" spans="2:16" ht="32.25" thickBot="1" x14ac:dyDescent="0.3">
      <c r="B6" s="80" t="s">
        <v>116</v>
      </c>
      <c r="C6" s="40" t="s">
        <v>78</v>
      </c>
      <c r="D6" s="19">
        <f t="shared" ref="D6:D9" si="0">(E6+F6)/2</f>
        <v>14</v>
      </c>
      <c r="E6" s="41">
        <v>12</v>
      </c>
      <c r="F6" s="41">
        <v>16</v>
      </c>
      <c r="G6" s="20">
        <v>1</v>
      </c>
      <c r="H6" s="21">
        <f t="shared" ref="H6:H9" si="1">D6*G6</f>
        <v>14</v>
      </c>
      <c r="I6" s="105">
        <v>14.166666666666666</v>
      </c>
      <c r="J6" s="106">
        <v>14.166666666666666</v>
      </c>
      <c r="K6" s="43" t="s">
        <v>123</v>
      </c>
      <c r="L6" s="19" t="str">
        <f t="shared" ref="L6:L9" si="2">IF(D6&lt;10,"D",IF(D6&lt;12,"C",IF(D6&lt;14,"C+",IF(D6&lt;15,"B",IF(D6&lt;16,"B+",IF(D6&lt;18,"A",IF(D6&lt;20,"A+")))))))</f>
        <v>B</v>
      </c>
      <c r="M6" s="18"/>
      <c r="N6" s="18"/>
      <c r="O6" s="22">
        <f t="shared" ref="O6:O9" si="3">E6*G6</f>
        <v>12</v>
      </c>
      <c r="P6" s="22">
        <f t="shared" ref="P6:P9" si="4">F6*G6</f>
        <v>16</v>
      </c>
    </row>
    <row r="7" spans="2:16" ht="32.25" thickBot="1" x14ac:dyDescent="0.3">
      <c r="B7" s="80" t="s">
        <v>117</v>
      </c>
      <c r="C7" s="40" t="s">
        <v>79</v>
      </c>
      <c r="D7" s="19">
        <f t="shared" si="0"/>
        <v>10</v>
      </c>
      <c r="E7" s="41">
        <v>9</v>
      </c>
      <c r="F7" s="41">
        <v>11</v>
      </c>
      <c r="G7" s="20">
        <v>2</v>
      </c>
      <c r="H7" s="21">
        <f t="shared" si="1"/>
        <v>20</v>
      </c>
      <c r="I7" s="105">
        <v>10.833333333333334</v>
      </c>
      <c r="J7" s="106">
        <v>10.833333333333334</v>
      </c>
      <c r="K7" s="43" t="s">
        <v>124</v>
      </c>
      <c r="L7" s="19" t="str">
        <f t="shared" si="2"/>
        <v>C</v>
      </c>
      <c r="M7" s="18"/>
      <c r="N7" s="18"/>
      <c r="O7" s="22">
        <f t="shared" si="3"/>
        <v>18</v>
      </c>
      <c r="P7" s="22">
        <f t="shared" si="4"/>
        <v>22</v>
      </c>
    </row>
    <row r="8" spans="2:16" ht="39" thickBot="1" x14ac:dyDescent="0.3">
      <c r="B8" s="80" t="s">
        <v>118</v>
      </c>
      <c r="C8" s="40" t="s">
        <v>80</v>
      </c>
      <c r="D8" s="19">
        <f t="shared" si="0"/>
        <v>11.5</v>
      </c>
      <c r="E8" s="41">
        <v>12</v>
      </c>
      <c r="F8" s="41">
        <v>11</v>
      </c>
      <c r="G8" s="20">
        <v>2</v>
      </c>
      <c r="H8" s="21">
        <f t="shared" si="1"/>
        <v>23</v>
      </c>
      <c r="I8" s="105">
        <v>11.5</v>
      </c>
      <c r="J8" s="106">
        <v>11.5</v>
      </c>
      <c r="K8" s="43" t="s">
        <v>123</v>
      </c>
      <c r="L8" s="19" t="str">
        <f t="shared" si="2"/>
        <v>C</v>
      </c>
      <c r="M8" s="18"/>
      <c r="N8" s="18"/>
      <c r="O8" s="22">
        <f t="shared" si="3"/>
        <v>24</v>
      </c>
      <c r="P8" s="22">
        <f t="shared" si="4"/>
        <v>22</v>
      </c>
    </row>
    <row r="9" spans="2:16" ht="39" thickBot="1" x14ac:dyDescent="0.3">
      <c r="B9" s="80" t="s">
        <v>119</v>
      </c>
      <c r="C9" s="40" t="s">
        <v>80</v>
      </c>
      <c r="D9" s="19">
        <f t="shared" si="0"/>
        <v>16</v>
      </c>
      <c r="E9" s="41">
        <v>15</v>
      </c>
      <c r="F9" s="41">
        <v>17</v>
      </c>
      <c r="G9" s="20">
        <v>1</v>
      </c>
      <c r="H9" s="21">
        <f t="shared" si="1"/>
        <v>16</v>
      </c>
      <c r="I9" s="105">
        <v>15.666666666666666</v>
      </c>
      <c r="J9" s="106">
        <v>15.666666666666666</v>
      </c>
      <c r="K9" s="43" t="s">
        <v>139</v>
      </c>
      <c r="L9" s="19" t="str">
        <f t="shared" si="2"/>
        <v>A</v>
      </c>
      <c r="M9" s="18"/>
      <c r="N9" s="18"/>
      <c r="O9" s="22">
        <f t="shared" si="3"/>
        <v>15</v>
      </c>
      <c r="P9" s="22">
        <f t="shared" si="4"/>
        <v>17</v>
      </c>
    </row>
    <row r="10" spans="2:16" ht="16.5" thickBot="1" x14ac:dyDescent="0.3">
      <c r="B10" s="109" t="s">
        <v>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1"/>
      <c r="M10" s="18"/>
      <c r="N10" s="18"/>
      <c r="O10" s="18"/>
      <c r="P10" s="18"/>
    </row>
    <row r="11" spans="2:16" ht="16.5" thickBot="1" x14ac:dyDescent="0.3">
      <c r="B11" s="23" t="s">
        <v>30</v>
      </c>
      <c r="C11" s="36"/>
      <c r="D11" s="112">
        <f>(SUM(H5:H9)/SUM(G5:G9))</f>
        <v>12.944444444444445</v>
      </c>
      <c r="E11" s="112"/>
      <c r="F11" s="112"/>
      <c r="G11" s="113" t="s">
        <v>31</v>
      </c>
      <c r="H11" s="113"/>
      <c r="I11" s="79"/>
      <c r="J11" s="114"/>
      <c r="K11" s="114"/>
      <c r="L11" s="115"/>
      <c r="M11" s="18"/>
      <c r="N11" s="18"/>
      <c r="O11" s="18"/>
      <c r="P11" s="18"/>
    </row>
    <row r="12" spans="2:16" ht="16.5" thickBot="1" x14ac:dyDescent="0.3">
      <c r="B12" s="116"/>
      <c r="C12" s="117"/>
      <c r="D12" s="117"/>
      <c r="E12" s="117"/>
      <c r="F12" s="117"/>
      <c r="G12" s="117"/>
      <c r="H12" s="117"/>
      <c r="I12" s="117"/>
      <c r="J12" s="117"/>
      <c r="K12" s="117"/>
      <c r="L12" s="118"/>
      <c r="M12" s="18"/>
      <c r="N12" s="18"/>
      <c r="O12" s="18"/>
      <c r="P12" s="18"/>
    </row>
    <row r="13" spans="2:16" ht="32.25" thickBot="1" x14ac:dyDescent="0.3">
      <c r="B13" s="80" t="s">
        <v>109</v>
      </c>
      <c r="C13" s="40" t="s">
        <v>81</v>
      </c>
      <c r="D13" s="19">
        <f t="shared" ref="D13:D16" si="5">(E13+F13)/2</f>
        <v>12.5</v>
      </c>
      <c r="E13" s="41">
        <v>13</v>
      </c>
      <c r="F13" s="41">
        <v>12</v>
      </c>
      <c r="G13" s="20">
        <v>2</v>
      </c>
      <c r="H13" s="21">
        <f t="shared" ref="H13:H16" si="6">D13*G13</f>
        <v>25</v>
      </c>
      <c r="I13" s="105">
        <v>11.083333333333334</v>
      </c>
      <c r="J13" s="106">
        <v>11.083333333333334</v>
      </c>
      <c r="K13" s="43" t="s">
        <v>123</v>
      </c>
      <c r="L13" s="19" t="str">
        <f t="shared" ref="L13:L16" si="7">IF(D13&lt;10,"D",IF(D13&lt;12,"C",IF(D13&lt;14,"C+",IF(D13&lt;15,"B",IF(D13&lt;16,"B+",IF(D13&lt;18,"A",IF(D13&lt;20,"A+")))))))</f>
        <v>C+</v>
      </c>
      <c r="M13" s="18"/>
      <c r="N13" s="18"/>
      <c r="O13" s="22">
        <f t="shared" ref="O13:O16" si="8">E13*G13</f>
        <v>26</v>
      </c>
      <c r="P13" s="22">
        <f t="shared" ref="P13:P16" si="9">F13*G13</f>
        <v>24</v>
      </c>
    </row>
    <row r="14" spans="2:16" ht="32.25" thickBot="1" x14ac:dyDescent="0.3">
      <c r="B14" s="80" t="s">
        <v>72</v>
      </c>
      <c r="C14" s="42" t="s">
        <v>82</v>
      </c>
      <c r="D14" s="19">
        <f t="shared" si="5"/>
        <v>11</v>
      </c>
      <c r="E14" s="41">
        <v>10</v>
      </c>
      <c r="F14" s="41">
        <v>12</v>
      </c>
      <c r="G14" s="20">
        <v>2</v>
      </c>
      <c r="H14" s="21">
        <f t="shared" si="6"/>
        <v>22</v>
      </c>
      <c r="I14" s="105">
        <v>11.833333333333334</v>
      </c>
      <c r="J14" s="106">
        <v>11.833333333333334</v>
      </c>
      <c r="K14" s="43" t="s">
        <v>125</v>
      </c>
      <c r="L14" s="19" t="str">
        <f t="shared" si="7"/>
        <v>C</v>
      </c>
      <c r="M14" s="18"/>
      <c r="N14" s="18"/>
      <c r="O14" s="22">
        <f t="shared" si="8"/>
        <v>20</v>
      </c>
      <c r="P14" s="22">
        <f t="shared" si="9"/>
        <v>24</v>
      </c>
    </row>
    <row r="15" spans="2:16" ht="37.5" customHeight="1" thickBot="1" x14ac:dyDescent="0.3">
      <c r="B15" s="80" t="s">
        <v>73</v>
      </c>
      <c r="C15" s="42" t="s">
        <v>83</v>
      </c>
      <c r="D15" s="19">
        <f t="shared" si="5"/>
        <v>11</v>
      </c>
      <c r="E15" s="41">
        <v>10</v>
      </c>
      <c r="F15" s="41">
        <v>12</v>
      </c>
      <c r="G15" s="20">
        <v>2</v>
      </c>
      <c r="H15" s="21">
        <f t="shared" si="6"/>
        <v>22</v>
      </c>
      <c r="I15" s="105">
        <v>10.666666666666666</v>
      </c>
      <c r="J15" s="106">
        <v>10.666666666666666</v>
      </c>
      <c r="K15" s="43" t="s">
        <v>123</v>
      </c>
      <c r="L15" s="19" t="str">
        <f t="shared" si="7"/>
        <v>C</v>
      </c>
      <c r="M15" s="18"/>
      <c r="N15" s="18"/>
      <c r="O15" s="22">
        <f t="shared" si="8"/>
        <v>20</v>
      </c>
      <c r="P15" s="22">
        <f t="shared" si="9"/>
        <v>24</v>
      </c>
    </row>
    <row r="16" spans="2:16" ht="32.25" thickBot="1" x14ac:dyDescent="0.3">
      <c r="B16" s="80" t="s">
        <v>110</v>
      </c>
      <c r="C16" s="39" t="s">
        <v>75</v>
      </c>
      <c r="D16" s="19">
        <f t="shared" si="5"/>
        <v>10</v>
      </c>
      <c r="E16" s="19">
        <v>10</v>
      </c>
      <c r="F16" s="19">
        <v>10</v>
      </c>
      <c r="G16" s="20">
        <v>1</v>
      </c>
      <c r="H16" s="21">
        <f t="shared" si="6"/>
        <v>10</v>
      </c>
      <c r="I16" s="105">
        <v>11</v>
      </c>
      <c r="J16" s="106">
        <v>8.3333333333333339</v>
      </c>
      <c r="K16" s="43" t="s">
        <v>124</v>
      </c>
      <c r="L16" s="19" t="str">
        <f t="shared" si="7"/>
        <v>C</v>
      </c>
      <c r="M16" s="18"/>
      <c r="N16" s="18"/>
      <c r="O16" s="22">
        <f t="shared" si="8"/>
        <v>10</v>
      </c>
      <c r="P16" s="22">
        <f t="shared" si="9"/>
        <v>10</v>
      </c>
    </row>
    <row r="17" spans="2:16" ht="16.5" thickBot="1" x14ac:dyDescent="0.3">
      <c r="B17" s="109" t="s">
        <v>32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1"/>
      <c r="M17" s="18"/>
      <c r="N17" s="18"/>
      <c r="O17" s="18"/>
      <c r="P17" s="18"/>
    </row>
    <row r="18" spans="2:16" ht="16.5" thickBot="1" x14ac:dyDescent="0.3">
      <c r="B18" s="23" t="s">
        <v>33</v>
      </c>
      <c r="C18" s="36"/>
      <c r="D18" s="112">
        <f>(SUM(H13:H16)/SUM(G13:G16))</f>
        <v>11.285714285714286</v>
      </c>
      <c r="E18" s="112"/>
      <c r="F18" s="112"/>
      <c r="G18" s="113" t="s">
        <v>31</v>
      </c>
      <c r="H18" s="113"/>
      <c r="I18" s="79"/>
      <c r="J18" s="114"/>
      <c r="K18" s="114"/>
      <c r="L18" s="115"/>
      <c r="M18" s="18"/>
      <c r="N18" s="18"/>
      <c r="O18" s="18"/>
      <c r="P18" s="18"/>
    </row>
    <row r="19" spans="2:16" ht="16.5" thickBot="1" x14ac:dyDescent="0.3">
      <c r="B19" s="119"/>
      <c r="C19" s="120"/>
      <c r="D19" s="120"/>
      <c r="E19" s="120"/>
      <c r="F19" s="120"/>
      <c r="G19" s="120"/>
      <c r="H19" s="120"/>
      <c r="I19" s="120"/>
      <c r="J19" s="120"/>
      <c r="K19" s="120"/>
      <c r="L19" s="121"/>
      <c r="M19" s="18"/>
      <c r="N19" s="18"/>
      <c r="O19" s="18"/>
      <c r="P19" s="18"/>
    </row>
    <row r="20" spans="2:16" ht="51.75" thickBot="1" x14ac:dyDescent="0.3">
      <c r="B20" s="80" t="s">
        <v>120</v>
      </c>
      <c r="C20" s="42" t="s">
        <v>84</v>
      </c>
      <c r="D20" s="19">
        <f t="shared" ref="D20:D22" si="10">(E20+F20)/2</f>
        <v>14.75</v>
      </c>
      <c r="E20" s="41">
        <v>14</v>
      </c>
      <c r="F20" s="41">
        <v>15.5</v>
      </c>
      <c r="G20" s="20">
        <v>2</v>
      </c>
      <c r="H20" s="21">
        <f t="shared" ref="H20:H22" si="11">D20*G20</f>
        <v>29.5</v>
      </c>
      <c r="I20" s="105">
        <v>12.083333333333334</v>
      </c>
      <c r="J20" s="106">
        <v>12.083333333333334</v>
      </c>
      <c r="K20" s="43" t="s">
        <v>139</v>
      </c>
      <c r="L20" s="19" t="str">
        <f t="shared" ref="L20:L22" si="12">IF(D20&lt;10,"D",IF(D20&lt;12,"C",IF(D20&lt;14,"C+",IF(D20&lt;15,"B",IF(D20&lt;16,"B+",IF(D20&lt;18,"A",IF(D20&lt;20,"A+")))))))</f>
        <v>B</v>
      </c>
      <c r="M20" s="18"/>
      <c r="N20" s="18"/>
      <c r="O20" s="22">
        <f t="shared" ref="O20:O22" si="13">E20*G20</f>
        <v>28</v>
      </c>
      <c r="P20" s="22">
        <f t="shared" ref="P20:P22" si="14">F20*G20</f>
        <v>31</v>
      </c>
    </row>
    <row r="21" spans="2:16" ht="64.5" thickBot="1" x14ac:dyDescent="0.3">
      <c r="B21" s="80" t="s">
        <v>111</v>
      </c>
      <c r="C21" s="42" t="s">
        <v>85</v>
      </c>
      <c r="D21" s="19">
        <f t="shared" si="10"/>
        <v>8.25</v>
      </c>
      <c r="E21" s="41">
        <v>10.5</v>
      </c>
      <c r="F21" s="41">
        <v>6</v>
      </c>
      <c r="G21" s="20">
        <v>4</v>
      </c>
      <c r="H21" s="21">
        <f t="shared" si="11"/>
        <v>33</v>
      </c>
      <c r="I21" s="105">
        <v>8.5833333333333339</v>
      </c>
      <c r="J21" s="106">
        <v>8.5833333333333339</v>
      </c>
      <c r="K21" s="43" t="s">
        <v>123</v>
      </c>
      <c r="L21" s="19" t="str">
        <f t="shared" si="12"/>
        <v>D</v>
      </c>
      <c r="M21" s="18"/>
      <c r="N21" s="18"/>
      <c r="O21" s="22">
        <f t="shared" si="13"/>
        <v>42</v>
      </c>
      <c r="P21" s="22">
        <f t="shared" si="14"/>
        <v>24</v>
      </c>
    </row>
    <row r="22" spans="2:16" ht="64.5" thickBot="1" x14ac:dyDescent="0.3">
      <c r="B22" s="80" t="s">
        <v>112</v>
      </c>
      <c r="C22" s="42" t="s">
        <v>86</v>
      </c>
      <c r="D22" s="19">
        <f t="shared" si="10"/>
        <v>10</v>
      </c>
      <c r="E22" s="41">
        <v>10</v>
      </c>
      <c r="F22" s="41">
        <v>10</v>
      </c>
      <c r="G22" s="20">
        <v>2</v>
      </c>
      <c r="H22" s="21">
        <f t="shared" si="11"/>
        <v>20</v>
      </c>
      <c r="I22" s="105">
        <v>9.6666666666666661</v>
      </c>
      <c r="J22" s="106">
        <v>9.6666666666666661</v>
      </c>
      <c r="K22" s="43" t="s">
        <v>124</v>
      </c>
      <c r="L22" s="19" t="str">
        <f t="shared" si="12"/>
        <v>C</v>
      </c>
      <c r="M22" s="18"/>
      <c r="N22" s="18"/>
      <c r="O22" s="22">
        <f t="shared" si="13"/>
        <v>20</v>
      </c>
      <c r="P22" s="22">
        <f t="shared" si="14"/>
        <v>20</v>
      </c>
    </row>
    <row r="23" spans="2:16" ht="16.5" thickBot="1" x14ac:dyDescent="0.3">
      <c r="B23" s="109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1"/>
      <c r="M23" s="18"/>
      <c r="N23" s="18"/>
      <c r="O23" s="18"/>
      <c r="P23" s="18"/>
    </row>
    <row r="24" spans="2:16" ht="16.5" thickBot="1" x14ac:dyDescent="0.3">
      <c r="B24" s="23" t="s">
        <v>30</v>
      </c>
      <c r="C24" s="36"/>
      <c r="D24" s="112">
        <f>(SUM(H20:H22)/SUM(G20:G22))</f>
        <v>10.3125</v>
      </c>
      <c r="E24" s="112"/>
      <c r="F24" s="112"/>
      <c r="G24" s="113" t="s">
        <v>31</v>
      </c>
      <c r="H24" s="113"/>
      <c r="I24" s="79"/>
      <c r="J24" s="114"/>
      <c r="K24" s="114"/>
      <c r="L24" s="115"/>
      <c r="M24" s="18"/>
      <c r="N24" s="18"/>
      <c r="O24" s="18"/>
      <c r="P24" s="18"/>
    </row>
    <row r="25" spans="2:16" ht="16.5" thickBot="1" x14ac:dyDescent="0.3">
      <c r="B25" s="116"/>
      <c r="C25" s="117"/>
      <c r="D25" s="117"/>
      <c r="E25" s="117"/>
      <c r="F25" s="117"/>
      <c r="G25" s="117"/>
      <c r="H25" s="117"/>
      <c r="I25" s="127"/>
      <c r="J25" s="127"/>
      <c r="K25" s="127"/>
      <c r="L25" s="118"/>
      <c r="M25" s="18"/>
      <c r="N25" s="18"/>
      <c r="O25" s="18"/>
      <c r="P25" s="18"/>
    </row>
    <row r="26" spans="2:16" ht="51.75" thickBot="1" x14ac:dyDescent="0.3">
      <c r="B26" s="80" t="s">
        <v>113</v>
      </c>
      <c r="C26" s="40" t="s">
        <v>76</v>
      </c>
      <c r="D26" s="19">
        <f t="shared" ref="D26:D29" si="15">(E26+F26)/2</f>
        <v>8</v>
      </c>
      <c r="E26" s="41">
        <v>6</v>
      </c>
      <c r="F26" s="41">
        <v>10</v>
      </c>
      <c r="G26" s="20">
        <v>1</v>
      </c>
      <c r="H26" s="21">
        <f t="shared" ref="H26:H29" si="16">D26*G26</f>
        <v>8</v>
      </c>
      <c r="I26" s="105">
        <v>10.666666666666666</v>
      </c>
      <c r="J26" s="106">
        <v>10.666666666666666</v>
      </c>
      <c r="K26" s="43" t="s">
        <v>124</v>
      </c>
      <c r="L26" s="19" t="str">
        <f t="shared" ref="L26:L28" si="17">IF(D26&lt;10,"D",IF(D26&lt;12,"C",IF(D26&lt;14,"C+",IF(D26&lt;15,"B",IF(D26&lt;16,"B+",IF(D26&lt;18,"A",IF(D26&lt;20,"A+")))))))</f>
        <v>D</v>
      </c>
      <c r="M26" s="18"/>
      <c r="N26" s="18"/>
      <c r="O26" s="22">
        <f t="shared" ref="O26:O29" si="18">E26*G26</f>
        <v>6</v>
      </c>
      <c r="P26" s="22">
        <f t="shared" ref="P26:P29" si="19">F26*G26</f>
        <v>10</v>
      </c>
    </row>
    <row r="27" spans="2:16" ht="32.25" thickBot="1" x14ac:dyDescent="0.3">
      <c r="B27" s="80" t="s">
        <v>74</v>
      </c>
      <c r="C27" s="42" t="s">
        <v>87</v>
      </c>
      <c r="D27" s="19">
        <f t="shared" si="15"/>
        <v>13.75</v>
      </c>
      <c r="E27" s="41">
        <v>13.5</v>
      </c>
      <c r="F27" s="41">
        <v>14</v>
      </c>
      <c r="G27" s="20">
        <v>2</v>
      </c>
      <c r="H27" s="21">
        <f>D27*G27</f>
        <v>27.5</v>
      </c>
      <c r="I27" s="105">
        <v>14.416666666666666</v>
      </c>
      <c r="J27" s="106">
        <v>14.416666666666666</v>
      </c>
      <c r="K27" s="43" t="s">
        <v>125</v>
      </c>
      <c r="L27" s="19" t="str">
        <f t="shared" si="17"/>
        <v>C+</v>
      </c>
      <c r="M27" s="18"/>
      <c r="N27" s="18"/>
      <c r="O27" s="22">
        <f t="shared" si="18"/>
        <v>27</v>
      </c>
      <c r="P27" s="22">
        <f t="shared" si="19"/>
        <v>28</v>
      </c>
    </row>
    <row r="28" spans="2:16" ht="39.75" customHeight="1" thickBot="1" x14ac:dyDescent="0.3">
      <c r="B28" s="80" t="s">
        <v>114</v>
      </c>
      <c r="C28" s="42" t="s">
        <v>88</v>
      </c>
      <c r="D28" s="19">
        <f t="shared" si="15"/>
        <v>12.75</v>
      </c>
      <c r="E28" s="41">
        <v>18</v>
      </c>
      <c r="F28" s="41">
        <v>7.5</v>
      </c>
      <c r="G28" s="20">
        <v>1</v>
      </c>
      <c r="H28" s="21">
        <f t="shared" si="16"/>
        <v>12.75</v>
      </c>
      <c r="I28" s="105">
        <v>12.75</v>
      </c>
      <c r="J28" s="106">
        <v>12.75</v>
      </c>
      <c r="K28" s="43" t="s">
        <v>123</v>
      </c>
      <c r="L28" s="19" t="str">
        <f t="shared" si="17"/>
        <v>C+</v>
      </c>
      <c r="M28" s="18"/>
      <c r="N28" s="18"/>
      <c r="O28" s="22">
        <f t="shared" si="18"/>
        <v>18</v>
      </c>
      <c r="P28" s="22">
        <f t="shared" si="19"/>
        <v>7.5</v>
      </c>
    </row>
    <row r="29" spans="2:16" ht="39" thickBot="1" x14ac:dyDescent="0.3">
      <c r="B29" s="80" t="s">
        <v>115</v>
      </c>
      <c r="C29" s="42" t="s">
        <v>89</v>
      </c>
      <c r="D29" s="19">
        <f t="shared" si="15"/>
        <v>16.5</v>
      </c>
      <c r="E29" s="19">
        <v>16</v>
      </c>
      <c r="F29" s="19">
        <v>17</v>
      </c>
      <c r="G29" s="20">
        <v>1</v>
      </c>
      <c r="H29" s="21">
        <f t="shared" si="16"/>
        <v>16.5</v>
      </c>
      <c r="I29" s="105">
        <v>16.329999999999998</v>
      </c>
      <c r="J29" s="106"/>
      <c r="K29" s="43" t="s">
        <v>139</v>
      </c>
      <c r="L29" s="19" t="str">
        <f>IF(D29&lt;10,"D",IF(D29&lt;12,"C",IF(D29&lt;14,"C+",IF(D29&lt;15,"B",IF(D29&lt;16,"B+",IF(D29&lt;18,"A",IF(D29&lt;20,"A+")))))))</f>
        <v>A</v>
      </c>
      <c r="M29" s="18"/>
      <c r="N29" s="18"/>
      <c r="O29" s="22">
        <f t="shared" si="18"/>
        <v>16</v>
      </c>
      <c r="P29" s="22">
        <f t="shared" si="19"/>
        <v>17</v>
      </c>
    </row>
    <row r="30" spans="2:16" ht="16.5" thickBot="1" x14ac:dyDescent="0.3">
      <c r="B30" s="24" t="s">
        <v>35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  <c r="M30" s="18"/>
      <c r="N30" s="18"/>
      <c r="O30" s="18">
        <f>SUM(O5:O29)</f>
        <v>347</v>
      </c>
      <c r="P30" s="18">
        <f>SUM(P5:P29)</f>
        <v>338.5</v>
      </c>
    </row>
    <row r="31" spans="2:16" ht="16.5" thickBot="1" x14ac:dyDescent="0.3">
      <c r="B31" s="27" t="s">
        <v>33</v>
      </c>
      <c r="C31" s="37"/>
      <c r="D31" s="112">
        <f>(SUM(H26:H29)/SUM(G26:G29))</f>
        <v>12.95</v>
      </c>
      <c r="E31" s="112"/>
      <c r="F31" s="112"/>
      <c r="G31" s="128" t="s">
        <v>31</v>
      </c>
      <c r="H31" s="128"/>
      <c r="I31" s="78"/>
      <c r="J31" s="129"/>
      <c r="K31" s="129"/>
      <c r="L31" s="130"/>
      <c r="M31" s="18"/>
      <c r="N31" s="18"/>
      <c r="O31" s="18">
        <v>29</v>
      </c>
      <c r="P31" s="18">
        <v>29</v>
      </c>
    </row>
    <row r="32" spans="2:16" ht="16.5" thickBot="1" x14ac:dyDescent="0.3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3"/>
      <c r="M32" s="18"/>
      <c r="N32" s="18"/>
      <c r="O32" s="18">
        <f>O30/O31</f>
        <v>11.96551724137931</v>
      </c>
      <c r="P32" s="18">
        <f>P30/P31</f>
        <v>11.672413793103448</v>
      </c>
    </row>
    <row r="33" spans="2:16" ht="48" thickBot="1" x14ac:dyDescent="0.3">
      <c r="B33" s="140" t="s">
        <v>36</v>
      </c>
      <c r="C33" s="130"/>
      <c r="D33" s="28" t="s">
        <v>37</v>
      </c>
      <c r="E33" s="35">
        <v>11.57</v>
      </c>
      <c r="F33" s="29" t="s">
        <v>38</v>
      </c>
      <c r="G33" s="129">
        <v>13.24</v>
      </c>
      <c r="H33" s="129"/>
      <c r="I33" s="29" t="s">
        <v>39</v>
      </c>
      <c r="J33" s="134">
        <v>9.66</v>
      </c>
      <c r="K33" s="129"/>
      <c r="L33" s="30"/>
      <c r="M33" s="31"/>
      <c r="N33" s="31"/>
      <c r="O33" s="31"/>
      <c r="P33" s="31"/>
    </row>
    <row r="34" spans="2:16" ht="15.75" x14ac:dyDescent="0.25">
      <c r="B34" s="65"/>
      <c r="C34" s="66"/>
      <c r="D34" s="67" t="s">
        <v>133</v>
      </c>
      <c r="E34" s="67" t="s">
        <v>134</v>
      </c>
      <c r="F34" s="66"/>
      <c r="G34" s="66"/>
      <c r="H34" s="68"/>
      <c r="I34" s="135"/>
      <c r="J34" s="136"/>
      <c r="K34" s="136"/>
      <c r="L34" s="137"/>
      <c r="M34" s="18"/>
      <c r="N34" s="18"/>
      <c r="O34" s="18"/>
      <c r="P34" s="18"/>
    </row>
    <row r="35" spans="2:16" ht="15.75" x14ac:dyDescent="0.25">
      <c r="B35" s="69" t="s">
        <v>40</v>
      </c>
      <c r="C35" s="70"/>
      <c r="D35" s="71">
        <f>O32</f>
        <v>11.96551724137931</v>
      </c>
      <c r="E35" s="71">
        <f>P32</f>
        <v>11.672413793103448</v>
      </c>
      <c r="F35" s="72" t="s">
        <v>136</v>
      </c>
      <c r="G35" s="73">
        <f>(H5+H6+H7+H8+H9+H13+H14+H15+H16+H20+H21+H22+H26+H27+H28+H29)/29</f>
        <v>11.818965517241379</v>
      </c>
      <c r="H35" s="70" t="s">
        <v>41</v>
      </c>
      <c r="I35" s="138" t="s">
        <v>42</v>
      </c>
      <c r="J35" s="139"/>
      <c r="K35" s="32" t="s">
        <v>101</v>
      </c>
      <c r="L35" s="33" t="s">
        <v>135</v>
      </c>
      <c r="M35" s="18"/>
      <c r="N35" s="18"/>
      <c r="O35" s="18"/>
      <c r="P35" s="18"/>
    </row>
    <row r="36" spans="2:16" ht="16.5" thickBot="1" x14ac:dyDescent="0.3">
      <c r="B36" s="122"/>
      <c r="C36" s="123"/>
      <c r="D36" s="123"/>
      <c r="E36" s="123"/>
      <c r="F36" s="123"/>
      <c r="G36" s="123"/>
      <c r="H36" s="123"/>
      <c r="I36" s="124"/>
      <c r="J36" s="125"/>
      <c r="K36" s="125"/>
      <c r="L36" s="126"/>
      <c r="M36" s="18"/>
      <c r="N36" s="18"/>
      <c r="O36" s="18"/>
      <c r="P36" s="18"/>
    </row>
    <row r="37" spans="2:16" ht="16.5" thickBot="1" x14ac:dyDescent="0.3">
      <c r="B37" s="141" t="s">
        <v>43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3"/>
      <c r="M37" s="18"/>
      <c r="N37" s="18"/>
      <c r="O37" s="18"/>
      <c r="P37" s="18"/>
    </row>
    <row r="38" spans="2:16" ht="16.5" thickBot="1" x14ac:dyDescent="0.3">
      <c r="B38" s="140" t="s">
        <v>44</v>
      </c>
      <c r="C38" s="129"/>
      <c r="D38" s="129"/>
      <c r="E38" s="129"/>
      <c r="F38" s="129"/>
      <c r="G38" s="129"/>
      <c r="H38" s="129"/>
      <c r="I38" s="129"/>
      <c r="J38" s="129"/>
      <c r="K38" s="129"/>
      <c r="L38" s="130"/>
      <c r="M38" s="18"/>
      <c r="N38" s="18"/>
      <c r="O38" s="18"/>
      <c r="P38" s="18"/>
    </row>
    <row r="39" spans="2:16" ht="16.5" thickBot="1" x14ac:dyDescent="0.3">
      <c r="B39" s="24" t="s">
        <v>45</v>
      </c>
      <c r="C39" s="28"/>
      <c r="D39" s="131" t="s">
        <v>46</v>
      </c>
      <c r="E39" s="132"/>
      <c r="F39" s="133"/>
      <c r="G39" s="144" t="s">
        <v>47</v>
      </c>
      <c r="H39" s="145"/>
      <c r="I39" s="145"/>
      <c r="J39" s="145"/>
      <c r="K39" s="145"/>
      <c r="L39" s="146"/>
      <c r="M39" s="18"/>
      <c r="N39" s="18"/>
      <c r="O39" s="18"/>
      <c r="P39" s="18"/>
    </row>
    <row r="40" spans="2:16" ht="16.5" thickBot="1" x14ac:dyDescent="0.3">
      <c r="B40" s="63" t="s">
        <v>48</v>
      </c>
      <c r="C40" s="161"/>
      <c r="D40" s="150" t="str">
        <f>IF(G35&lt;10,"CNA",IF(G35&lt;12,"CMA",IF(G35&lt;14,"CA",IF(G35&lt;16,"CBA",IF(G35&lt;20,"CTBA")))))</f>
        <v>CMA</v>
      </c>
      <c r="E40" s="151" t="e">
        <f>IF(#REF!&lt;10,"D",IF(#REF!&lt;12,"C",IF(#REF!&lt;14,"C+",IF(#REF!&lt;15,"B",IF(#REF!&lt;16,"B+",IF(#REF!&lt;18,"A",IF(#REF!&lt;20,"A+")))))))</f>
        <v>#REF!</v>
      </c>
      <c r="F40" s="152" t="e">
        <f>IF(#REF!&lt;10,"D",IF(#REF!&lt;12,"C",IF(#REF!&lt;14,"C+",IF(#REF!&lt;15,"B",IF(#REF!&lt;16,"B+",IF(#REF!&lt;18,"A",IF(#REF!&lt;20,"A+")))))))</f>
        <v>#REF!</v>
      </c>
      <c r="G40" s="147"/>
      <c r="H40" s="148"/>
      <c r="I40" s="148"/>
      <c r="J40" s="148"/>
      <c r="K40" s="148"/>
      <c r="L40" s="149"/>
      <c r="M40" s="18"/>
      <c r="N40" s="18"/>
      <c r="O40" s="18"/>
      <c r="P40" s="18"/>
    </row>
    <row r="41" spans="2:16" ht="16.5" thickBot="1" x14ac:dyDescent="0.3">
      <c r="B41" s="63" t="s">
        <v>49</v>
      </c>
      <c r="C41" s="162"/>
      <c r="D41" s="153" t="e">
        <f>IF(#REF!&lt;10,"D",IF(#REF!&lt;12,"C",IF(#REF!&lt;14,"C+",IF(#REF!&lt;15,"B",IF(#REF!&lt;16,"B+",IF(#REF!&lt;18,"A",IF(#REF!&lt;20,"A+")))))))</f>
        <v>#REF!</v>
      </c>
      <c r="E41" s="154" t="e">
        <f>IF(#REF!&lt;10,"D",IF(#REF!&lt;12,"C",IF(#REF!&lt;14,"C+",IF(#REF!&lt;15,"B",IF(#REF!&lt;16,"B+",IF(#REF!&lt;18,"A",IF(#REF!&lt;20,"A+")))))))</f>
        <v>#REF!</v>
      </c>
      <c r="F41" s="155" t="e">
        <f>IF(#REF!&lt;10,"D",IF(#REF!&lt;12,"C",IF(#REF!&lt;14,"C+",IF(#REF!&lt;15,"B",IF(#REF!&lt;16,"B+",IF(#REF!&lt;18,"A",IF(#REF!&lt;20,"A+")))))))</f>
        <v>#REF!</v>
      </c>
      <c r="G41" s="140" t="s">
        <v>50</v>
      </c>
      <c r="H41" s="129"/>
      <c r="I41" s="129"/>
      <c r="J41" s="130"/>
      <c r="K41" s="144" t="s">
        <v>51</v>
      </c>
      <c r="L41" s="146"/>
      <c r="M41" s="18"/>
      <c r="N41" s="18"/>
      <c r="O41" s="18"/>
      <c r="P41" s="18"/>
    </row>
    <row r="42" spans="2:16" ht="16.5" thickBot="1" x14ac:dyDescent="0.3">
      <c r="B42" s="64" t="s">
        <v>52</v>
      </c>
      <c r="C42" s="163"/>
      <c r="D42" s="156" t="e">
        <f>IF(#REF!&lt;10,"D",IF(#REF!&lt;12,"C",IF(#REF!&lt;14,"C+",IF(#REF!&lt;15,"B",IF(#REF!&lt;16,"B+",IF(#REF!&lt;18,"A",IF(#REF!&lt;20,"A+")))))))</f>
        <v>#REF!</v>
      </c>
      <c r="E42" s="157" t="e">
        <f>IF(#REF!&lt;10,"D",IF(#REF!&lt;12,"C",IF(#REF!&lt;14,"C+",IF(#REF!&lt;15,"B",IF(#REF!&lt;16,"B+",IF(#REF!&lt;18,"A",IF(#REF!&lt;20,"A+")))))))</f>
        <v>#REF!</v>
      </c>
      <c r="F42" s="158" t="e">
        <f>IF(#REF!&lt;10,"D",IF(#REF!&lt;12,"C",IF(#REF!&lt;14,"C+",IF(#REF!&lt;15,"B",IF(#REF!&lt;16,"B+",IF(#REF!&lt;18,"A",IF(#REF!&lt;20,"A+")))))))</f>
        <v>#REF!</v>
      </c>
      <c r="G42" s="140" t="s">
        <v>53</v>
      </c>
      <c r="H42" s="129"/>
      <c r="I42" s="129"/>
      <c r="J42" s="130"/>
      <c r="K42" s="159" t="s">
        <v>54</v>
      </c>
      <c r="L42" s="160"/>
      <c r="M42" s="18"/>
      <c r="N42" s="18"/>
      <c r="O42" s="18"/>
      <c r="P42" s="18"/>
    </row>
    <row r="43" spans="2:16" ht="16.5" thickBot="1" x14ac:dyDescent="0.3">
      <c r="B43" s="64" t="s">
        <v>55</v>
      </c>
      <c r="C43" s="146"/>
      <c r="D43" s="144" t="s">
        <v>56</v>
      </c>
      <c r="E43" s="145"/>
      <c r="F43" s="146"/>
      <c r="G43" s="140" t="s">
        <v>57</v>
      </c>
      <c r="H43" s="129"/>
      <c r="I43" s="129"/>
      <c r="J43" s="130"/>
      <c r="K43" s="159"/>
      <c r="L43" s="160"/>
      <c r="M43" s="18"/>
      <c r="N43" s="18"/>
      <c r="O43" s="18"/>
      <c r="P43" s="18"/>
    </row>
    <row r="44" spans="2:16" ht="16.5" thickBot="1" x14ac:dyDescent="0.3">
      <c r="B44" s="34" t="s">
        <v>58</v>
      </c>
      <c r="C44" s="103"/>
      <c r="D44" s="147"/>
      <c r="E44" s="148"/>
      <c r="F44" s="149"/>
      <c r="G44" s="140" t="s">
        <v>59</v>
      </c>
      <c r="H44" s="129"/>
      <c r="I44" s="129"/>
      <c r="J44" s="130"/>
      <c r="K44" s="168" t="s">
        <v>60</v>
      </c>
      <c r="L44" s="169"/>
      <c r="M44" s="18"/>
      <c r="N44" s="18"/>
      <c r="O44" s="18"/>
      <c r="P44" s="18"/>
    </row>
    <row r="45" spans="2:16" ht="31.5" x14ac:dyDescent="0.25">
      <c r="B45" s="24" t="s">
        <v>61</v>
      </c>
      <c r="C45" s="104"/>
      <c r="D45" s="135"/>
      <c r="E45" s="136"/>
      <c r="F45" s="137"/>
      <c r="G45" s="135"/>
      <c r="H45" s="136"/>
      <c r="I45" s="136"/>
      <c r="J45" s="137"/>
      <c r="K45" s="168" t="s">
        <v>62</v>
      </c>
      <c r="L45" s="169"/>
      <c r="M45" s="18"/>
      <c r="N45" s="18"/>
      <c r="O45" s="18"/>
      <c r="P45" s="18"/>
    </row>
    <row r="46" spans="2:16" ht="15.75" x14ac:dyDescent="0.25">
      <c r="B46" s="102"/>
      <c r="C46" s="102"/>
      <c r="D46" s="170"/>
      <c r="E46" s="171"/>
      <c r="F46" s="172"/>
      <c r="G46" s="170"/>
      <c r="H46" s="171"/>
      <c r="I46" s="171"/>
      <c r="J46" s="172"/>
      <c r="K46" s="164"/>
      <c r="L46" s="165"/>
      <c r="M46" s="18"/>
      <c r="N46" s="18"/>
      <c r="O46" s="18"/>
      <c r="P46" s="18"/>
    </row>
    <row r="47" spans="2:16" ht="15.75" x14ac:dyDescent="0.25">
      <c r="B47" s="102"/>
      <c r="C47" s="102"/>
      <c r="D47" s="170"/>
      <c r="E47" s="171"/>
      <c r="F47" s="172"/>
      <c r="G47" s="170"/>
      <c r="H47" s="171"/>
      <c r="I47" s="171"/>
      <c r="J47" s="172"/>
      <c r="K47" s="164"/>
      <c r="L47" s="165"/>
      <c r="M47" s="18"/>
      <c r="N47" s="18"/>
      <c r="O47" s="18"/>
      <c r="P47" s="18"/>
    </row>
    <row r="48" spans="2:16" ht="16.5" thickBot="1" x14ac:dyDescent="0.3">
      <c r="B48" s="103"/>
      <c r="C48" s="103"/>
      <c r="D48" s="173"/>
      <c r="E48" s="174"/>
      <c r="F48" s="175"/>
      <c r="G48" s="173"/>
      <c r="H48" s="174"/>
      <c r="I48" s="174"/>
      <c r="J48" s="175"/>
      <c r="K48" s="166"/>
      <c r="L48" s="167"/>
      <c r="M48" s="18"/>
      <c r="N48" s="18"/>
      <c r="O48" s="18"/>
      <c r="P48" s="18"/>
    </row>
  </sheetData>
  <mergeCells count="65">
    <mergeCell ref="D40:F42"/>
    <mergeCell ref="G41:J41"/>
    <mergeCell ref="K41:L41"/>
    <mergeCell ref="G42:J42"/>
    <mergeCell ref="K42:L42"/>
    <mergeCell ref="I4:J4"/>
    <mergeCell ref="I5:J5"/>
    <mergeCell ref="I6:J6"/>
    <mergeCell ref="I7:J7"/>
    <mergeCell ref="B17:L17"/>
    <mergeCell ref="I8:J8"/>
    <mergeCell ref="I9:J9"/>
    <mergeCell ref="B10:L10"/>
    <mergeCell ref="D11:F11"/>
    <mergeCell ref="G11:H11"/>
    <mergeCell ref="J11:L11"/>
    <mergeCell ref="B12:L12"/>
    <mergeCell ref="I13:J13"/>
    <mergeCell ref="I14:J14"/>
    <mergeCell ref="I15:J15"/>
    <mergeCell ref="I16:J16"/>
    <mergeCell ref="D18:F18"/>
    <mergeCell ref="G18:H18"/>
    <mergeCell ref="J18:L18"/>
    <mergeCell ref="B19:L19"/>
    <mergeCell ref="I20:J20"/>
    <mergeCell ref="I21:J21"/>
    <mergeCell ref="I22:J22"/>
    <mergeCell ref="B23:L23"/>
    <mergeCell ref="D24:F24"/>
    <mergeCell ref="G24:H24"/>
    <mergeCell ref="J24:L24"/>
    <mergeCell ref="B33:C33"/>
    <mergeCell ref="G33:H33"/>
    <mergeCell ref="J33:K33"/>
    <mergeCell ref="D31:F31"/>
    <mergeCell ref="G31:H31"/>
    <mergeCell ref="J31:L31"/>
    <mergeCell ref="B32:L32"/>
    <mergeCell ref="B25:L25"/>
    <mergeCell ref="I26:J26"/>
    <mergeCell ref="I27:J27"/>
    <mergeCell ref="I28:J28"/>
    <mergeCell ref="I29:J29"/>
    <mergeCell ref="I34:L34"/>
    <mergeCell ref="I35:J35"/>
    <mergeCell ref="B36:H36"/>
    <mergeCell ref="I36:L36"/>
    <mergeCell ref="B37:L37"/>
    <mergeCell ref="B38:L38"/>
    <mergeCell ref="D45:F48"/>
    <mergeCell ref="G45:J48"/>
    <mergeCell ref="K45:L45"/>
    <mergeCell ref="B46:B48"/>
    <mergeCell ref="C45:C48"/>
    <mergeCell ref="D43:F44"/>
    <mergeCell ref="G43:J43"/>
    <mergeCell ref="K43:L43"/>
    <mergeCell ref="G44:J44"/>
    <mergeCell ref="C40:C42"/>
    <mergeCell ref="C43:C44"/>
    <mergeCell ref="K46:L48"/>
    <mergeCell ref="K44:L44"/>
    <mergeCell ref="D39:F39"/>
    <mergeCell ref="G39:L40"/>
  </mergeCells>
  <pageMargins left="0.7" right="0.7" top="0.75" bottom="0.75" header="0.3" footer="0.3"/>
  <pageSetup paperSize="9" scale="1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SEQUENCE 3</vt:lpstr>
      <vt:lpstr>SEQUENCE 4</vt:lpstr>
      <vt:lpstr>BORDEREAU</vt:lpstr>
      <vt:lpstr>BILICK </vt:lpstr>
      <vt:lpstr>MEKOULOU</vt:lpstr>
      <vt:lpstr>BILOA</vt:lpstr>
      <vt:lpstr>KIPO </vt:lpstr>
      <vt:lpstr>MAGNE</vt:lpstr>
      <vt:lpstr>NZOKOU</vt:lpstr>
      <vt:lpstr>YEMENI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florampeck</dc:creator>
  <cp:lastModifiedBy>ch'croute</cp:lastModifiedBy>
  <dcterms:created xsi:type="dcterms:W3CDTF">2020-10-20T19:24:02Z</dcterms:created>
  <dcterms:modified xsi:type="dcterms:W3CDTF">2026-04-01T12:56:37Z</dcterms:modified>
</cp:coreProperties>
</file>