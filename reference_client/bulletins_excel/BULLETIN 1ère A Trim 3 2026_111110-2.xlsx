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'croute\Desktop\BULLETIN COPRIFAN\bulletin fanion 2025-2026\1ère A\3e Trim\"/>
    </mc:Choice>
  </mc:AlternateContent>
  <bookViews>
    <workbookView xWindow="0" yWindow="0" windowWidth="19200" windowHeight="7440" tabRatio="771" firstSheet="1" activeTab="9"/>
  </bookViews>
  <sheets>
    <sheet name="SEQUENCE 5" sheetId="8" r:id="rId1"/>
    <sheet name="SEQUENCE 6" sheetId="9" r:id="rId2"/>
    <sheet name="BORDEREAU" sheetId="10" r:id="rId3"/>
    <sheet name="ANDONG" sheetId="7" r:id="rId4"/>
    <sheet name="MPONO " sheetId="11" r:id="rId5"/>
    <sheet name="NCHOUTYAME" sheetId="2" r:id="rId6"/>
    <sheet name="NGO POM" sheetId="3" r:id="rId7"/>
    <sheet name="OBAMA" sheetId="4" r:id="rId8"/>
    <sheet name="PEKEKO" sheetId="5" r:id="rId9"/>
    <sheet name="NGOME" sheetId="13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3" l="1"/>
  <c r="D42" i="13"/>
  <c r="C42" i="13"/>
  <c r="E41" i="13"/>
  <c r="D41" i="13"/>
  <c r="C41" i="13"/>
  <c r="E40" i="13"/>
  <c r="D40" i="13"/>
  <c r="O27" i="13"/>
  <c r="N27" i="13"/>
  <c r="C27" i="13"/>
  <c r="K27" i="13" s="1"/>
  <c r="O26" i="13"/>
  <c r="N26" i="13"/>
  <c r="C26" i="13"/>
  <c r="K26" i="13" s="1"/>
  <c r="O25" i="13"/>
  <c r="N25" i="13"/>
  <c r="C25" i="13"/>
  <c r="K25" i="13" s="1"/>
  <c r="O21" i="13"/>
  <c r="N21" i="13"/>
  <c r="C21" i="13"/>
  <c r="K21" i="13" s="1"/>
  <c r="O20" i="13"/>
  <c r="N20" i="13"/>
  <c r="C20" i="13"/>
  <c r="K20" i="13" s="1"/>
  <c r="O19" i="13"/>
  <c r="N19" i="13"/>
  <c r="K19" i="13"/>
  <c r="C19" i="13"/>
  <c r="G19" i="13" s="1"/>
  <c r="O15" i="13"/>
  <c r="N15" i="13"/>
  <c r="C15" i="13"/>
  <c r="K15" i="13" s="1"/>
  <c r="O14" i="13"/>
  <c r="N14" i="13"/>
  <c r="C14" i="13"/>
  <c r="K14" i="13" s="1"/>
  <c r="O13" i="13"/>
  <c r="N13" i="13"/>
  <c r="K13" i="13"/>
  <c r="G13" i="13"/>
  <c r="C13" i="13"/>
  <c r="O12" i="13"/>
  <c r="N12" i="13"/>
  <c r="K12" i="13"/>
  <c r="C12" i="13"/>
  <c r="G12" i="13" s="1"/>
  <c r="O8" i="13"/>
  <c r="N8" i="13"/>
  <c r="C8" i="13"/>
  <c r="K8" i="13" s="1"/>
  <c r="O7" i="13"/>
  <c r="N7" i="13"/>
  <c r="K7" i="13"/>
  <c r="G7" i="13"/>
  <c r="C7" i="13"/>
  <c r="O6" i="13"/>
  <c r="N6" i="13"/>
  <c r="K6" i="13"/>
  <c r="C6" i="13"/>
  <c r="G6" i="13" s="1"/>
  <c r="O5" i="13"/>
  <c r="N5" i="13"/>
  <c r="C5" i="13"/>
  <c r="K5" i="13" s="1"/>
  <c r="E42" i="5"/>
  <c r="D42" i="5"/>
  <c r="C42" i="5"/>
  <c r="E41" i="5"/>
  <c r="D41" i="5"/>
  <c r="C41" i="5"/>
  <c r="E40" i="5"/>
  <c r="D40" i="5"/>
  <c r="O27" i="5"/>
  <c r="N27" i="5"/>
  <c r="C27" i="5"/>
  <c r="K27" i="5" s="1"/>
  <c r="O26" i="5"/>
  <c r="N26" i="5"/>
  <c r="C26" i="5"/>
  <c r="G26" i="5" s="1"/>
  <c r="O25" i="5"/>
  <c r="N25" i="5"/>
  <c r="K25" i="5"/>
  <c r="G25" i="5"/>
  <c r="C25" i="5"/>
  <c r="O21" i="5"/>
  <c r="N21" i="5"/>
  <c r="C21" i="5"/>
  <c r="K21" i="5" s="1"/>
  <c r="O20" i="5"/>
  <c r="N20" i="5"/>
  <c r="C20" i="5"/>
  <c r="K20" i="5" s="1"/>
  <c r="O19" i="5"/>
  <c r="N19" i="5"/>
  <c r="K19" i="5"/>
  <c r="G19" i="5"/>
  <c r="C19" i="5"/>
  <c r="O15" i="5"/>
  <c r="N15" i="5"/>
  <c r="C15" i="5"/>
  <c r="K15" i="5" s="1"/>
  <c r="O14" i="5"/>
  <c r="N14" i="5"/>
  <c r="C14" i="5"/>
  <c r="K14" i="5" s="1"/>
  <c r="O13" i="5"/>
  <c r="N13" i="5"/>
  <c r="K13" i="5"/>
  <c r="G13" i="5"/>
  <c r="C13" i="5"/>
  <c r="O12" i="5"/>
  <c r="N12" i="5"/>
  <c r="K12" i="5"/>
  <c r="G12" i="5"/>
  <c r="C12" i="5"/>
  <c r="O8" i="5"/>
  <c r="N8" i="5"/>
  <c r="C8" i="5"/>
  <c r="K8" i="5" s="1"/>
  <c r="O7" i="5"/>
  <c r="N7" i="5"/>
  <c r="K7" i="5"/>
  <c r="G7" i="5"/>
  <c r="C7" i="5"/>
  <c r="O6" i="5"/>
  <c r="N6" i="5"/>
  <c r="K6" i="5"/>
  <c r="G6" i="5"/>
  <c r="C6" i="5"/>
  <c r="O5" i="5"/>
  <c r="O28" i="5" s="1"/>
  <c r="O30" i="5" s="1"/>
  <c r="N5" i="5"/>
  <c r="N28" i="5" s="1"/>
  <c r="N30" i="5" s="1"/>
  <c r="C5" i="5"/>
  <c r="K5" i="5" s="1"/>
  <c r="E42" i="4"/>
  <c r="D42" i="4"/>
  <c r="C42" i="4"/>
  <c r="E41" i="4"/>
  <c r="D41" i="4"/>
  <c r="C41" i="4"/>
  <c r="E40" i="4"/>
  <c r="D40" i="4"/>
  <c r="O27" i="4"/>
  <c r="N27" i="4"/>
  <c r="C27" i="4"/>
  <c r="K27" i="4" s="1"/>
  <c r="O26" i="4"/>
  <c r="N26" i="4"/>
  <c r="C26" i="4"/>
  <c r="K26" i="4" s="1"/>
  <c r="O25" i="4"/>
  <c r="N25" i="4"/>
  <c r="K25" i="4"/>
  <c r="G25" i="4"/>
  <c r="C25" i="4"/>
  <c r="O21" i="4"/>
  <c r="N21" i="4"/>
  <c r="C21" i="4"/>
  <c r="K21" i="4" s="1"/>
  <c r="O20" i="4"/>
  <c r="N20" i="4"/>
  <c r="C20" i="4"/>
  <c r="K20" i="4" s="1"/>
  <c r="O19" i="4"/>
  <c r="N19" i="4"/>
  <c r="C19" i="4"/>
  <c r="G19" i="4" s="1"/>
  <c r="O15" i="4"/>
  <c r="N15" i="4"/>
  <c r="C15" i="4"/>
  <c r="K15" i="4" s="1"/>
  <c r="O14" i="4"/>
  <c r="N14" i="4"/>
  <c r="C14" i="4"/>
  <c r="K14" i="4" s="1"/>
  <c r="O13" i="4"/>
  <c r="N13" i="4"/>
  <c r="C13" i="4"/>
  <c r="K13" i="4" s="1"/>
  <c r="O12" i="4"/>
  <c r="N12" i="4"/>
  <c r="C12" i="4"/>
  <c r="K12" i="4" s="1"/>
  <c r="O8" i="4"/>
  <c r="N8" i="4"/>
  <c r="C8" i="4"/>
  <c r="K8" i="4" s="1"/>
  <c r="O7" i="4"/>
  <c r="N7" i="4"/>
  <c r="C7" i="4"/>
  <c r="K7" i="4" s="1"/>
  <c r="O6" i="4"/>
  <c r="N6" i="4"/>
  <c r="K6" i="4"/>
  <c r="G6" i="4"/>
  <c r="C6" i="4"/>
  <c r="O5" i="4"/>
  <c r="N5" i="4"/>
  <c r="C5" i="4"/>
  <c r="K5" i="4" s="1"/>
  <c r="E42" i="3"/>
  <c r="D42" i="3"/>
  <c r="C42" i="3"/>
  <c r="E41" i="3"/>
  <c r="D41" i="3"/>
  <c r="C41" i="3"/>
  <c r="E40" i="3"/>
  <c r="D40" i="3"/>
  <c r="O27" i="3"/>
  <c r="N27" i="3"/>
  <c r="C27" i="3"/>
  <c r="K27" i="3" s="1"/>
  <c r="O26" i="3"/>
  <c r="N26" i="3"/>
  <c r="C26" i="3"/>
  <c r="K26" i="3" s="1"/>
  <c r="O25" i="3"/>
  <c r="N25" i="3"/>
  <c r="C25" i="3"/>
  <c r="K25" i="3" s="1"/>
  <c r="O21" i="3"/>
  <c r="N21" i="3"/>
  <c r="C21" i="3"/>
  <c r="K21" i="3" s="1"/>
  <c r="O20" i="3"/>
  <c r="N20" i="3"/>
  <c r="C20" i="3"/>
  <c r="K20" i="3" s="1"/>
  <c r="O19" i="3"/>
  <c r="N19" i="3"/>
  <c r="K19" i="3"/>
  <c r="C19" i="3"/>
  <c r="G19" i="3" s="1"/>
  <c r="O15" i="3"/>
  <c r="N15" i="3"/>
  <c r="C15" i="3"/>
  <c r="K15" i="3" s="1"/>
  <c r="O14" i="3"/>
  <c r="N14" i="3"/>
  <c r="C14" i="3"/>
  <c r="K14" i="3" s="1"/>
  <c r="O13" i="3"/>
  <c r="N13" i="3"/>
  <c r="G13" i="3"/>
  <c r="C13" i="3"/>
  <c r="K13" i="3" s="1"/>
  <c r="O12" i="3"/>
  <c r="N12" i="3"/>
  <c r="K12" i="3"/>
  <c r="C12" i="3"/>
  <c r="G12" i="3" s="1"/>
  <c r="O8" i="3"/>
  <c r="N8" i="3"/>
  <c r="C8" i="3"/>
  <c r="K8" i="3" s="1"/>
  <c r="O7" i="3"/>
  <c r="N7" i="3"/>
  <c r="K7" i="3"/>
  <c r="G7" i="3"/>
  <c r="C7" i="3"/>
  <c r="O6" i="3"/>
  <c r="N6" i="3"/>
  <c r="K6" i="3"/>
  <c r="C6" i="3"/>
  <c r="G6" i="3" s="1"/>
  <c r="O5" i="3"/>
  <c r="N5" i="3"/>
  <c r="C5" i="3"/>
  <c r="K5" i="3" s="1"/>
  <c r="E42" i="2"/>
  <c r="D42" i="2"/>
  <c r="C42" i="2"/>
  <c r="E41" i="2"/>
  <c r="D41" i="2"/>
  <c r="C41" i="2"/>
  <c r="E40" i="2"/>
  <c r="D40" i="2"/>
  <c r="O27" i="2"/>
  <c r="N27" i="2"/>
  <c r="C27" i="2"/>
  <c r="K27" i="2" s="1"/>
  <c r="O26" i="2"/>
  <c r="N26" i="2"/>
  <c r="C26" i="2"/>
  <c r="K26" i="2" s="1"/>
  <c r="O25" i="2"/>
  <c r="N25" i="2"/>
  <c r="C25" i="2"/>
  <c r="K25" i="2" s="1"/>
  <c r="O21" i="2"/>
  <c r="N21" i="2"/>
  <c r="C21" i="2"/>
  <c r="K21" i="2" s="1"/>
  <c r="O20" i="2"/>
  <c r="N20" i="2"/>
  <c r="C20" i="2"/>
  <c r="G20" i="2" s="1"/>
  <c r="O19" i="2"/>
  <c r="N19" i="2"/>
  <c r="K19" i="2"/>
  <c r="C19" i="2"/>
  <c r="G19" i="2" s="1"/>
  <c r="O15" i="2"/>
  <c r="N15" i="2"/>
  <c r="C15" i="2"/>
  <c r="K15" i="2" s="1"/>
  <c r="O14" i="2"/>
  <c r="N14" i="2"/>
  <c r="C14" i="2"/>
  <c r="K14" i="2" s="1"/>
  <c r="O13" i="2"/>
  <c r="N13" i="2"/>
  <c r="G13" i="2"/>
  <c r="C13" i="2"/>
  <c r="K13" i="2" s="1"/>
  <c r="O12" i="2"/>
  <c r="N12" i="2"/>
  <c r="K12" i="2"/>
  <c r="C12" i="2"/>
  <c r="G12" i="2" s="1"/>
  <c r="O8" i="2"/>
  <c r="N8" i="2"/>
  <c r="C8" i="2"/>
  <c r="K8" i="2" s="1"/>
  <c r="O7" i="2"/>
  <c r="N7" i="2"/>
  <c r="K7" i="2"/>
  <c r="G7" i="2"/>
  <c r="C7" i="2"/>
  <c r="O6" i="2"/>
  <c r="N6" i="2"/>
  <c r="K6" i="2"/>
  <c r="C6" i="2"/>
  <c r="G6" i="2" s="1"/>
  <c r="O5" i="2"/>
  <c r="N5" i="2"/>
  <c r="C5" i="2"/>
  <c r="K5" i="2" s="1"/>
  <c r="E42" i="11"/>
  <c r="D42" i="11"/>
  <c r="C42" i="11"/>
  <c r="E41" i="11"/>
  <c r="D41" i="11"/>
  <c r="C41" i="11"/>
  <c r="E40" i="11"/>
  <c r="D40" i="11"/>
  <c r="O27" i="11"/>
  <c r="N27" i="11"/>
  <c r="K27" i="11"/>
  <c r="C27" i="11"/>
  <c r="G27" i="11" s="1"/>
  <c r="O26" i="11"/>
  <c r="N26" i="11"/>
  <c r="C26" i="11"/>
  <c r="K26" i="11" s="1"/>
  <c r="O25" i="11"/>
  <c r="N25" i="11"/>
  <c r="C25" i="11"/>
  <c r="K25" i="11" s="1"/>
  <c r="O21" i="11"/>
  <c r="N21" i="11"/>
  <c r="K21" i="11"/>
  <c r="C21" i="11"/>
  <c r="G21" i="11" s="1"/>
  <c r="O20" i="11"/>
  <c r="N20" i="11"/>
  <c r="C20" i="11"/>
  <c r="K20" i="11" s="1"/>
  <c r="O19" i="11"/>
  <c r="N19" i="11"/>
  <c r="C19" i="11"/>
  <c r="K19" i="11" s="1"/>
  <c r="O15" i="11"/>
  <c r="N15" i="11"/>
  <c r="K15" i="11"/>
  <c r="C15" i="11"/>
  <c r="G15" i="11" s="1"/>
  <c r="O14" i="11"/>
  <c r="N14" i="11"/>
  <c r="C14" i="11"/>
  <c r="K14" i="11" s="1"/>
  <c r="O13" i="11"/>
  <c r="N13" i="11"/>
  <c r="C13" i="11"/>
  <c r="K13" i="11" s="1"/>
  <c r="O12" i="11"/>
  <c r="N12" i="11"/>
  <c r="K12" i="11"/>
  <c r="G12" i="11"/>
  <c r="C12" i="11"/>
  <c r="O8" i="11"/>
  <c r="N8" i="11"/>
  <c r="C8" i="11"/>
  <c r="K8" i="11" s="1"/>
  <c r="O7" i="11"/>
  <c r="O28" i="11" s="1"/>
  <c r="O30" i="11" s="1"/>
  <c r="N7" i="11"/>
  <c r="C7" i="11"/>
  <c r="K7" i="11" s="1"/>
  <c r="O6" i="11"/>
  <c r="N6" i="11"/>
  <c r="K6" i="11"/>
  <c r="G6" i="11"/>
  <c r="C6" i="11"/>
  <c r="O5" i="11"/>
  <c r="N5" i="11"/>
  <c r="N28" i="11" s="1"/>
  <c r="N30" i="11" s="1"/>
  <c r="C33" i="11" s="1"/>
  <c r="K5" i="11"/>
  <c r="C5" i="11"/>
  <c r="G5" i="11" s="1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A5" i="10"/>
  <c r="G25" i="13" l="1"/>
  <c r="O28" i="13"/>
  <c r="O30" i="13" s="1"/>
  <c r="N28" i="13"/>
  <c r="N30" i="13" s="1"/>
  <c r="C33" i="13" s="1"/>
  <c r="K19" i="4"/>
  <c r="G12" i="4"/>
  <c r="G13" i="4"/>
  <c r="C17" i="4" s="1"/>
  <c r="N28" i="4"/>
  <c r="N30" i="4" s="1"/>
  <c r="C33" i="4" s="1"/>
  <c r="O28" i="4"/>
  <c r="O30" i="4" s="1"/>
  <c r="G7" i="4"/>
  <c r="G25" i="3"/>
  <c r="N28" i="3"/>
  <c r="N30" i="3" s="1"/>
  <c r="C33" i="3" s="1"/>
  <c r="O28" i="3"/>
  <c r="O30" i="3" s="1"/>
  <c r="G25" i="2"/>
  <c r="N28" i="2"/>
  <c r="N30" i="2" s="1"/>
  <c r="C33" i="2" s="1"/>
  <c r="O28" i="2"/>
  <c r="O30" i="2" s="1"/>
  <c r="C17" i="13"/>
  <c r="G8" i="13"/>
  <c r="G14" i="13"/>
  <c r="G20" i="13"/>
  <c r="G26" i="13"/>
  <c r="C29" i="13" s="1"/>
  <c r="G5" i="13"/>
  <c r="G15" i="13"/>
  <c r="G21" i="13"/>
  <c r="G27" i="13"/>
  <c r="G14" i="5"/>
  <c r="C17" i="5" s="1"/>
  <c r="G8" i="5"/>
  <c r="G20" i="5"/>
  <c r="C23" i="5" s="1"/>
  <c r="G5" i="5"/>
  <c r="G15" i="5"/>
  <c r="G21" i="5"/>
  <c r="K26" i="5"/>
  <c r="G27" i="5"/>
  <c r="C29" i="5" s="1"/>
  <c r="G8" i="4"/>
  <c r="G26" i="4"/>
  <c r="C29" i="4" s="1"/>
  <c r="G14" i="4"/>
  <c r="G20" i="4"/>
  <c r="C23" i="4" s="1"/>
  <c r="G5" i="4"/>
  <c r="G15" i="4"/>
  <c r="G21" i="4"/>
  <c r="G27" i="4"/>
  <c r="C17" i="3"/>
  <c r="G8" i="3"/>
  <c r="G14" i="3"/>
  <c r="G20" i="3"/>
  <c r="C23" i="3" s="1"/>
  <c r="G26" i="3"/>
  <c r="G5" i="3"/>
  <c r="G15" i="3"/>
  <c r="G21" i="3"/>
  <c r="G27" i="3"/>
  <c r="C23" i="2"/>
  <c r="G8" i="2"/>
  <c r="G14" i="2"/>
  <c r="G26" i="2"/>
  <c r="G15" i="2"/>
  <c r="C17" i="2" s="1"/>
  <c r="K20" i="2"/>
  <c r="G21" i="2"/>
  <c r="G27" i="2"/>
  <c r="G5" i="2"/>
  <c r="C17" i="11"/>
  <c r="G7" i="11"/>
  <c r="C10" i="11" s="1"/>
  <c r="G19" i="11"/>
  <c r="G13" i="11"/>
  <c r="G25" i="11"/>
  <c r="G8" i="11"/>
  <c r="G14" i="11"/>
  <c r="G20" i="11"/>
  <c r="G26" i="11"/>
  <c r="E42" i="7"/>
  <c r="D42" i="7"/>
  <c r="C42" i="7"/>
  <c r="E41" i="7"/>
  <c r="D41" i="7"/>
  <c r="C41" i="7"/>
  <c r="E40" i="7"/>
  <c r="D40" i="7"/>
  <c r="C13" i="7"/>
  <c r="G13" i="7" s="1"/>
  <c r="C14" i="7"/>
  <c r="K14" i="7" s="1"/>
  <c r="C15" i="7"/>
  <c r="C20" i="7"/>
  <c r="K20" i="7" s="1"/>
  <c r="C21" i="7"/>
  <c r="K21" i="7" s="1"/>
  <c r="C26" i="7"/>
  <c r="G26" i="7" s="1"/>
  <c r="C27" i="7"/>
  <c r="K27" i="7" s="1"/>
  <c r="C25" i="7"/>
  <c r="G25" i="7" s="1"/>
  <c r="C19" i="7"/>
  <c r="K19" i="7" s="1"/>
  <c r="C12" i="7"/>
  <c r="K12" i="7" s="1"/>
  <c r="C6" i="7"/>
  <c r="C7" i="7"/>
  <c r="G7" i="7" s="1"/>
  <c r="C8" i="7"/>
  <c r="G8" i="7" s="1"/>
  <c r="C5" i="7"/>
  <c r="K5" i="7" s="1"/>
  <c r="K15" i="7"/>
  <c r="K25" i="7"/>
  <c r="O27" i="7"/>
  <c r="N27" i="7"/>
  <c r="O26" i="7"/>
  <c r="N26" i="7"/>
  <c r="O25" i="7"/>
  <c r="N25" i="7"/>
  <c r="O21" i="7"/>
  <c r="N21" i="7"/>
  <c r="O20" i="7"/>
  <c r="N20" i="7"/>
  <c r="O19" i="7"/>
  <c r="N19" i="7"/>
  <c r="O15" i="7"/>
  <c r="N15" i="7"/>
  <c r="O14" i="7"/>
  <c r="N14" i="7"/>
  <c r="G14" i="7"/>
  <c r="O13" i="7"/>
  <c r="N13" i="7"/>
  <c r="O12" i="7"/>
  <c r="N12" i="7"/>
  <c r="O8" i="7"/>
  <c r="N8" i="7"/>
  <c r="K8" i="7"/>
  <c r="O7" i="7"/>
  <c r="N7" i="7"/>
  <c r="O6" i="7"/>
  <c r="N6" i="7"/>
  <c r="K6" i="7"/>
  <c r="O5" i="7"/>
  <c r="N5" i="7"/>
  <c r="C23" i="13" l="1"/>
  <c r="C29" i="3"/>
  <c r="C29" i="2"/>
  <c r="C10" i="13"/>
  <c r="F33" i="13"/>
  <c r="D36" i="13" s="1"/>
  <c r="C10" i="5"/>
  <c r="F35" i="5"/>
  <c r="C40" i="5" s="1"/>
  <c r="C10" i="4"/>
  <c r="F33" i="4"/>
  <c r="D36" i="4" s="1"/>
  <c r="F35" i="4" s="1"/>
  <c r="C40" i="4" s="1"/>
  <c r="C10" i="3"/>
  <c r="F33" i="3"/>
  <c r="D36" i="3" s="1"/>
  <c r="F35" i="3" s="1"/>
  <c r="C40" i="3" s="1"/>
  <c r="C10" i="2"/>
  <c r="F33" i="2"/>
  <c r="D36" i="2" s="1"/>
  <c r="F35" i="2" s="1"/>
  <c r="C40" i="2" s="1"/>
  <c r="F33" i="11"/>
  <c r="D36" i="11" s="1"/>
  <c r="F35" i="11" s="1"/>
  <c r="C40" i="11" s="1"/>
  <c r="C29" i="11"/>
  <c r="C23" i="11"/>
  <c r="K26" i="7"/>
  <c r="O28" i="7"/>
  <c r="O30" i="7" s="1"/>
  <c r="K13" i="7"/>
  <c r="G20" i="7"/>
  <c r="G19" i="7"/>
  <c r="N28" i="7"/>
  <c r="N30" i="7" s="1"/>
  <c r="C33" i="7" s="1"/>
  <c r="K7" i="7"/>
  <c r="G5" i="7"/>
  <c r="G15" i="7"/>
  <c r="G21" i="7"/>
  <c r="G27" i="7"/>
  <c r="C29" i="7" s="1"/>
  <c r="G6" i="7"/>
  <c r="G12" i="7"/>
  <c r="F35" i="13" l="1"/>
  <c r="C40" i="13" s="1"/>
  <c r="C17" i="7"/>
  <c r="C23" i="7"/>
  <c r="C10" i="7"/>
  <c r="F33" i="7"/>
  <c r="D36" i="7" s="1"/>
  <c r="F35" i="7" s="1"/>
  <c r="C40" i="7" s="1"/>
  <c r="A22" i="10"/>
  <c r="A21" i="10"/>
  <c r="A20" i="10"/>
  <c r="A19" i="10"/>
  <c r="A18" i="10"/>
  <c r="A17" i="10"/>
  <c r="A23" i="10" l="1"/>
  <c r="O40" i="9" l="1"/>
  <c r="O39" i="9"/>
  <c r="O38" i="9"/>
  <c r="O37" i="9"/>
  <c r="O36" i="9"/>
  <c r="O35" i="9"/>
  <c r="O34" i="9"/>
  <c r="A6" i="10" l="1"/>
  <c r="A8" i="10"/>
  <c r="A9" i="10"/>
  <c r="C46" i="10" s="1"/>
  <c r="A10" i="10"/>
  <c r="A11" i="10"/>
  <c r="B47" i="10" s="1"/>
  <c r="E47" i="10" s="1"/>
  <c r="A7" i="10"/>
  <c r="H47" i="10"/>
  <c r="J47" i="10" s="1"/>
  <c r="K47" i="10" s="1"/>
  <c r="B43" i="10" l="1"/>
  <c r="E43" i="10" s="1"/>
  <c r="C42" i="10"/>
  <c r="C45" i="10"/>
  <c r="C43" i="10"/>
  <c r="C47" i="10"/>
  <c r="H46" i="10"/>
  <c r="I46" i="10" s="1"/>
  <c r="H42" i="10"/>
  <c r="C44" i="10"/>
  <c r="B46" i="10"/>
  <c r="B45" i="10"/>
  <c r="D45" i="10" s="1"/>
  <c r="B42" i="10"/>
  <c r="D42" i="10" s="1"/>
  <c r="B44" i="10"/>
  <c r="D47" i="10"/>
  <c r="I47" i="10"/>
  <c r="D43" i="10" l="1"/>
  <c r="J46" i="10"/>
  <c r="K46" i="10" s="1"/>
  <c r="E42" i="10"/>
  <c r="E45" i="10"/>
  <c r="D44" i="10"/>
  <c r="E44" i="10"/>
  <c r="D46" i="10"/>
  <c r="E46" i="10"/>
  <c r="E24" i="10" l="1"/>
  <c r="F24" i="10"/>
  <c r="G24" i="10"/>
  <c r="H24" i="10"/>
  <c r="I24" i="10"/>
  <c r="J24" i="10"/>
  <c r="C41" i="10" l="1"/>
  <c r="B41" i="10"/>
  <c r="B22" i="10"/>
  <c r="B34" i="10" s="1"/>
  <c r="B21" i="10"/>
  <c r="B20" i="10"/>
  <c r="B19" i="10"/>
  <c r="B18" i="10"/>
  <c r="B17" i="10"/>
  <c r="B30" i="10" l="1"/>
  <c r="I42" i="10"/>
  <c r="J42" i="10"/>
  <c r="K42" i="10" s="1"/>
  <c r="B31" i="10"/>
  <c r="J43" i="10"/>
  <c r="K43" i="10" s="1"/>
  <c r="I43" i="10"/>
  <c r="B32" i="10"/>
  <c r="H45" i="10"/>
  <c r="B29" i="10"/>
  <c r="H44" i="10"/>
  <c r="B33" i="10"/>
  <c r="H41" i="10"/>
  <c r="D41" i="10"/>
  <c r="E41" i="10"/>
  <c r="K24" i="10"/>
  <c r="L24" i="10"/>
  <c r="M24" i="10"/>
  <c r="N24" i="10"/>
  <c r="O24" i="10"/>
  <c r="P24" i="10"/>
  <c r="Q24" i="10"/>
  <c r="R24" i="10"/>
  <c r="I41" i="10" l="1"/>
  <c r="J41" i="10"/>
  <c r="K41" i="10" s="1"/>
  <c r="I45" i="10"/>
  <c r="J45" i="10"/>
  <c r="K45" i="10" s="1"/>
  <c r="I44" i="10"/>
  <c r="J44" i="10"/>
  <c r="K44" i="10" s="1"/>
  <c r="P40" i="9" l="1"/>
  <c r="N40" i="9"/>
  <c r="M40" i="9"/>
  <c r="L40" i="9"/>
  <c r="K40" i="9"/>
  <c r="J40" i="9"/>
  <c r="I40" i="9"/>
  <c r="H40" i="9"/>
  <c r="G40" i="9"/>
  <c r="F40" i="9"/>
  <c r="E40" i="9"/>
  <c r="D40" i="9"/>
  <c r="C40" i="9"/>
  <c r="Q40" i="9" s="1"/>
  <c r="R40" i="9" s="1"/>
  <c r="B40" i="9"/>
  <c r="P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P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P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S24" i="10"/>
  <c r="K48" i="10" s="1"/>
  <c r="S12" i="10"/>
  <c r="E48" i="10" s="1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B49" i="9"/>
  <c r="P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P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P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B29" i="9"/>
  <c r="B28" i="9"/>
  <c r="B27" i="9"/>
  <c r="B26" i="9"/>
  <c r="B25" i="9"/>
  <c r="B24" i="9"/>
  <c r="B23" i="9"/>
  <c r="B22" i="9"/>
  <c r="P21" i="9"/>
  <c r="P49" i="9" s="1"/>
  <c r="O21" i="9"/>
  <c r="O49" i="9" s="1"/>
  <c r="N21" i="9"/>
  <c r="N49" i="9" s="1"/>
  <c r="M21" i="9"/>
  <c r="M49" i="9" s="1"/>
  <c r="L21" i="9"/>
  <c r="L49" i="9" s="1"/>
  <c r="K21" i="9"/>
  <c r="K49" i="9" s="1"/>
  <c r="J21" i="9"/>
  <c r="J49" i="9" s="1"/>
  <c r="I21" i="9"/>
  <c r="I49" i="9" s="1"/>
  <c r="H21" i="9"/>
  <c r="H49" i="9" s="1"/>
  <c r="G21" i="9"/>
  <c r="G49" i="9" s="1"/>
  <c r="F21" i="9"/>
  <c r="F49" i="9" s="1"/>
  <c r="E21" i="9"/>
  <c r="E49" i="9" s="1"/>
  <c r="D21" i="9"/>
  <c r="D49" i="9" s="1"/>
  <c r="C21" i="9"/>
  <c r="C49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Q57" i="8" s="1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Q56" i="8" s="1"/>
  <c r="B56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Q55" i="8" s="1"/>
  <c r="C55" i="8"/>
  <c r="B55" i="8"/>
  <c r="P54" i="8"/>
  <c r="O54" i="8"/>
  <c r="N54" i="8"/>
  <c r="M54" i="8"/>
  <c r="L54" i="8"/>
  <c r="K54" i="8"/>
  <c r="J54" i="8"/>
  <c r="I54" i="8"/>
  <c r="H54" i="8"/>
  <c r="G54" i="8"/>
  <c r="F54" i="8"/>
  <c r="E54" i="8"/>
  <c r="Q54" i="8" s="1"/>
  <c r="D54" i="8"/>
  <c r="C54" i="8"/>
  <c r="B54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Q53" i="8" s="1"/>
  <c r="B53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Q52" i="8" s="1"/>
  <c r="B52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Q51" i="8" s="1"/>
  <c r="C51" i="8"/>
  <c r="B51" i="8"/>
  <c r="P50" i="8"/>
  <c r="O50" i="8"/>
  <c r="N50" i="8"/>
  <c r="M50" i="8"/>
  <c r="L50" i="8"/>
  <c r="K50" i="8"/>
  <c r="J50" i="8"/>
  <c r="I50" i="8"/>
  <c r="H50" i="8"/>
  <c r="G50" i="8"/>
  <c r="F50" i="8"/>
  <c r="E50" i="8"/>
  <c r="Q50" i="8" s="1"/>
  <c r="D50" i="8"/>
  <c r="C50" i="8"/>
  <c r="B50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Q49" i="8" s="1"/>
  <c r="B49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Q48" i="8" s="1"/>
  <c r="B48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Q47" i="8" s="1"/>
  <c r="C47" i="8"/>
  <c r="B47" i="8"/>
  <c r="P46" i="8"/>
  <c r="O46" i="8"/>
  <c r="N46" i="8"/>
  <c r="M46" i="8"/>
  <c r="L46" i="8"/>
  <c r="K46" i="8"/>
  <c r="J46" i="8"/>
  <c r="I46" i="8"/>
  <c r="H46" i="8"/>
  <c r="G46" i="8"/>
  <c r="F46" i="8"/>
  <c r="E46" i="8"/>
  <c r="Q46" i="8" s="1"/>
  <c r="D46" i="8"/>
  <c r="C46" i="8"/>
  <c r="B46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Q45" i="8" s="1"/>
  <c r="B45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Q44" i="8" s="1"/>
  <c r="B44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Q43" i="8" s="1"/>
  <c r="C43" i="8"/>
  <c r="B43" i="8"/>
  <c r="P42" i="8"/>
  <c r="O42" i="8"/>
  <c r="N42" i="8"/>
  <c r="M42" i="8"/>
  <c r="L42" i="8"/>
  <c r="K42" i="8"/>
  <c r="J42" i="8"/>
  <c r="I42" i="8"/>
  <c r="H42" i="8"/>
  <c r="G42" i="8"/>
  <c r="F42" i="8"/>
  <c r="E42" i="8"/>
  <c r="Q42" i="8" s="1"/>
  <c r="D42" i="8"/>
  <c r="C42" i="8"/>
  <c r="B42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Q41" i="8" s="1"/>
  <c r="B41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Q40" i="8" s="1"/>
  <c r="B40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29" i="8"/>
  <c r="B57" i="8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6" i="8"/>
  <c r="A32" i="10" l="1"/>
  <c r="A34" i="10"/>
  <c r="A31" i="10"/>
  <c r="A30" i="10"/>
  <c r="A29" i="10"/>
  <c r="A35" i="10"/>
  <c r="N47" i="10" s="1"/>
  <c r="A33" i="10"/>
  <c r="Q39" i="9"/>
  <c r="R39" i="9" s="1"/>
  <c r="Q39" i="8"/>
  <c r="R39" i="8" s="1"/>
  <c r="Q38" i="8"/>
  <c r="R38" i="8" s="1"/>
  <c r="Q38" i="9"/>
  <c r="R38" i="9" s="1"/>
  <c r="Q37" i="9"/>
  <c r="R37" i="9" s="1"/>
  <c r="Q36" i="9"/>
  <c r="R36" i="9" s="1"/>
  <c r="Q49" i="9"/>
  <c r="R49" i="9" s="1"/>
  <c r="Q37" i="8"/>
  <c r="R37" i="8" s="1"/>
  <c r="E36" i="10"/>
  <c r="I36" i="10"/>
  <c r="M36" i="10"/>
  <c r="Q36" i="10"/>
  <c r="Q35" i="9"/>
  <c r="R35" i="9" s="1"/>
  <c r="Q33" i="9"/>
  <c r="R33" i="9" s="1"/>
  <c r="Q34" i="9"/>
  <c r="R34" i="9" s="1"/>
  <c r="Q36" i="8"/>
  <c r="R36" i="8" s="1"/>
  <c r="Q34" i="8"/>
  <c r="R34" i="8" s="1"/>
  <c r="Q33" i="8"/>
  <c r="R33" i="8" s="1"/>
  <c r="Q35" i="8"/>
  <c r="R35" i="8" s="1"/>
  <c r="F36" i="10"/>
  <c r="J36" i="10"/>
  <c r="N36" i="10"/>
  <c r="R36" i="10"/>
  <c r="G36" i="10"/>
  <c r="K36" i="10"/>
  <c r="O36" i="10"/>
  <c r="S36" i="10"/>
  <c r="Q48" i="10" s="1"/>
  <c r="H36" i="10"/>
  <c r="L36" i="10"/>
  <c r="P36" i="10"/>
  <c r="N45" i="10" l="1"/>
  <c r="Q45" i="10" s="1"/>
  <c r="N44" i="10"/>
  <c r="N46" i="10"/>
  <c r="Q46" i="10" s="1"/>
  <c r="N43" i="10"/>
  <c r="P47" i="10"/>
  <c r="O47" i="10"/>
  <c r="Q47" i="10"/>
  <c r="N42" i="10"/>
  <c r="N41" i="10"/>
  <c r="R58" i="9"/>
  <c r="R58" i="8"/>
  <c r="O45" i="10" l="1"/>
  <c r="P45" i="10"/>
  <c r="Q44" i="10"/>
  <c r="P44" i="10"/>
  <c r="O44" i="10"/>
  <c r="P46" i="10"/>
  <c r="O46" i="10"/>
  <c r="Q42" i="10"/>
  <c r="P42" i="10"/>
  <c r="O42" i="10"/>
  <c r="P43" i="10"/>
  <c r="Q43" i="10"/>
  <c r="O43" i="10"/>
  <c r="Q41" i="10"/>
  <c r="O41" i="10"/>
  <c r="P41" i="10"/>
</calcChain>
</file>

<file path=xl/sharedStrings.xml><?xml version="1.0" encoding="utf-8"?>
<sst xmlns="http://schemas.openxmlformats.org/spreadsheetml/2006/main" count="855" uniqueCount="124">
  <si>
    <t>MATIERES</t>
  </si>
  <si>
    <t>Coef</t>
  </si>
  <si>
    <t>Moy × Coef</t>
  </si>
  <si>
    <t xml:space="preserve">Moy Gle Classe </t>
  </si>
  <si>
    <t>Rang</t>
  </si>
  <si>
    <t>Appréciations</t>
  </si>
  <si>
    <t>Anglais</t>
  </si>
  <si>
    <t xml:space="preserve">Total du GROUPE I                       : </t>
  </si>
  <si>
    <t xml:space="preserve">      Moyenne du Groupe :                                       </t>
  </si>
  <si>
    <t xml:space="preserve"> Rang de l’élève :</t>
  </si>
  <si>
    <t>ECM</t>
  </si>
  <si>
    <t xml:space="preserve">Total du GROUPE II                       : </t>
  </si>
  <si>
    <t xml:space="preserve">       Moyenne du Groupe :                                       </t>
  </si>
  <si>
    <t xml:space="preserve">Total du GROUPE III                       : </t>
  </si>
  <si>
    <t>EPS</t>
  </si>
  <si>
    <t>ESF</t>
  </si>
  <si>
    <t xml:space="preserve">Total du GROUPE IV                    : </t>
  </si>
  <si>
    <t>Total Général (GI + GII + GIII+GIV) =</t>
  </si>
  <si>
    <r>
      <t xml:space="preserve">Moy Gle de la Classe :                             </t>
    </r>
    <r>
      <rPr>
        <b/>
        <sz val="12"/>
        <color theme="1"/>
        <rFont val="Times New Roman"/>
        <family val="1"/>
      </rPr>
      <t xml:space="preserve">                     </t>
    </r>
  </si>
  <si>
    <t xml:space="preserve"> Moy du 1er :  </t>
  </si>
  <si>
    <t xml:space="preserve"> Moy du Dernier :</t>
  </si>
  <si>
    <t xml:space="preserve">Moyennes de l’Elève :                                                            </t>
  </si>
  <si>
    <t>/20</t>
  </si>
  <si>
    <t xml:space="preserve">          Rang de l’élève :                           </t>
  </si>
  <si>
    <r>
      <t>v</t>
    </r>
    <r>
      <rPr>
        <sz val="12"/>
        <color theme="1"/>
        <rFont val="Times New Roman"/>
        <family val="1"/>
      </rPr>
      <t xml:space="preserve">  </t>
    </r>
    <r>
      <rPr>
        <i/>
        <sz val="12"/>
        <color theme="1"/>
        <rFont val="Times New Roman"/>
        <family val="1"/>
      </rPr>
      <t>La moyenne Trimestrielle n’est pas égale à la moyenne arithmétique des séquences</t>
    </r>
  </si>
  <si>
    <r>
      <t xml:space="preserve">DECISIONS ET OBSERVATIONS / </t>
    </r>
    <r>
      <rPr>
        <i/>
        <sz val="12"/>
        <color theme="1"/>
        <rFont val="Times New Roman"/>
        <family val="1"/>
      </rPr>
      <t>Décisions And Observations</t>
    </r>
  </si>
  <si>
    <r>
      <t>DISCIPLINE /</t>
    </r>
    <r>
      <rPr>
        <i/>
        <sz val="12"/>
        <color theme="1"/>
        <rFont val="Times New Roman"/>
        <family val="1"/>
      </rPr>
      <t xml:space="preserve"> Disciplin</t>
    </r>
  </si>
  <si>
    <t>Appréciation du travail de l’élève</t>
  </si>
  <si>
    <r>
      <t xml:space="preserve">TRAVAIL / </t>
    </r>
    <r>
      <rPr>
        <i/>
        <sz val="12"/>
        <color theme="1"/>
        <rFont val="Times New Roman"/>
        <family val="1"/>
      </rPr>
      <t>Academic Work</t>
    </r>
  </si>
  <si>
    <t>Nb d’Heures :</t>
  </si>
  <si>
    <t>Nb de jrnées :</t>
  </si>
  <si>
    <r>
      <t xml:space="preserve">Tableau d’honneur / </t>
    </r>
    <r>
      <rPr>
        <i/>
        <sz val="12"/>
        <color theme="1"/>
        <rFont val="Times New Roman"/>
        <family val="1"/>
      </rPr>
      <t>Honour roll</t>
    </r>
  </si>
  <si>
    <t>Observations et Visa du Principal</t>
  </si>
  <si>
    <r>
      <t>Exclusions /</t>
    </r>
    <r>
      <rPr>
        <i/>
        <sz val="12"/>
        <color theme="1"/>
        <rFont val="Times New Roman"/>
        <family val="1"/>
      </rPr>
      <t xml:space="preserve"> Suspensions</t>
    </r>
  </si>
  <si>
    <r>
      <t xml:space="preserve">Encouragements / </t>
    </r>
    <r>
      <rPr>
        <i/>
        <sz val="12"/>
        <color theme="1"/>
        <rFont val="Times New Roman"/>
        <family val="1"/>
      </rPr>
      <t>Encouragements</t>
    </r>
  </si>
  <si>
    <t>Observations and Signature of Principal</t>
  </si>
  <si>
    <r>
      <t xml:space="preserve">Blâme / </t>
    </r>
    <r>
      <rPr>
        <i/>
        <sz val="12"/>
        <color theme="1"/>
        <rFont val="Times New Roman"/>
        <family val="1"/>
      </rPr>
      <t>Blame</t>
    </r>
  </si>
  <si>
    <t>Observations et Remarques du Professeur Principal</t>
  </si>
  <si>
    <r>
      <t xml:space="preserve">Félicitations / </t>
    </r>
    <r>
      <rPr>
        <i/>
        <sz val="12"/>
        <color theme="1"/>
        <rFont val="Times New Roman"/>
        <family val="1"/>
      </rPr>
      <t>Congratulations</t>
    </r>
  </si>
  <si>
    <r>
      <t xml:space="preserve">Avertissements / </t>
    </r>
    <r>
      <rPr>
        <i/>
        <sz val="12"/>
        <color theme="1"/>
        <rFont val="Times New Roman"/>
        <family val="1"/>
      </rPr>
      <t>Warnings</t>
    </r>
  </si>
  <si>
    <t>Décisions du Conseil de Classe</t>
  </si>
  <si>
    <t>Yaoundé le</t>
  </si>
  <si>
    <t>Observations et Remarques du parent de l’élève</t>
  </si>
  <si>
    <t>Le Principal</t>
  </si>
  <si>
    <t>N°</t>
  </si>
  <si>
    <t>Noms et Prénoms</t>
  </si>
  <si>
    <t>ANG</t>
  </si>
  <si>
    <t>LAN</t>
  </si>
  <si>
    <t>LIT</t>
  </si>
  <si>
    <t>LVII</t>
  </si>
  <si>
    <t>GEO</t>
  </si>
  <si>
    <t>HIST</t>
  </si>
  <si>
    <t>PHILO</t>
  </si>
  <si>
    <t>INF</t>
  </si>
  <si>
    <t>MATH</t>
  </si>
  <si>
    <t>SCI</t>
  </si>
  <si>
    <t>TM</t>
  </si>
  <si>
    <t>MOY GEN</t>
  </si>
  <si>
    <t>TOTAL</t>
  </si>
  <si>
    <t>MOYENNE</t>
  </si>
  <si>
    <t xml:space="preserve">MOYENNE </t>
  </si>
  <si>
    <t>MOY</t>
  </si>
  <si>
    <t>MPONO Grâce Mireille</t>
  </si>
  <si>
    <t>PEKEKO Elvan Fabrel</t>
  </si>
  <si>
    <t>OBAMA EKOUE Marlyse Giovanny</t>
  </si>
  <si>
    <r>
      <t xml:space="preserve">Anglais
</t>
    </r>
    <r>
      <rPr>
        <i/>
        <sz val="12"/>
        <color theme="1"/>
        <rFont val="Cambria"/>
        <family val="1"/>
      </rPr>
      <t>M. DJONGMO TI-EGREBE</t>
    </r>
  </si>
  <si>
    <r>
      <t xml:space="preserve">ECM
</t>
    </r>
    <r>
      <rPr>
        <i/>
        <sz val="12"/>
        <color theme="1"/>
        <rFont val="Cambria"/>
        <family val="1"/>
      </rPr>
      <t xml:space="preserve">M. KENMOE KALASSI Willy Hervé </t>
    </r>
  </si>
  <si>
    <r>
      <t xml:space="preserve">Géographie
</t>
    </r>
    <r>
      <rPr>
        <i/>
        <sz val="12"/>
        <color theme="1"/>
        <rFont val="Cambria"/>
        <family val="1"/>
      </rPr>
      <t xml:space="preserve">M. KENMOE KALASSI Willy Hervé </t>
    </r>
  </si>
  <si>
    <t>ANDONG Suzanne Melinda</t>
  </si>
  <si>
    <t>NCHOUTYAME DIADOUKOUO Valerie Chaquira</t>
  </si>
  <si>
    <t>NGO POM Marie Juzelle</t>
  </si>
  <si>
    <t>Sexe</t>
  </si>
  <si>
    <t>Matricule</t>
  </si>
  <si>
    <t>SEXE</t>
  </si>
  <si>
    <t>MATRICULE</t>
  </si>
  <si>
    <t>MOYENNE GENERALE</t>
  </si>
  <si>
    <t>F</t>
  </si>
  <si>
    <t>M</t>
  </si>
  <si>
    <t>1 er/ère</t>
  </si>
  <si>
    <t>2 ème</t>
  </si>
  <si>
    <t>3 ème</t>
  </si>
  <si>
    <t>4 ème</t>
  </si>
  <si>
    <t>5 ème</t>
  </si>
  <si>
    <t>6 ème</t>
  </si>
  <si>
    <r>
      <t xml:space="preserve">Langue française
</t>
    </r>
    <r>
      <rPr>
        <i/>
        <sz val="12"/>
        <color theme="1"/>
        <rFont val="Cambria"/>
        <family val="1"/>
      </rPr>
      <t>M. HIACK Simon</t>
    </r>
  </si>
  <si>
    <r>
      <t xml:space="preserve">Littérature
</t>
    </r>
    <r>
      <rPr>
        <i/>
        <sz val="12"/>
        <color theme="1"/>
        <rFont val="Cambria"/>
        <family val="1"/>
      </rPr>
      <t>M. HIACK Simon</t>
    </r>
  </si>
  <si>
    <r>
      <t xml:space="preserve">Langue Vivante II
</t>
    </r>
    <r>
      <rPr>
        <i/>
        <sz val="12"/>
        <color theme="1"/>
        <rFont val="Cambria"/>
        <family val="1"/>
      </rPr>
      <t>M. ATEMENA Bruceley/M. TCHOUAMENI P.</t>
    </r>
  </si>
  <si>
    <r>
      <t xml:space="preserve">Histoire
</t>
    </r>
    <r>
      <rPr>
        <i/>
        <sz val="12"/>
        <color theme="1"/>
        <rFont val="Cambria"/>
        <family val="1"/>
      </rPr>
      <t>Mme MINDZIE MENGUE Jeanne Raïssa</t>
    </r>
  </si>
  <si>
    <r>
      <t xml:space="preserve">Philosophie
</t>
    </r>
    <r>
      <rPr>
        <i/>
        <sz val="12"/>
        <color theme="1"/>
        <rFont val="Cambria"/>
        <family val="1"/>
      </rPr>
      <t>M. MBARGA Marc Rodrigue Junior</t>
    </r>
  </si>
  <si>
    <r>
      <t xml:space="preserve">Informatique
</t>
    </r>
    <r>
      <rPr>
        <i/>
        <sz val="12"/>
        <color theme="1"/>
        <rFont val="Cambria"/>
        <family val="1"/>
      </rPr>
      <t>M. TALOM Gabriel</t>
    </r>
  </si>
  <si>
    <r>
      <t xml:space="preserve">Mathématiques
</t>
    </r>
    <r>
      <rPr>
        <i/>
        <sz val="12"/>
        <color theme="1"/>
        <rFont val="Cambria"/>
        <family val="1"/>
      </rPr>
      <t>M. TEDONNANG TECHI Aristide Joël</t>
    </r>
  </si>
  <si>
    <r>
      <t xml:space="preserve">Sciences
</t>
    </r>
    <r>
      <rPr>
        <i/>
        <sz val="12"/>
        <color theme="1"/>
        <rFont val="Cambria"/>
        <family val="1"/>
      </rPr>
      <t xml:space="preserve">Mme NDOUMBISSI KAMGANG Yolande </t>
    </r>
  </si>
  <si>
    <r>
      <t xml:space="preserve">EPS
</t>
    </r>
    <r>
      <rPr>
        <i/>
        <sz val="12"/>
        <color theme="1"/>
        <rFont val="Cambria"/>
        <family val="1"/>
      </rPr>
      <t>M. EKENDJOUM OTTI Stéphane</t>
    </r>
  </si>
  <si>
    <r>
      <t xml:space="preserve">ESF
</t>
    </r>
    <r>
      <rPr>
        <i/>
        <sz val="12"/>
        <color theme="1"/>
        <rFont val="Cambria"/>
        <family val="1"/>
      </rPr>
      <t>Mme MPECK Gérarldine Samuelle</t>
    </r>
  </si>
  <si>
    <r>
      <t xml:space="preserve">Travail Manuel
</t>
    </r>
    <r>
      <rPr>
        <i/>
        <sz val="12"/>
        <color theme="1"/>
        <rFont val="Cambria"/>
        <family val="1"/>
      </rPr>
      <t>M. POCK NLOGA Pierre Sadrack R.</t>
    </r>
  </si>
  <si>
    <t>1ère</t>
  </si>
  <si>
    <t>7 ème</t>
  </si>
  <si>
    <t>NGOME GOUSSAKI ANGE GABRIELLE</t>
  </si>
  <si>
    <t xml:space="preserve">3 ème </t>
  </si>
  <si>
    <t>SEQUENCE 3</t>
  </si>
  <si>
    <t>SEQUENCE 4</t>
  </si>
  <si>
    <t>TRIMESTRE 2</t>
  </si>
  <si>
    <t>ème</t>
  </si>
  <si>
    <t>TRIM 3</t>
  </si>
  <si>
    <t>SEQ 5</t>
  </si>
  <si>
    <t xml:space="preserve"> Trimestre 3 :                   </t>
  </si>
  <si>
    <t>Trim1</t>
  </si>
  <si>
    <t>Trim 2</t>
  </si>
  <si>
    <t>Trim 3</t>
  </si>
  <si>
    <t>ANNUEL</t>
  </si>
  <si>
    <t>Rang Annuel:</t>
  </si>
  <si>
    <t>ème / 05</t>
  </si>
  <si>
    <t>/05</t>
  </si>
  <si>
    <t>NC</t>
  </si>
  <si>
    <t>6ème / 06</t>
  </si>
  <si>
    <t>1ère / 06</t>
  </si>
  <si>
    <t>2ème / 06</t>
  </si>
  <si>
    <t>2ème</t>
  </si>
  <si>
    <t>3ème</t>
  </si>
  <si>
    <t>5ème</t>
  </si>
  <si>
    <t>4ème</t>
  </si>
  <si>
    <t>5ème / 05</t>
  </si>
  <si>
    <t>3ème / 06</t>
  </si>
  <si>
    <t>4ème /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</si>
</sst>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Wingdings"/>
      <charset val="2"/>
    </font>
    <font>
      <i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66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mbria"/>
      <family val="1"/>
    </font>
    <font>
      <sz val="11"/>
      <color theme="1"/>
      <name val="Calibri"/>
      <family val="2"/>
    </font>
    <font>
      <b/>
      <sz val="11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0066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E6B8B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2" fillId="0" borderId="0" xfId="0" applyFont="1"/>
    <xf numFmtId="2" fontId="4" fillId="0" borderId="4" xfId="0" applyNumberFormat="1" applyFont="1" applyBorder="1" applyAlignment="1">
      <alignment vertical="center" wrapText="1"/>
    </xf>
    <xf numFmtId="2" fontId="3" fillId="0" borderId="4" xfId="0" applyNumberFormat="1" applyFont="1" applyBorder="1" applyAlignment="1">
      <alignment vertical="center" wrapText="1"/>
    </xf>
    <xf numFmtId="2" fontId="4" fillId="0" borderId="3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2" fontId="0" fillId="0" borderId="0" xfId="0" applyNumberFormat="1"/>
    <xf numFmtId="0" fontId="0" fillId="0" borderId="13" xfId="0" applyFill="1" applyBorder="1" applyAlignment="1">
      <alignment horizontal="center"/>
    </xf>
    <xf numFmtId="2" fontId="0" fillId="0" borderId="13" xfId="0" applyNumberFormat="1" applyFill="1" applyBorder="1"/>
    <xf numFmtId="0" fontId="9" fillId="0" borderId="13" xfId="0" applyFont="1" applyBorder="1"/>
    <xf numFmtId="2" fontId="9" fillId="0" borderId="13" xfId="0" applyNumberFormat="1" applyFont="1" applyBorder="1"/>
    <xf numFmtId="0" fontId="7" fillId="0" borderId="13" xfId="0" applyFont="1" applyBorder="1"/>
    <xf numFmtId="2" fontId="9" fillId="0" borderId="13" xfId="0" applyNumberFormat="1" applyFont="1" applyFill="1" applyBorder="1"/>
    <xf numFmtId="0" fontId="9" fillId="0" borderId="0" xfId="0" applyFont="1"/>
    <xf numFmtId="0" fontId="8" fillId="0" borderId="0" xfId="0" applyFont="1"/>
    <xf numFmtId="0" fontId="11" fillId="0" borderId="13" xfId="0" applyFont="1" applyBorder="1"/>
    <xf numFmtId="2" fontId="11" fillId="0" borderId="13" xfId="0" applyNumberFormat="1" applyFont="1" applyBorder="1"/>
    <xf numFmtId="2" fontId="11" fillId="0" borderId="13" xfId="0" applyNumberFormat="1" applyFont="1" applyFill="1" applyBorder="1"/>
    <xf numFmtId="2" fontId="3" fillId="0" borderId="3" xfId="0" applyNumberFormat="1" applyFont="1" applyBorder="1" applyAlignment="1">
      <alignment vertical="top" wrapText="1"/>
    </xf>
    <xf numFmtId="2" fontId="3" fillId="0" borderId="4" xfId="0" applyNumberFormat="1" applyFont="1" applyBorder="1" applyAlignment="1">
      <alignment horizontal="center" vertical="center" wrapText="1"/>
    </xf>
    <xf numFmtId="0" fontId="3" fillId="0" borderId="13" xfId="0" applyFont="1" applyBorder="1"/>
    <xf numFmtId="0" fontId="13" fillId="0" borderId="0" xfId="0" applyFont="1" applyFill="1" applyBorder="1"/>
    <xf numFmtId="0" fontId="14" fillId="0" borderId="0" xfId="0" applyFont="1" applyFill="1" applyBorder="1" applyAlignment="1"/>
    <xf numFmtId="0" fontId="14" fillId="2" borderId="13" xfId="0" applyFont="1" applyFill="1" applyBorder="1"/>
    <xf numFmtId="0" fontId="14" fillId="3" borderId="13" xfId="0" applyFont="1" applyFill="1" applyBorder="1"/>
    <xf numFmtId="0" fontId="13" fillId="0" borderId="0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5" borderId="13" xfId="0" applyNumberFormat="1" applyFont="1" applyFill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0" fontId="0" fillId="6" borderId="13" xfId="0" applyFill="1" applyBorder="1"/>
    <xf numFmtId="0" fontId="9" fillId="7" borderId="13" xfId="0" applyFont="1" applyFill="1" applyBorder="1"/>
    <xf numFmtId="2" fontId="9" fillId="7" borderId="13" xfId="0" applyNumberFormat="1" applyFont="1" applyFill="1" applyBorder="1"/>
    <xf numFmtId="0" fontId="3" fillId="6" borderId="13" xfId="0" applyFont="1" applyFill="1" applyBorder="1"/>
    <xf numFmtId="2" fontId="3" fillId="8" borderId="13" xfId="0" applyNumberFormat="1" applyFont="1" applyFill="1" applyBorder="1"/>
    <xf numFmtId="2" fontId="15" fillId="7" borderId="13" xfId="0" applyNumberFormat="1" applyFont="1" applyFill="1" applyBorder="1"/>
    <xf numFmtId="0" fontId="8" fillId="9" borderId="13" xfId="0" applyFont="1" applyFill="1" applyBorder="1"/>
    <xf numFmtId="0" fontId="0" fillId="9" borderId="13" xfId="0" applyFill="1" applyBorder="1"/>
    <xf numFmtId="0" fontId="3" fillId="9" borderId="13" xfId="0" applyFont="1" applyFill="1" applyBorder="1"/>
    <xf numFmtId="2" fontId="3" fillId="6" borderId="13" xfId="0" applyNumberFormat="1" applyFont="1" applyFill="1" applyBorder="1"/>
    <xf numFmtId="0" fontId="9" fillId="9" borderId="13" xfId="0" applyFont="1" applyFill="1" applyBorder="1"/>
    <xf numFmtId="0" fontId="9" fillId="5" borderId="13" xfId="0" applyFont="1" applyFill="1" applyBorder="1"/>
    <xf numFmtId="2" fontId="10" fillId="5" borderId="13" xfId="0" applyNumberFormat="1" applyFont="1" applyFill="1" applyBorder="1"/>
    <xf numFmtId="2" fontId="16" fillId="5" borderId="13" xfId="0" applyNumberFormat="1" applyFont="1" applyFill="1" applyBorder="1"/>
    <xf numFmtId="0" fontId="0" fillId="10" borderId="13" xfId="0" applyFill="1" applyBorder="1"/>
    <xf numFmtId="0" fontId="3" fillId="10" borderId="13" xfId="0" applyFont="1" applyFill="1" applyBorder="1"/>
    <xf numFmtId="2" fontId="9" fillId="9" borderId="13" xfId="0" applyNumberFormat="1" applyFont="1" applyFill="1" applyBorder="1"/>
    <xf numFmtId="2" fontId="15" fillId="9" borderId="13" xfId="0" applyNumberFormat="1" applyFont="1" applyFill="1" applyBorder="1"/>
    <xf numFmtId="2" fontId="3" fillId="7" borderId="13" xfId="0" applyNumberFormat="1" applyFont="1" applyFill="1" applyBorder="1"/>
    <xf numFmtId="2" fontId="3" fillId="10" borderId="13" xfId="0" applyNumberFormat="1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2" fontId="3" fillId="4" borderId="13" xfId="0" applyNumberFormat="1" applyFont="1" applyFill="1" applyBorder="1" applyAlignment="1">
      <alignment horizontal="center"/>
    </xf>
    <xf numFmtId="2" fontId="17" fillId="9" borderId="13" xfId="0" applyNumberFormat="1" applyFont="1" applyFill="1" applyBorder="1" applyAlignment="1">
      <alignment horizontal="center"/>
    </xf>
    <xf numFmtId="2" fontId="17" fillId="7" borderId="1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12" xfId="0" applyFont="1" applyBorder="1" applyAlignment="1">
      <alignment vertical="center" wrapText="1"/>
    </xf>
    <xf numFmtId="2" fontId="3" fillId="0" borderId="3" xfId="0" applyNumberFormat="1" applyFont="1" applyBorder="1" applyAlignment="1">
      <alignment vertical="center" wrapText="1"/>
    </xf>
    <xf numFmtId="0" fontId="3" fillId="11" borderId="3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vertical="center" wrapText="1"/>
    </xf>
    <xf numFmtId="0" fontId="3" fillId="11" borderId="6" xfId="0" applyFont="1" applyFill="1" applyBorder="1" applyAlignment="1">
      <alignment vertical="center" wrapText="1"/>
    </xf>
    <xf numFmtId="0" fontId="3" fillId="11" borderId="8" xfId="0" applyFont="1" applyFill="1" applyBorder="1" applyAlignment="1">
      <alignment vertical="center" wrapText="1"/>
    </xf>
    <xf numFmtId="0" fontId="3" fillId="11" borderId="0" xfId="0" applyFont="1" applyFill="1" applyBorder="1" applyAlignment="1">
      <alignment vertical="center" wrapText="1"/>
    </xf>
    <xf numFmtId="2" fontId="3" fillId="11" borderId="0" xfId="0" applyNumberFormat="1" applyFont="1" applyFill="1" applyBorder="1" applyAlignment="1">
      <alignment horizontal="right" vertical="center" wrapText="1"/>
    </xf>
    <xf numFmtId="0" fontId="18" fillId="12" borderId="18" xfId="0" applyFont="1" applyFill="1" applyBorder="1" applyAlignment="1">
      <alignment horizontal="right" vertical="center" wrapText="1"/>
    </xf>
    <xf numFmtId="2" fontId="18" fillId="12" borderId="0" xfId="0" applyNumberFormat="1" applyFont="1" applyFill="1" applyBorder="1" applyAlignment="1">
      <alignment vertical="center" wrapText="1"/>
    </xf>
    <xf numFmtId="0" fontId="18" fillId="12" borderId="0" xfId="0" applyFont="1" applyFill="1" applyBorder="1" applyAlignment="1">
      <alignment horizontal="right" vertical="center" wrapText="1"/>
    </xf>
    <xf numFmtId="0" fontId="18" fillId="12" borderId="9" xfId="0" applyFont="1" applyFill="1" applyBorder="1" applyAlignment="1">
      <alignment vertical="center" wrapText="1"/>
    </xf>
    <xf numFmtId="0" fontId="18" fillId="12" borderId="19" xfId="0" applyFont="1" applyFill="1" applyBorder="1" applyAlignment="1">
      <alignment horizontal="right" vertical="center" wrapText="1"/>
    </xf>
    <xf numFmtId="2" fontId="18" fillId="12" borderId="11" xfId="0" applyNumberFormat="1" applyFont="1" applyFill="1" applyBorder="1" applyAlignment="1">
      <alignment horizontal="center" vertical="center" wrapText="1"/>
    </xf>
    <xf numFmtId="0" fontId="17" fillId="12" borderId="11" xfId="0" applyFont="1" applyFill="1" applyBorder="1" applyAlignment="1">
      <alignment horizontal="right" wrapText="1"/>
    </xf>
    <xf numFmtId="2" fontId="17" fillId="12" borderId="11" xfId="0" applyNumberFormat="1" applyFont="1" applyFill="1" applyBorder="1" applyAlignment="1">
      <alignment horizontal="right" vertical="center" wrapText="1"/>
    </xf>
    <xf numFmtId="0" fontId="17" fillId="12" borderId="12" xfId="0" applyFont="1" applyFill="1" applyBorder="1" applyAlignment="1">
      <alignment vertical="center" wrapText="1"/>
    </xf>
    <xf numFmtId="0" fontId="17" fillId="0" borderId="8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right" vertical="center" wrapText="1"/>
    </xf>
    <xf numFmtId="0" fontId="17" fillId="0" borderId="9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2" fontId="3" fillId="11" borderId="0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12" xfId="0" applyFont="1" applyBorder="1" applyAlignment="1">
      <alignment vertical="center" wrapText="1"/>
    </xf>
    <xf numFmtId="0" fontId="14" fillId="0" borderId="14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7" borderId="15" xfId="0" applyFont="1" applyFill="1" applyBorder="1" applyAlignment="1">
      <alignment horizontal="center"/>
    </xf>
    <xf numFmtId="0" fontId="14" fillId="7" borderId="16" xfId="0" applyFont="1" applyFill="1" applyBorder="1" applyAlignment="1">
      <alignment horizontal="center"/>
    </xf>
    <xf numFmtId="0" fontId="14" fillId="9" borderId="15" xfId="0" applyFont="1" applyFill="1" applyBorder="1" applyAlignment="1">
      <alignment horizontal="center"/>
    </xf>
    <xf numFmtId="0" fontId="14" fillId="9" borderId="16" xfId="0" applyFont="1" applyFill="1" applyBorder="1" applyAlignment="1">
      <alignment horizontal="center"/>
    </xf>
    <xf numFmtId="0" fontId="14" fillId="9" borderId="17" xfId="0" applyFont="1" applyFill="1" applyBorder="1" applyAlignment="1">
      <alignment horizontal="center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2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right" vertical="center" wrapText="1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4" fillId="0" borderId="1" xfId="0" applyNumberFormat="1" applyFont="1" applyBorder="1" applyAlignment="1">
      <alignment vertical="center" wrapText="1"/>
    </xf>
    <xf numFmtId="2" fontId="4" fillId="0" borderId="7" xfId="0" applyNumberFormat="1" applyFont="1" applyBorder="1" applyAlignment="1">
      <alignment vertical="center" wrapText="1"/>
    </xf>
    <xf numFmtId="2" fontId="4" fillId="0" borderId="5" xfId="0" applyNumberFormat="1" applyFont="1" applyBorder="1" applyAlignment="1">
      <alignment vertical="center" wrapText="1"/>
    </xf>
    <xf numFmtId="2" fontId="4" fillId="0" borderId="2" xfId="0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right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vertical="center" wrapText="1"/>
    </xf>
    <xf numFmtId="2" fontId="3" fillId="0" borderId="5" xfId="0" applyNumberFormat="1" applyFont="1" applyBorder="1" applyAlignment="1">
      <alignment vertical="center" wrapText="1"/>
    </xf>
    <xf numFmtId="2" fontId="3" fillId="0" borderId="6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3" fillId="0" borderId="7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2" fontId="3" fillId="11" borderId="0" xfId="0" applyNumberFormat="1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vertical="center" wrapText="1"/>
    </xf>
    <xf numFmtId="0" fontId="3" fillId="13" borderId="6" xfId="0" applyFont="1" applyFill="1" applyBorder="1" applyAlignment="1">
      <alignment vertical="center" wrapText="1"/>
    </xf>
    <xf numFmtId="0" fontId="3" fillId="13" borderId="8" xfId="0" applyFont="1" applyFill="1" applyBorder="1" applyAlignment="1">
      <alignment vertical="center" wrapText="1"/>
    </xf>
    <xf numFmtId="2" fontId="3" fillId="13" borderId="0" xfId="0" applyNumberFormat="1" applyFont="1" applyFill="1" applyBorder="1" applyAlignment="1">
      <alignment horizontal="center" vertical="center" wrapText="1"/>
    </xf>
    <xf numFmtId="0" fontId="3" fillId="13" borderId="0" xfId="0" applyFont="1" applyFill="1" applyBorder="1" applyAlignment="1">
      <alignment vertical="center" wrapText="1"/>
    </xf>
    <xf numFmtId="2" fontId="3" fillId="13" borderId="0" xfId="0" applyNumberFormat="1" applyFont="1" applyFill="1" applyBorder="1" applyAlignment="1">
      <alignment horizontal="right" vertical="center" wrapText="1"/>
    </xf>
    <xf numFmtId="2" fontId="3" fillId="13" borderId="0" xfId="0" applyNumberFormat="1" applyFont="1" applyFill="1" applyBorder="1" applyAlignment="1">
      <alignment horizontal="center" vertical="center" wrapText="1"/>
    </xf>
    <xf numFmtId="0" fontId="18" fillId="14" borderId="18" xfId="0" applyFont="1" applyFill="1" applyBorder="1" applyAlignment="1">
      <alignment horizontal="right" vertical="center" wrapText="1"/>
    </xf>
    <xf numFmtId="2" fontId="18" fillId="14" borderId="0" xfId="0" applyNumberFormat="1" applyFont="1" applyFill="1" applyBorder="1" applyAlignment="1">
      <alignment vertical="center" wrapText="1"/>
    </xf>
    <xf numFmtId="0" fontId="18" fillId="14" borderId="0" xfId="0" applyFont="1" applyFill="1" applyBorder="1" applyAlignment="1">
      <alignment horizontal="right" vertical="center" wrapText="1"/>
    </xf>
    <xf numFmtId="0" fontId="18" fillId="14" borderId="9" xfId="0" applyFont="1" applyFill="1" applyBorder="1" applyAlignment="1">
      <alignment vertical="center" wrapText="1"/>
    </xf>
    <xf numFmtId="2" fontId="18" fillId="14" borderId="19" xfId="0" applyNumberFormat="1" applyFont="1" applyFill="1" applyBorder="1" applyAlignment="1">
      <alignment horizontal="right" vertical="center" wrapText="1"/>
    </xf>
    <xf numFmtId="2" fontId="18" fillId="14" borderId="11" xfId="0" applyNumberFormat="1" applyFont="1" applyFill="1" applyBorder="1" applyAlignment="1">
      <alignment horizontal="center" vertical="center" wrapText="1"/>
    </xf>
    <xf numFmtId="0" fontId="17" fillId="14" borderId="11" xfId="0" applyFont="1" applyFill="1" applyBorder="1" applyAlignment="1">
      <alignment horizontal="right" wrapText="1"/>
    </xf>
    <xf numFmtId="2" fontId="17" fillId="14" borderId="11" xfId="0" applyNumberFormat="1" applyFont="1" applyFill="1" applyBorder="1" applyAlignment="1">
      <alignment horizontal="right" vertical="center" wrapText="1"/>
    </xf>
    <xf numFmtId="0" fontId="17" fillId="14" borderId="12" xfId="0" applyFont="1" applyFill="1" applyBorder="1" applyAlignment="1">
      <alignment vertical="center" wrapText="1"/>
    </xf>
    <xf numFmtId="0" fontId="18" fillId="14" borderId="19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Graphique</a:t>
            </a:r>
            <a:r>
              <a:rPr lang="en-US" baseline="0"/>
              <a:t> des moyennes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BORDEREAU!$S$4</c:f>
              <c:strCache>
                <c:ptCount val="1"/>
                <c:pt idx="0">
                  <c:v>MOY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>
                <a:solidFill>
                  <a:schemeClr val="lt1">
                    <a:lumMod val="50000"/>
                  </a:schemeClr>
                </a:solidFill>
                <a:round/>
              </a:ln>
              <a:effectLst/>
            </c:spPr>
          </c:errBars>
          <c:cat>
            <c:strRef>
              <c:f>BORDEREAU!$B$5:$B$10</c:f>
              <c:strCache>
                <c:ptCount val="6"/>
                <c:pt idx="0">
                  <c:v>ANDONG Suzanne Melinda</c:v>
                </c:pt>
                <c:pt idx="1">
                  <c:v>MPONO Grâce Mireille</c:v>
                </c:pt>
                <c:pt idx="2">
                  <c:v>NCHOUTYAME DIADOUKOUO Valerie Chaquira</c:v>
                </c:pt>
                <c:pt idx="3">
                  <c:v>NGO POM Marie Juzelle</c:v>
                </c:pt>
                <c:pt idx="4">
                  <c:v>OBAMA EKOUE Marlyse Giovanny</c:v>
                </c:pt>
                <c:pt idx="5">
                  <c:v>PEKEKO Elvan Fabrel</c:v>
                </c:pt>
              </c:strCache>
            </c:strRef>
          </c:cat>
          <c:val>
            <c:numRef>
              <c:f>BORDEREAU!$S$5:$S$10</c:f>
              <c:numCache>
                <c:formatCode>0.00</c:formatCode>
                <c:ptCount val="6"/>
                <c:pt idx="0">
                  <c:v>11.5</c:v>
                </c:pt>
                <c:pt idx="2">
                  <c:v>11.2</c:v>
                </c:pt>
                <c:pt idx="3">
                  <c:v>8.85</c:v>
                </c:pt>
                <c:pt idx="4">
                  <c:v>13.65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61-411B-AC65-9D1A9F2CF66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2543656"/>
        <c:axId val="352544312"/>
      </c:lineChart>
      <c:catAx>
        <c:axId val="352543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44312"/>
        <c:crosses val="autoZero"/>
        <c:auto val="1"/>
        <c:lblAlgn val="ctr"/>
        <c:lblOffset val="100"/>
        <c:noMultiLvlLbl val="0"/>
      </c:catAx>
      <c:valAx>
        <c:axId val="352544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54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48</xdr:row>
      <xdr:rowOff>38100</xdr:rowOff>
    </xdr:from>
    <xdr:to>
      <xdr:col>5</xdr:col>
      <xdr:colOff>0</xdr:colOff>
      <xdr:row>62</xdr:row>
      <xdr:rowOff>114300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'croute/Desktop/BULLETIN%20COPRIFAN/bulletin%20fanion%202022-2023/PREMIERE%20A/TRIMESTRE%201/BORDEREAU%20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G"/>
      <sheetName val="LANGUE"/>
      <sheetName val="LITTERATURE"/>
      <sheetName val="LVII"/>
      <sheetName val="ECM"/>
      <sheetName val="GEO"/>
      <sheetName val="HIST"/>
      <sheetName val="PHILO"/>
      <sheetName val="INFO"/>
      <sheetName val="MATHS"/>
      <sheetName val="SCIENCE"/>
      <sheetName val="EPS"/>
      <sheetName val="ESF"/>
      <sheetName val="TM"/>
      <sheetName val="SEQUENCE 1"/>
      <sheetName val="SEQUENCE 2"/>
      <sheetName val="Feuil1"/>
      <sheetName val="Feuil2"/>
    </sheetNames>
    <sheetDataSet>
      <sheetData sheetId="0"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8"/>
  <sheetViews>
    <sheetView topLeftCell="A12" workbookViewId="0">
      <selection activeCell="S36" sqref="S36"/>
    </sheetView>
  </sheetViews>
  <sheetFormatPr baseColWidth="10" defaultRowHeight="15" x14ac:dyDescent="0.25"/>
  <cols>
    <col min="2" max="2" width="41.5703125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6.7109375" customWidth="1"/>
    <col min="11" max="11" width="5.5703125" bestFit="1" customWidth="1"/>
    <col min="12" max="12" width="6.28515625" bestFit="1" customWidth="1"/>
    <col min="13" max="16" width="5.5703125" bestFit="1" customWidth="1"/>
    <col min="17" max="18" width="11.5703125" bestFit="1" customWidth="1"/>
  </cols>
  <sheetData>
    <row r="4" spans="1:16" x14ac:dyDescent="0.25">
      <c r="A4" s="18" t="s">
        <v>44</v>
      </c>
      <c r="B4" s="19" t="s">
        <v>45</v>
      </c>
      <c r="C4" s="19" t="s">
        <v>46</v>
      </c>
      <c r="D4" s="19" t="s">
        <v>47</v>
      </c>
      <c r="E4" s="19" t="s">
        <v>48</v>
      </c>
      <c r="F4" s="19" t="s">
        <v>49</v>
      </c>
      <c r="G4" s="19" t="s">
        <v>10</v>
      </c>
      <c r="H4" s="19" t="s">
        <v>50</v>
      </c>
      <c r="I4" s="19" t="s">
        <v>51</v>
      </c>
      <c r="J4" s="19" t="s">
        <v>52</v>
      </c>
      <c r="K4" s="19" t="s">
        <v>53</v>
      </c>
      <c r="L4" s="19" t="s">
        <v>54</v>
      </c>
      <c r="M4" s="19" t="s">
        <v>55</v>
      </c>
      <c r="N4" s="19" t="s">
        <v>14</v>
      </c>
      <c r="O4" s="19" t="s">
        <v>15</v>
      </c>
      <c r="P4" s="19" t="s">
        <v>56</v>
      </c>
    </row>
    <row r="5" spans="1:16" x14ac:dyDescent="0.25">
      <c r="A5" s="20">
        <v>1</v>
      </c>
      <c r="B5" s="20" t="s">
        <v>68</v>
      </c>
      <c r="C5" s="21">
        <v>15</v>
      </c>
      <c r="D5" s="21">
        <v>10</v>
      </c>
      <c r="E5" s="21">
        <v>11</v>
      </c>
      <c r="F5" s="21">
        <v>11</v>
      </c>
      <c r="G5" s="21">
        <v>9</v>
      </c>
      <c r="H5" s="21">
        <v>7</v>
      </c>
      <c r="I5" s="21">
        <v>9</v>
      </c>
      <c r="J5" s="21">
        <v>12</v>
      </c>
      <c r="K5" s="21">
        <v>13</v>
      </c>
      <c r="L5" s="21">
        <v>7.5</v>
      </c>
      <c r="M5" s="21">
        <v>9</v>
      </c>
      <c r="N5" s="21">
        <v>16</v>
      </c>
      <c r="O5" s="21">
        <v>14</v>
      </c>
      <c r="P5" s="21">
        <v>17</v>
      </c>
    </row>
    <row r="6" spans="1:16" x14ac:dyDescent="0.25">
      <c r="A6" s="20">
        <f>A5+1</f>
        <v>2</v>
      </c>
      <c r="B6" s="20" t="s">
        <v>62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x14ac:dyDescent="0.25">
      <c r="A7" s="20">
        <f t="shared" ref="A7:A29" si="0">A6+1</f>
        <v>3</v>
      </c>
      <c r="B7" s="20" t="s">
        <v>69</v>
      </c>
      <c r="C7" s="21">
        <v>14</v>
      </c>
      <c r="D7" s="21">
        <v>9</v>
      </c>
      <c r="E7" s="21">
        <v>11</v>
      </c>
      <c r="F7" s="21">
        <v>10</v>
      </c>
      <c r="G7" s="21">
        <v>10.5</v>
      </c>
      <c r="H7" s="21">
        <v>8.5</v>
      </c>
      <c r="I7" s="21">
        <v>9</v>
      </c>
      <c r="J7" s="21">
        <v>10.5</v>
      </c>
      <c r="K7" s="21">
        <v>8</v>
      </c>
      <c r="L7" s="21">
        <v>12.5</v>
      </c>
      <c r="M7" s="21">
        <v>9.5</v>
      </c>
      <c r="N7" s="21">
        <v>15</v>
      </c>
      <c r="O7" s="21">
        <v>14</v>
      </c>
      <c r="P7" s="21">
        <v>17</v>
      </c>
    </row>
    <row r="8" spans="1:16" x14ac:dyDescent="0.25">
      <c r="A8" s="20">
        <f t="shared" si="0"/>
        <v>4</v>
      </c>
      <c r="B8" s="20" t="s">
        <v>70</v>
      </c>
      <c r="C8" s="21">
        <v>8</v>
      </c>
      <c r="D8" s="21">
        <v>8</v>
      </c>
      <c r="E8" s="21">
        <v>8.5</v>
      </c>
      <c r="F8" s="21">
        <v>7</v>
      </c>
      <c r="G8" s="21">
        <v>7</v>
      </c>
      <c r="H8" s="21">
        <v>7</v>
      </c>
      <c r="I8" s="21">
        <v>8</v>
      </c>
      <c r="J8" s="21">
        <v>7.5</v>
      </c>
      <c r="K8" s="21">
        <v>9</v>
      </c>
      <c r="L8" s="21">
        <v>8</v>
      </c>
      <c r="M8" s="21">
        <v>7.5</v>
      </c>
      <c r="N8" s="21">
        <v>16</v>
      </c>
      <c r="O8" s="21">
        <v>14</v>
      </c>
      <c r="P8" s="21">
        <v>17</v>
      </c>
    </row>
    <row r="9" spans="1:16" x14ac:dyDescent="0.25">
      <c r="A9" s="20">
        <f t="shared" si="0"/>
        <v>5</v>
      </c>
      <c r="B9" s="20" t="s">
        <v>64</v>
      </c>
      <c r="C9" s="21">
        <v>17</v>
      </c>
      <c r="D9" s="21">
        <v>14</v>
      </c>
      <c r="E9" s="21">
        <v>15</v>
      </c>
      <c r="F9" s="21">
        <v>12</v>
      </c>
      <c r="G9" s="21">
        <v>11</v>
      </c>
      <c r="H9" s="21">
        <v>13.5</v>
      </c>
      <c r="I9" s="21">
        <v>12</v>
      </c>
      <c r="J9" s="21">
        <v>11.5</v>
      </c>
      <c r="K9" s="21">
        <v>13</v>
      </c>
      <c r="L9" s="21">
        <v>11.5</v>
      </c>
      <c r="M9" s="21">
        <v>13</v>
      </c>
      <c r="N9" s="21">
        <v>16</v>
      </c>
      <c r="O9" s="21">
        <v>14</v>
      </c>
      <c r="P9" s="21">
        <v>17</v>
      </c>
    </row>
    <row r="10" spans="1:16" x14ac:dyDescent="0.25">
      <c r="A10" s="20">
        <f t="shared" si="0"/>
        <v>6</v>
      </c>
      <c r="B10" s="20" t="s">
        <v>63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x14ac:dyDescent="0.25">
      <c r="A11" s="20">
        <f t="shared" si="0"/>
        <v>7</v>
      </c>
      <c r="B11" s="20" t="s">
        <v>97</v>
      </c>
      <c r="C11" s="21">
        <v>14</v>
      </c>
      <c r="D11" s="21">
        <v>13</v>
      </c>
      <c r="E11" s="21">
        <v>13</v>
      </c>
      <c r="F11" s="21">
        <v>11</v>
      </c>
      <c r="G11" s="21">
        <v>9</v>
      </c>
      <c r="H11" s="21">
        <v>6</v>
      </c>
      <c r="I11" s="21">
        <v>13</v>
      </c>
      <c r="J11" s="21">
        <v>11</v>
      </c>
      <c r="K11" s="21">
        <v>13</v>
      </c>
      <c r="L11" s="21">
        <v>9.5</v>
      </c>
      <c r="M11" s="21">
        <v>10</v>
      </c>
      <c r="N11" s="21">
        <v>15</v>
      </c>
      <c r="O11" s="21">
        <v>14</v>
      </c>
      <c r="P11" s="21">
        <v>17</v>
      </c>
    </row>
    <row r="12" spans="1:16" x14ac:dyDescent="0.25">
      <c r="A12" s="20">
        <f t="shared" si="0"/>
        <v>8</v>
      </c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x14ac:dyDescent="0.25">
      <c r="A13" s="20">
        <f t="shared" si="0"/>
        <v>9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5">
      <c r="A14" s="20">
        <f t="shared" si="0"/>
        <v>10</v>
      </c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x14ac:dyDescent="0.25">
      <c r="A15" s="20">
        <f t="shared" si="0"/>
        <v>11</v>
      </c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x14ac:dyDescent="0.25">
      <c r="A16" s="20">
        <f t="shared" si="0"/>
        <v>12</v>
      </c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8" x14ac:dyDescent="0.25">
      <c r="A17" s="20">
        <f t="shared" si="0"/>
        <v>13</v>
      </c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8" x14ac:dyDescent="0.25">
      <c r="A18" s="20">
        <f t="shared" si="0"/>
        <v>14</v>
      </c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8" x14ac:dyDescent="0.25">
      <c r="A19" s="20">
        <f t="shared" si="0"/>
        <v>15</v>
      </c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8" x14ac:dyDescent="0.25">
      <c r="A20" s="20">
        <f t="shared" si="0"/>
        <v>16</v>
      </c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8" x14ac:dyDescent="0.25">
      <c r="A21" s="20">
        <f t="shared" si="0"/>
        <v>17</v>
      </c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8" x14ac:dyDescent="0.25">
      <c r="A22" s="20">
        <f t="shared" si="0"/>
        <v>18</v>
      </c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8" x14ac:dyDescent="0.25">
      <c r="A23" s="20">
        <f t="shared" si="0"/>
        <v>19</v>
      </c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8" x14ac:dyDescent="0.25">
      <c r="A24" s="20">
        <f t="shared" si="0"/>
        <v>20</v>
      </c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8" x14ac:dyDescent="0.25">
      <c r="A25" s="20">
        <f t="shared" si="0"/>
        <v>21</v>
      </c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8" x14ac:dyDescent="0.25">
      <c r="A26" s="20">
        <f t="shared" si="0"/>
        <v>22</v>
      </c>
      <c r="B26" s="20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x14ac:dyDescent="0.25">
      <c r="A27" s="20">
        <f t="shared" si="0"/>
        <v>23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8" x14ac:dyDescent="0.25">
      <c r="A28" s="20">
        <f t="shared" si="0"/>
        <v>24</v>
      </c>
      <c r="B28" s="20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8" x14ac:dyDescent="0.25">
      <c r="A29" s="20">
        <f t="shared" si="0"/>
        <v>25</v>
      </c>
      <c r="B29" s="20">
        <f>[1]ANG!B29</f>
        <v>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8" x14ac:dyDescent="0.25">
      <c r="B30" t="s">
        <v>57</v>
      </c>
      <c r="C30" s="22">
        <f>AVERAGE(C5:C29)</f>
        <v>13.6</v>
      </c>
      <c r="D30" s="22">
        <f t="shared" ref="D30:P30" si="1">AVERAGE(D5:D29)</f>
        <v>10.8</v>
      </c>
      <c r="E30" s="22">
        <f t="shared" si="1"/>
        <v>11.7</v>
      </c>
      <c r="F30" s="22">
        <f t="shared" si="1"/>
        <v>10.199999999999999</v>
      </c>
      <c r="G30" s="22">
        <f t="shared" si="1"/>
        <v>9.3000000000000007</v>
      </c>
      <c r="H30" s="22">
        <f t="shared" si="1"/>
        <v>8.4</v>
      </c>
      <c r="I30" s="22">
        <f t="shared" si="1"/>
        <v>10.199999999999999</v>
      </c>
      <c r="J30" s="22">
        <f t="shared" si="1"/>
        <v>10.5</v>
      </c>
      <c r="K30" s="22">
        <f t="shared" si="1"/>
        <v>11.2</v>
      </c>
      <c r="L30" s="22">
        <f t="shared" si="1"/>
        <v>9.8000000000000007</v>
      </c>
      <c r="M30" s="22">
        <f t="shared" si="1"/>
        <v>9.8000000000000007</v>
      </c>
      <c r="N30" s="22">
        <f t="shared" si="1"/>
        <v>15.6</v>
      </c>
      <c r="O30" s="22">
        <f t="shared" si="1"/>
        <v>14</v>
      </c>
      <c r="P30" s="22">
        <f t="shared" si="1"/>
        <v>17</v>
      </c>
    </row>
    <row r="32" spans="1:18" x14ac:dyDescent="0.25">
      <c r="A32" s="18" t="s">
        <v>44</v>
      </c>
      <c r="B32" s="19" t="s">
        <v>45</v>
      </c>
      <c r="C32" s="19" t="s">
        <v>6</v>
      </c>
      <c r="D32" s="19" t="s">
        <v>47</v>
      </c>
      <c r="E32" s="19" t="s">
        <v>48</v>
      </c>
      <c r="F32" s="19" t="s">
        <v>49</v>
      </c>
      <c r="G32" s="19" t="s">
        <v>10</v>
      </c>
      <c r="H32" s="19" t="s">
        <v>50</v>
      </c>
      <c r="I32" s="19" t="s">
        <v>51</v>
      </c>
      <c r="J32" s="19" t="s">
        <v>52</v>
      </c>
      <c r="K32" s="19" t="s">
        <v>53</v>
      </c>
      <c r="L32" s="19" t="s">
        <v>54</v>
      </c>
      <c r="M32" s="19" t="s">
        <v>55</v>
      </c>
      <c r="N32" s="19" t="s">
        <v>14</v>
      </c>
      <c r="O32" s="19" t="s">
        <v>15</v>
      </c>
      <c r="P32" s="19" t="s">
        <v>56</v>
      </c>
      <c r="Q32" s="23" t="s">
        <v>58</v>
      </c>
      <c r="R32" s="23" t="s">
        <v>59</v>
      </c>
    </row>
    <row r="33" spans="1:18" x14ac:dyDescent="0.25">
      <c r="A33" s="20">
        <v>1</v>
      </c>
      <c r="B33" s="20" t="str">
        <f>B5</f>
        <v>ANDONG Suzanne Melinda</v>
      </c>
      <c r="C33" s="21">
        <f>C5*4</f>
        <v>60</v>
      </c>
      <c r="D33" s="21">
        <f>D5*2</f>
        <v>20</v>
      </c>
      <c r="E33" s="21">
        <f>E5*3</f>
        <v>33</v>
      </c>
      <c r="F33" s="21">
        <f>F5*3</f>
        <v>33</v>
      </c>
      <c r="G33" s="21">
        <f t="shared" ref="G33:L48" si="2">G5*2</f>
        <v>18</v>
      </c>
      <c r="H33" s="21">
        <f t="shared" si="2"/>
        <v>14</v>
      </c>
      <c r="I33" s="21">
        <f t="shared" si="2"/>
        <v>18</v>
      </c>
      <c r="J33" s="21">
        <f>J5*3</f>
        <v>36</v>
      </c>
      <c r="K33" s="21">
        <f t="shared" si="2"/>
        <v>26</v>
      </c>
      <c r="L33" s="21">
        <f t="shared" si="2"/>
        <v>15</v>
      </c>
      <c r="M33" s="21">
        <f>M5*1</f>
        <v>9</v>
      </c>
      <c r="N33" s="21">
        <f>N5*2</f>
        <v>32</v>
      </c>
      <c r="O33" s="21">
        <f>O5*1</f>
        <v>14</v>
      </c>
      <c r="P33" s="21">
        <f>P5*1</f>
        <v>17</v>
      </c>
      <c r="Q33" s="24">
        <f t="shared" ref="Q33:Q57" si="3">SUM(C33:P33)</f>
        <v>345</v>
      </c>
      <c r="R33" s="21">
        <f>Q33/30</f>
        <v>11.5</v>
      </c>
    </row>
    <row r="34" spans="1:18" x14ac:dyDescent="0.25">
      <c r="A34" s="20">
        <f>A33+1</f>
        <v>2</v>
      </c>
      <c r="B34" s="20" t="str">
        <f t="shared" ref="B34:B57" si="4">B6</f>
        <v>MPONO Grâce Mireille</v>
      </c>
      <c r="C34" s="21">
        <f t="shared" ref="C34:C57" si="5">C6*4</f>
        <v>0</v>
      </c>
      <c r="D34" s="21">
        <f t="shared" ref="D34:D57" si="6">D6*2</f>
        <v>0</v>
      </c>
      <c r="E34" s="21">
        <f t="shared" ref="E34:F49" si="7">E6*3</f>
        <v>0</v>
      </c>
      <c r="F34" s="21">
        <f t="shared" si="7"/>
        <v>0</v>
      </c>
      <c r="G34" s="21">
        <f t="shared" si="2"/>
        <v>0</v>
      </c>
      <c r="H34" s="21">
        <f t="shared" si="2"/>
        <v>0</v>
      </c>
      <c r="I34" s="21">
        <f t="shared" si="2"/>
        <v>0</v>
      </c>
      <c r="J34" s="21">
        <f t="shared" ref="J34:J57" si="8">J6*3</f>
        <v>0</v>
      </c>
      <c r="K34" s="21">
        <f t="shared" si="2"/>
        <v>0</v>
      </c>
      <c r="L34" s="21">
        <f t="shared" si="2"/>
        <v>0</v>
      </c>
      <c r="M34" s="21">
        <f t="shared" ref="M34:M57" si="9">M6*1</f>
        <v>0</v>
      </c>
      <c r="N34" s="21">
        <f t="shared" ref="N34:N57" si="10">N6*2</f>
        <v>0</v>
      </c>
      <c r="O34" s="21">
        <f t="shared" ref="O34:P49" si="11">O6*1</f>
        <v>0</v>
      </c>
      <c r="P34" s="21">
        <f t="shared" si="11"/>
        <v>0</v>
      </c>
      <c r="Q34" s="24">
        <f t="shared" si="3"/>
        <v>0</v>
      </c>
      <c r="R34" s="21">
        <f t="shared" ref="R34:R37" si="12">Q34/30</f>
        <v>0</v>
      </c>
    </row>
    <row r="35" spans="1:18" x14ac:dyDescent="0.25">
      <c r="A35" s="20">
        <f t="shared" ref="A35:A57" si="13">A34+1</f>
        <v>3</v>
      </c>
      <c r="B35" s="20" t="str">
        <f t="shared" si="4"/>
        <v>NCHOUTYAME DIADOUKOUO Valerie Chaquira</v>
      </c>
      <c r="C35" s="21">
        <f t="shared" si="5"/>
        <v>56</v>
      </c>
      <c r="D35" s="21">
        <f t="shared" si="6"/>
        <v>18</v>
      </c>
      <c r="E35" s="21">
        <f t="shared" si="7"/>
        <v>33</v>
      </c>
      <c r="F35" s="21">
        <f t="shared" si="7"/>
        <v>30</v>
      </c>
      <c r="G35" s="21">
        <f t="shared" si="2"/>
        <v>21</v>
      </c>
      <c r="H35" s="21">
        <f t="shared" si="2"/>
        <v>17</v>
      </c>
      <c r="I35" s="21">
        <f t="shared" si="2"/>
        <v>18</v>
      </c>
      <c r="J35" s="21">
        <f t="shared" si="8"/>
        <v>31.5</v>
      </c>
      <c r="K35" s="21">
        <f t="shared" si="2"/>
        <v>16</v>
      </c>
      <c r="L35" s="21">
        <f t="shared" si="2"/>
        <v>25</v>
      </c>
      <c r="M35" s="21">
        <f t="shared" si="9"/>
        <v>9.5</v>
      </c>
      <c r="N35" s="21">
        <f t="shared" si="10"/>
        <v>30</v>
      </c>
      <c r="O35" s="21">
        <f t="shared" si="11"/>
        <v>14</v>
      </c>
      <c r="P35" s="21">
        <f t="shared" si="11"/>
        <v>17</v>
      </c>
      <c r="Q35" s="24">
        <f t="shared" si="3"/>
        <v>336</v>
      </c>
      <c r="R35" s="21">
        <f t="shared" si="12"/>
        <v>11.2</v>
      </c>
    </row>
    <row r="36" spans="1:18" x14ac:dyDescent="0.25">
      <c r="A36" s="20">
        <f t="shared" si="13"/>
        <v>4</v>
      </c>
      <c r="B36" s="20" t="str">
        <f t="shared" si="4"/>
        <v>NGO POM Marie Juzelle</v>
      </c>
      <c r="C36" s="21">
        <f t="shared" si="5"/>
        <v>32</v>
      </c>
      <c r="D36" s="21">
        <f t="shared" si="6"/>
        <v>16</v>
      </c>
      <c r="E36" s="21">
        <f t="shared" si="7"/>
        <v>25.5</v>
      </c>
      <c r="F36" s="21">
        <f t="shared" si="7"/>
        <v>21</v>
      </c>
      <c r="G36" s="21">
        <f t="shared" si="2"/>
        <v>14</v>
      </c>
      <c r="H36" s="21">
        <f t="shared" si="2"/>
        <v>14</v>
      </c>
      <c r="I36" s="21">
        <f t="shared" si="2"/>
        <v>16</v>
      </c>
      <c r="J36" s="21">
        <f t="shared" si="8"/>
        <v>22.5</v>
      </c>
      <c r="K36" s="21">
        <f t="shared" si="2"/>
        <v>18</v>
      </c>
      <c r="L36" s="21">
        <f t="shared" si="2"/>
        <v>16</v>
      </c>
      <c r="M36" s="21">
        <f t="shared" si="9"/>
        <v>7.5</v>
      </c>
      <c r="N36" s="21">
        <f t="shared" si="10"/>
        <v>32</v>
      </c>
      <c r="O36" s="21">
        <f t="shared" si="11"/>
        <v>14</v>
      </c>
      <c r="P36" s="21">
        <f t="shared" si="11"/>
        <v>17</v>
      </c>
      <c r="Q36" s="24">
        <f t="shared" si="3"/>
        <v>265.5</v>
      </c>
      <c r="R36" s="21">
        <f>SUM(Q36/30)</f>
        <v>8.85</v>
      </c>
    </row>
    <row r="37" spans="1:18" x14ac:dyDescent="0.25">
      <c r="A37" s="20">
        <f t="shared" si="13"/>
        <v>5</v>
      </c>
      <c r="B37" s="20" t="str">
        <f t="shared" si="4"/>
        <v>OBAMA EKOUE Marlyse Giovanny</v>
      </c>
      <c r="C37" s="21">
        <f t="shared" si="5"/>
        <v>68</v>
      </c>
      <c r="D37" s="21">
        <f t="shared" si="6"/>
        <v>28</v>
      </c>
      <c r="E37" s="21">
        <f t="shared" si="7"/>
        <v>45</v>
      </c>
      <c r="F37" s="21">
        <f t="shared" si="7"/>
        <v>36</v>
      </c>
      <c r="G37" s="21">
        <f t="shared" si="2"/>
        <v>22</v>
      </c>
      <c r="H37" s="21">
        <f t="shared" si="2"/>
        <v>27</v>
      </c>
      <c r="I37" s="21">
        <f t="shared" si="2"/>
        <v>24</v>
      </c>
      <c r="J37" s="21">
        <f t="shared" si="8"/>
        <v>34.5</v>
      </c>
      <c r="K37" s="21">
        <f t="shared" si="2"/>
        <v>26</v>
      </c>
      <c r="L37" s="21">
        <f t="shared" si="2"/>
        <v>23</v>
      </c>
      <c r="M37" s="21">
        <f t="shared" si="9"/>
        <v>13</v>
      </c>
      <c r="N37" s="21">
        <f t="shared" si="10"/>
        <v>32</v>
      </c>
      <c r="O37" s="21">
        <f t="shared" si="11"/>
        <v>14</v>
      </c>
      <c r="P37" s="21">
        <f t="shared" si="11"/>
        <v>17</v>
      </c>
      <c r="Q37" s="24">
        <f t="shared" si="3"/>
        <v>409.5</v>
      </c>
      <c r="R37" s="21">
        <f t="shared" si="12"/>
        <v>13.65</v>
      </c>
    </row>
    <row r="38" spans="1:18" x14ac:dyDescent="0.25">
      <c r="A38" s="20">
        <f t="shared" si="13"/>
        <v>6</v>
      </c>
      <c r="B38" s="20" t="str">
        <f t="shared" si="4"/>
        <v>PEKEKO Elvan Fabrel</v>
      </c>
      <c r="C38" s="21">
        <f t="shared" si="5"/>
        <v>0</v>
      </c>
      <c r="D38" s="21">
        <f t="shared" si="6"/>
        <v>0</v>
      </c>
      <c r="E38" s="21">
        <f t="shared" si="7"/>
        <v>0</v>
      </c>
      <c r="F38" s="21">
        <f t="shared" si="7"/>
        <v>0</v>
      </c>
      <c r="G38" s="21">
        <f t="shared" si="2"/>
        <v>0</v>
      </c>
      <c r="H38" s="21">
        <f t="shared" si="2"/>
        <v>0</v>
      </c>
      <c r="I38" s="21">
        <f t="shared" si="2"/>
        <v>0</v>
      </c>
      <c r="J38" s="21">
        <f t="shared" si="8"/>
        <v>0</v>
      </c>
      <c r="K38" s="21">
        <f t="shared" si="2"/>
        <v>0</v>
      </c>
      <c r="L38" s="21">
        <f t="shared" si="2"/>
        <v>0</v>
      </c>
      <c r="M38" s="21">
        <f t="shared" si="9"/>
        <v>0</v>
      </c>
      <c r="N38" s="21">
        <f t="shared" si="10"/>
        <v>0</v>
      </c>
      <c r="O38" s="21">
        <f t="shared" si="11"/>
        <v>0</v>
      </c>
      <c r="P38" s="21">
        <f t="shared" si="11"/>
        <v>0</v>
      </c>
      <c r="Q38" s="24">
        <f t="shared" si="3"/>
        <v>0</v>
      </c>
      <c r="R38" s="21">
        <f>Q38/30</f>
        <v>0</v>
      </c>
    </row>
    <row r="39" spans="1:18" x14ac:dyDescent="0.25">
      <c r="A39" s="20">
        <f t="shared" si="13"/>
        <v>7</v>
      </c>
      <c r="B39" s="20" t="str">
        <f t="shared" si="4"/>
        <v>NGOME GOUSSAKI ANGE GABRIELLE</v>
      </c>
      <c r="C39" s="21">
        <f t="shared" si="5"/>
        <v>56</v>
      </c>
      <c r="D39" s="21">
        <f t="shared" si="6"/>
        <v>26</v>
      </c>
      <c r="E39" s="21">
        <f t="shared" si="7"/>
        <v>39</v>
      </c>
      <c r="F39" s="21">
        <f t="shared" si="7"/>
        <v>33</v>
      </c>
      <c r="G39" s="21">
        <f t="shared" si="2"/>
        <v>18</v>
      </c>
      <c r="H39" s="21">
        <f t="shared" si="2"/>
        <v>12</v>
      </c>
      <c r="I39" s="21">
        <f t="shared" si="2"/>
        <v>26</v>
      </c>
      <c r="J39" s="21">
        <f t="shared" si="8"/>
        <v>33</v>
      </c>
      <c r="K39" s="21">
        <f t="shared" si="2"/>
        <v>26</v>
      </c>
      <c r="L39" s="21">
        <f t="shared" si="2"/>
        <v>19</v>
      </c>
      <c r="M39" s="21">
        <f t="shared" si="9"/>
        <v>10</v>
      </c>
      <c r="N39" s="21">
        <f t="shared" si="10"/>
        <v>30</v>
      </c>
      <c r="O39" s="21">
        <f t="shared" si="11"/>
        <v>14</v>
      </c>
      <c r="P39" s="21">
        <f t="shared" si="11"/>
        <v>17</v>
      </c>
      <c r="Q39" s="24">
        <f t="shared" si="3"/>
        <v>359</v>
      </c>
      <c r="R39" s="21">
        <f>Q39/30</f>
        <v>11.966666666666667</v>
      </c>
    </row>
    <row r="40" spans="1:18" x14ac:dyDescent="0.25">
      <c r="A40" s="20">
        <f t="shared" si="13"/>
        <v>8</v>
      </c>
      <c r="B40" s="20">
        <f t="shared" si="4"/>
        <v>0</v>
      </c>
      <c r="C40" s="21">
        <f t="shared" si="5"/>
        <v>0</v>
      </c>
      <c r="D40" s="21">
        <f t="shared" si="6"/>
        <v>0</v>
      </c>
      <c r="E40" s="21">
        <f t="shared" si="7"/>
        <v>0</v>
      </c>
      <c r="F40" s="21">
        <f t="shared" si="7"/>
        <v>0</v>
      </c>
      <c r="G40" s="21">
        <f t="shared" si="2"/>
        <v>0</v>
      </c>
      <c r="H40" s="21">
        <f t="shared" si="2"/>
        <v>0</v>
      </c>
      <c r="I40" s="21">
        <f t="shared" si="2"/>
        <v>0</v>
      </c>
      <c r="J40" s="21">
        <f t="shared" si="8"/>
        <v>0</v>
      </c>
      <c r="K40" s="21">
        <f t="shared" si="2"/>
        <v>0</v>
      </c>
      <c r="L40" s="21">
        <f t="shared" si="2"/>
        <v>0</v>
      </c>
      <c r="M40" s="21">
        <f t="shared" si="9"/>
        <v>0</v>
      </c>
      <c r="N40" s="21">
        <f t="shared" si="10"/>
        <v>0</v>
      </c>
      <c r="O40" s="21">
        <f t="shared" si="11"/>
        <v>0</v>
      </c>
      <c r="P40" s="21">
        <f t="shared" si="11"/>
        <v>0</v>
      </c>
      <c r="Q40" s="24">
        <f t="shared" si="3"/>
        <v>0</v>
      </c>
      <c r="R40" s="21"/>
    </row>
    <row r="41" spans="1:18" x14ac:dyDescent="0.25">
      <c r="A41" s="20">
        <f t="shared" si="13"/>
        <v>9</v>
      </c>
      <c r="B41" s="20">
        <f t="shared" si="4"/>
        <v>0</v>
      </c>
      <c r="C41" s="21">
        <f t="shared" si="5"/>
        <v>0</v>
      </c>
      <c r="D41" s="21">
        <f t="shared" si="6"/>
        <v>0</v>
      </c>
      <c r="E41" s="21">
        <f t="shared" si="7"/>
        <v>0</v>
      </c>
      <c r="F41" s="21">
        <f t="shared" si="7"/>
        <v>0</v>
      </c>
      <c r="G41" s="21">
        <f t="shared" si="2"/>
        <v>0</v>
      </c>
      <c r="H41" s="21">
        <f t="shared" si="2"/>
        <v>0</v>
      </c>
      <c r="I41" s="21">
        <f t="shared" si="2"/>
        <v>0</v>
      </c>
      <c r="J41" s="21">
        <f t="shared" si="8"/>
        <v>0</v>
      </c>
      <c r="K41" s="21">
        <f t="shared" si="2"/>
        <v>0</v>
      </c>
      <c r="L41" s="21">
        <f t="shared" si="2"/>
        <v>0</v>
      </c>
      <c r="M41" s="21">
        <f t="shared" si="9"/>
        <v>0</v>
      </c>
      <c r="N41" s="21">
        <f t="shared" si="10"/>
        <v>0</v>
      </c>
      <c r="O41" s="21">
        <f t="shared" si="11"/>
        <v>0</v>
      </c>
      <c r="P41" s="21">
        <f t="shared" si="11"/>
        <v>0</v>
      </c>
      <c r="Q41" s="24">
        <f t="shared" si="3"/>
        <v>0</v>
      </c>
      <c r="R41" s="21"/>
    </row>
    <row r="42" spans="1:18" x14ac:dyDescent="0.25">
      <c r="A42" s="20">
        <f t="shared" si="13"/>
        <v>10</v>
      </c>
      <c r="B42" s="20">
        <f t="shared" si="4"/>
        <v>0</v>
      </c>
      <c r="C42" s="21">
        <f t="shared" si="5"/>
        <v>0</v>
      </c>
      <c r="D42" s="21">
        <f t="shared" si="6"/>
        <v>0</v>
      </c>
      <c r="E42" s="21">
        <f t="shared" si="7"/>
        <v>0</v>
      </c>
      <c r="F42" s="21">
        <f t="shared" si="7"/>
        <v>0</v>
      </c>
      <c r="G42" s="21">
        <f t="shared" si="2"/>
        <v>0</v>
      </c>
      <c r="H42" s="21">
        <f t="shared" si="2"/>
        <v>0</v>
      </c>
      <c r="I42" s="21">
        <f t="shared" si="2"/>
        <v>0</v>
      </c>
      <c r="J42" s="21">
        <f t="shared" si="8"/>
        <v>0</v>
      </c>
      <c r="K42" s="21">
        <f t="shared" si="2"/>
        <v>0</v>
      </c>
      <c r="L42" s="21">
        <f t="shared" si="2"/>
        <v>0</v>
      </c>
      <c r="M42" s="21">
        <f t="shared" si="9"/>
        <v>0</v>
      </c>
      <c r="N42" s="21">
        <f t="shared" si="10"/>
        <v>0</v>
      </c>
      <c r="O42" s="21">
        <f t="shared" si="11"/>
        <v>0</v>
      </c>
      <c r="P42" s="21">
        <f t="shared" si="11"/>
        <v>0</v>
      </c>
      <c r="Q42" s="24">
        <f t="shared" si="3"/>
        <v>0</v>
      </c>
      <c r="R42" s="21"/>
    </row>
    <row r="43" spans="1:18" x14ac:dyDescent="0.25">
      <c r="A43" s="20">
        <f t="shared" si="13"/>
        <v>11</v>
      </c>
      <c r="B43" s="20">
        <f t="shared" si="4"/>
        <v>0</v>
      </c>
      <c r="C43" s="21">
        <f t="shared" si="5"/>
        <v>0</v>
      </c>
      <c r="D43" s="21">
        <f t="shared" si="6"/>
        <v>0</v>
      </c>
      <c r="E43" s="21">
        <f t="shared" si="7"/>
        <v>0</v>
      </c>
      <c r="F43" s="21">
        <f t="shared" si="7"/>
        <v>0</v>
      </c>
      <c r="G43" s="21">
        <f t="shared" si="2"/>
        <v>0</v>
      </c>
      <c r="H43" s="21">
        <f t="shared" si="2"/>
        <v>0</v>
      </c>
      <c r="I43" s="21">
        <f t="shared" si="2"/>
        <v>0</v>
      </c>
      <c r="J43" s="21">
        <f t="shared" si="8"/>
        <v>0</v>
      </c>
      <c r="K43" s="21">
        <f t="shared" si="2"/>
        <v>0</v>
      </c>
      <c r="L43" s="21">
        <f t="shared" si="2"/>
        <v>0</v>
      </c>
      <c r="M43" s="21">
        <f t="shared" si="9"/>
        <v>0</v>
      </c>
      <c r="N43" s="21">
        <f t="shared" si="10"/>
        <v>0</v>
      </c>
      <c r="O43" s="21">
        <f t="shared" si="11"/>
        <v>0</v>
      </c>
      <c r="P43" s="21">
        <f t="shared" si="11"/>
        <v>0</v>
      </c>
      <c r="Q43" s="24">
        <f t="shared" si="3"/>
        <v>0</v>
      </c>
      <c r="R43" s="21"/>
    </row>
    <row r="44" spans="1:18" x14ac:dyDescent="0.25">
      <c r="A44" s="20">
        <f t="shared" si="13"/>
        <v>12</v>
      </c>
      <c r="B44" s="20">
        <f t="shared" si="4"/>
        <v>0</v>
      </c>
      <c r="C44" s="21">
        <f t="shared" si="5"/>
        <v>0</v>
      </c>
      <c r="D44" s="21">
        <f t="shared" si="6"/>
        <v>0</v>
      </c>
      <c r="E44" s="21">
        <f t="shared" si="7"/>
        <v>0</v>
      </c>
      <c r="F44" s="21">
        <f t="shared" si="7"/>
        <v>0</v>
      </c>
      <c r="G44" s="21">
        <f t="shared" si="2"/>
        <v>0</v>
      </c>
      <c r="H44" s="21">
        <f t="shared" si="2"/>
        <v>0</v>
      </c>
      <c r="I44" s="21">
        <f t="shared" si="2"/>
        <v>0</v>
      </c>
      <c r="J44" s="21">
        <f t="shared" si="8"/>
        <v>0</v>
      </c>
      <c r="K44" s="21">
        <f t="shared" si="2"/>
        <v>0</v>
      </c>
      <c r="L44" s="21">
        <f t="shared" si="2"/>
        <v>0</v>
      </c>
      <c r="M44" s="21">
        <f t="shared" si="9"/>
        <v>0</v>
      </c>
      <c r="N44" s="21">
        <f t="shared" si="10"/>
        <v>0</v>
      </c>
      <c r="O44" s="21">
        <f t="shared" si="11"/>
        <v>0</v>
      </c>
      <c r="P44" s="21">
        <f t="shared" si="11"/>
        <v>0</v>
      </c>
      <c r="Q44" s="24">
        <f t="shared" si="3"/>
        <v>0</v>
      </c>
      <c r="R44" s="21"/>
    </row>
    <row r="45" spans="1:18" x14ac:dyDescent="0.25">
      <c r="A45" s="20">
        <f t="shared" si="13"/>
        <v>13</v>
      </c>
      <c r="B45" s="20">
        <f t="shared" si="4"/>
        <v>0</v>
      </c>
      <c r="C45" s="21">
        <f t="shared" si="5"/>
        <v>0</v>
      </c>
      <c r="D45" s="21">
        <f t="shared" si="6"/>
        <v>0</v>
      </c>
      <c r="E45" s="21">
        <f t="shared" si="7"/>
        <v>0</v>
      </c>
      <c r="F45" s="21">
        <f t="shared" si="7"/>
        <v>0</v>
      </c>
      <c r="G45" s="21">
        <f t="shared" si="2"/>
        <v>0</v>
      </c>
      <c r="H45" s="21">
        <f t="shared" si="2"/>
        <v>0</v>
      </c>
      <c r="I45" s="21">
        <f t="shared" si="2"/>
        <v>0</v>
      </c>
      <c r="J45" s="21">
        <f t="shared" si="8"/>
        <v>0</v>
      </c>
      <c r="K45" s="21">
        <f t="shared" si="2"/>
        <v>0</v>
      </c>
      <c r="L45" s="21">
        <f t="shared" si="2"/>
        <v>0</v>
      </c>
      <c r="M45" s="21">
        <f t="shared" si="9"/>
        <v>0</v>
      </c>
      <c r="N45" s="21">
        <f t="shared" si="10"/>
        <v>0</v>
      </c>
      <c r="O45" s="21">
        <f t="shared" si="11"/>
        <v>0</v>
      </c>
      <c r="P45" s="21">
        <f t="shared" si="11"/>
        <v>0</v>
      </c>
      <c r="Q45" s="24">
        <f t="shared" si="3"/>
        <v>0</v>
      </c>
      <c r="R45" s="21"/>
    </row>
    <row r="46" spans="1:18" x14ac:dyDescent="0.25">
      <c r="A46" s="20">
        <f t="shared" si="13"/>
        <v>14</v>
      </c>
      <c r="B46" s="20">
        <f t="shared" si="4"/>
        <v>0</v>
      </c>
      <c r="C46" s="21">
        <f t="shared" si="5"/>
        <v>0</v>
      </c>
      <c r="D46" s="21">
        <f t="shared" si="6"/>
        <v>0</v>
      </c>
      <c r="E46" s="21">
        <f t="shared" si="7"/>
        <v>0</v>
      </c>
      <c r="F46" s="21">
        <f t="shared" si="7"/>
        <v>0</v>
      </c>
      <c r="G46" s="21">
        <f t="shared" si="2"/>
        <v>0</v>
      </c>
      <c r="H46" s="21">
        <f t="shared" si="2"/>
        <v>0</v>
      </c>
      <c r="I46" s="21">
        <f t="shared" si="2"/>
        <v>0</v>
      </c>
      <c r="J46" s="21">
        <f t="shared" si="8"/>
        <v>0</v>
      </c>
      <c r="K46" s="21">
        <f t="shared" si="2"/>
        <v>0</v>
      </c>
      <c r="L46" s="21">
        <f t="shared" si="2"/>
        <v>0</v>
      </c>
      <c r="M46" s="21">
        <f t="shared" si="9"/>
        <v>0</v>
      </c>
      <c r="N46" s="21">
        <f t="shared" si="10"/>
        <v>0</v>
      </c>
      <c r="O46" s="21">
        <f t="shared" si="11"/>
        <v>0</v>
      </c>
      <c r="P46" s="21">
        <f t="shared" si="11"/>
        <v>0</v>
      </c>
      <c r="Q46" s="24">
        <f t="shared" si="3"/>
        <v>0</v>
      </c>
      <c r="R46" s="21"/>
    </row>
    <row r="47" spans="1:18" x14ac:dyDescent="0.25">
      <c r="A47" s="20">
        <f t="shared" si="13"/>
        <v>15</v>
      </c>
      <c r="B47" s="20">
        <f t="shared" si="4"/>
        <v>0</v>
      </c>
      <c r="C47" s="21">
        <f t="shared" si="5"/>
        <v>0</v>
      </c>
      <c r="D47" s="21">
        <f t="shared" si="6"/>
        <v>0</v>
      </c>
      <c r="E47" s="21">
        <f t="shared" si="7"/>
        <v>0</v>
      </c>
      <c r="F47" s="21">
        <f t="shared" si="7"/>
        <v>0</v>
      </c>
      <c r="G47" s="21">
        <f t="shared" si="2"/>
        <v>0</v>
      </c>
      <c r="H47" s="21">
        <f t="shared" si="2"/>
        <v>0</v>
      </c>
      <c r="I47" s="21">
        <f t="shared" si="2"/>
        <v>0</v>
      </c>
      <c r="J47" s="21">
        <f t="shared" si="8"/>
        <v>0</v>
      </c>
      <c r="K47" s="21">
        <f t="shared" si="2"/>
        <v>0</v>
      </c>
      <c r="L47" s="21">
        <f t="shared" si="2"/>
        <v>0</v>
      </c>
      <c r="M47" s="21">
        <f t="shared" si="9"/>
        <v>0</v>
      </c>
      <c r="N47" s="21">
        <f t="shared" si="10"/>
        <v>0</v>
      </c>
      <c r="O47" s="21">
        <f t="shared" si="11"/>
        <v>0</v>
      </c>
      <c r="P47" s="21">
        <f t="shared" si="11"/>
        <v>0</v>
      </c>
      <c r="Q47" s="24">
        <f t="shared" si="3"/>
        <v>0</v>
      </c>
      <c r="R47" s="21"/>
    </row>
    <row r="48" spans="1:18" x14ac:dyDescent="0.25">
      <c r="A48" s="20">
        <f t="shared" si="13"/>
        <v>16</v>
      </c>
      <c r="B48" s="20">
        <f t="shared" si="4"/>
        <v>0</v>
      </c>
      <c r="C48" s="21">
        <f t="shared" si="5"/>
        <v>0</v>
      </c>
      <c r="D48" s="21">
        <f t="shared" si="6"/>
        <v>0</v>
      </c>
      <c r="E48" s="21">
        <f t="shared" si="7"/>
        <v>0</v>
      </c>
      <c r="F48" s="21">
        <f t="shared" si="7"/>
        <v>0</v>
      </c>
      <c r="G48" s="21">
        <f t="shared" si="2"/>
        <v>0</v>
      </c>
      <c r="H48" s="21">
        <f t="shared" si="2"/>
        <v>0</v>
      </c>
      <c r="I48" s="21">
        <f t="shared" si="2"/>
        <v>0</v>
      </c>
      <c r="J48" s="21">
        <f t="shared" si="8"/>
        <v>0</v>
      </c>
      <c r="K48" s="21">
        <f t="shared" si="2"/>
        <v>0</v>
      </c>
      <c r="L48" s="21">
        <f t="shared" si="2"/>
        <v>0</v>
      </c>
      <c r="M48" s="21">
        <f t="shared" si="9"/>
        <v>0</v>
      </c>
      <c r="N48" s="21">
        <f t="shared" si="10"/>
        <v>0</v>
      </c>
      <c r="O48" s="21">
        <f t="shared" si="11"/>
        <v>0</v>
      </c>
      <c r="P48" s="21">
        <f t="shared" si="11"/>
        <v>0</v>
      </c>
      <c r="Q48" s="24">
        <f t="shared" si="3"/>
        <v>0</v>
      </c>
      <c r="R48" s="21"/>
    </row>
    <row r="49" spans="1:18" x14ac:dyDescent="0.25">
      <c r="A49" s="20">
        <f t="shared" si="13"/>
        <v>17</v>
      </c>
      <c r="B49" s="20">
        <f t="shared" si="4"/>
        <v>0</v>
      </c>
      <c r="C49" s="21">
        <f t="shared" si="5"/>
        <v>0</v>
      </c>
      <c r="D49" s="21">
        <f t="shared" si="6"/>
        <v>0</v>
      </c>
      <c r="E49" s="21">
        <f t="shared" si="7"/>
        <v>0</v>
      </c>
      <c r="F49" s="21">
        <f t="shared" si="7"/>
        <v>0</v>
      </c>
      <c r="G49" s="21">
        <f t="shared" ref="G49:I57" si="14">G21*2</f>
        <v>0</v>
      </c>
      <c r="H49" s="21">
        <f t="shared" si="14"/>
        <v>0</v>
      </c>
      <c r="I49" s="21">
        <f t="shared" si="14"/>
        <v>0</v>
      </c>
      <c r="J49" s="21">
        <f t="shared" si="8"/>
        <v>0</v>
      </c>
      <c r="K49" s="21">
        <f t="shared" ref="K49:L57" si="15">K21*2</f>
        <v>0</v>
      </c>
      <c r="L49" s="21">
        <f t="shared" si="15"/>
        <v>0</v>
      </c>
      <c r="M49" s="21">
        <f t="shared" si="9"/>
        <v>0</v>
      </c>
      <c r="N49" s="21">
        <f t="shared" si="10"/>
        <v>0</v>
      </c>
      <c r="O49" s="21">
        <f t="shared" si="11"/>
        <v>0</v>
      </c>
      <c r="P49" s="21">
        <f t="shared" si="11"/>
        <v>0</v>
      </c>
      <c r="Q49" s="24">
        <f t="shared" si="3"/>
        <v>0</v>
      </c>
      <c r="R49" s="21"/>
    </row>
    <row r="50" spans="1:18" x14ac:dyDescent="0.25">
      <c r="A50" s="20">
        <f t="shared" si="13"/>
        <v>18</v>
      </c>
      <c r="B50" s="20">
        <f t="shared" si="4"/>
        <v>0</v>
      </c>
      <c r="C50" s="21">
        <f t="shared" si="5"/>
        <v>0</v>
      </c>
      <c r="D50" s="21">
        <f t="shared" si="6"/>
        <v>0</v>
      </c>
      <c r="E50" s="21">
        <f t="shared" ref="E50:F57" si="16">E22*3</f>
        <v>0</v>
      </c>
      <c r="F50" s="21">
        <f t="shared" si="16"/>
        <v>0</v>
      </c>
      <c r="G50" s="21">
        <f t="shared" si="14"/>
        <v>0</v>
      </c>
      <c r="H50" s="21">
        <f t="shared" si="14"/>
        <v>0</v>
      </c>
      <c r="I50" s="21">
        <f t="shared" si="14"/>
        <v>0</v>
      </c>
      <c r="J50" s="21">
        <f t="shared" si="8"/>
        <v>0</v>
      </c>
      <c r="K50" s="21">
        <f t="shared" si="15"/>
        <v>0</v>
      </c>
      <c r="L50" s="21">
        <f t="shared" si="15"/>
        <v>0</v>
      </c>
      <c r="M50" s="21">
        <f t="shared" si="9"/>
        <v>0</v>
      </c>
      <c r="N50" s="21">
        <f t="shared" si="10"/>
        <v>0</v>
      </c>
      <c r="O50" s="21">
        <f t="shared" ref="O50:P57" si="17">O22*1</f>
        <v>0</v>
      </c>
      <c r="P50" s="21">
        <f t="shared" si="17"/>
        <v>0</v>
      </c>
      <c r="Q50" s="24">
        <f t="shared" si="3"/>
        <v>0</v>
      </c>
      <c r="R50" s="21"/>
    </row>
    <row r="51" spans="1:18" x14ac:dyDescent="0.25">
      <c r="A51" s="20">
        <f t="shared" si="13"/>
        <v>19</v>
      </c>
      <c r="B51" s="20">
        <f t="shared" si="4"/>
        <v>0</v>
      </c>
      <c r="C51" s="21">
        <f t="shared" si="5"/>
        <v>0</v>
      </c>
      <c r="D51" s="21">
        <f t="shared" si="6"/>
        <v>0</v>
      </c>
      <c r="E51" s="21">
        <f t="shared" si="16"/>
        <v>0</v>
      </c>
      <c r="F51" s="21">
        <f t="shared" si="16"/>
        <v>0</v>
      </c>
      <c r="G51" s="21">
        <f t="shared" si="14"/>
        <v>0</v>
      </c>
      <c r="H51" s="21">
        <f t="shared" si="14"/>
        <v>0</v>
      </c>
      <c r="I51" s="21">
        <f t="shared" si="14"/>
        <v>0</v>
      </c>
      <c r="J51" s="21">
        <f t="shared" si="8"/>
        <v>0</v>
      </c>
      <c r="K51" s="21">
        <f t="shared" si="15"/>
        <v>0</v>
      </c>
      <c r="L51" s="21">
        <f t="shared" si="15"/>
        <v>0</v>
      </c>
      <c r="M51" s="21">
        <f t="shared" si="9"/>
        <v>0</v>
      </c>
      <c r="N51" s="21">
        <f t="shared" si="10"/>
        <v>0</v>
      </c>
      <c r="O51" s="21">
        <f t="shared" si="17"/>
        <v>0</v>
      </c>
      <c r="P51" s="21">
        <f t="shared" si="17"/>
        <v>0</v>
      </c>
      <c r="Q51" s="24">
        <f t="shared" si="3"/>
        <v>0</v>
      </c>
      <c r="R51" s="21"/>
    </row>
    <row r="52" spans="1:18" x14ac:dyDescent="0.25">
      <c r="A52" s="20">
        <f t="shared" si="13"/>
        <v>20</v>
      </c>
      <c r="B52" s="20">
        <f t="shared" si="4"/>
        <v>0</v>
      </c>
      <c r="C52" s="21">
        <f t="shared" si="5"/>
        <v>0</v>
      </c>
      <c r="D52" s="21">
        <f t="shared" si="6"/>
        <v>0</v>
      </c>
      <c r="E52" s="21">
        <f t="shared" si="16"/>
        <v>0</v>
      </c>
      <c r="F52" s="21">
        <f t="shared" si="16"/>
        <v>0</v>
      </c>
      <c r="G52" s="21">
        <f t="shared" si="14"/>
        <v>0</v>
      </c>
      <c r="H52" s="21">
        <f t="shared" si="14"/>
        <v>0</v>
      </c>
      <c r="I52" s="21">
        <f t="shared" si="14"/>
        <v>0</v>
      </c>
      <c r="J52" s="21">
        <f t="shared" si="8"/>
        <v>0</v>
      </c>
      <c r="K52" s="21">
        <f t="shared" si="15"/>
        <v>0</v>
      </c>
      <c r="L52" s="21">
        <f t="shared" si="15"/>
        <v>0</v>
      </c>
      <c r="M52" s="21">
        <f t="shared" si="9"/>
        <v>0</v>
      </c>
      <c r="N52" s="21">
        <f t="shared" si="10"/>
        <v>0</v>
      </c>
      <c r="O52" s="21">
        <f t="shared" si="17"/>
        <v>0</v>
      </c>
      <c r="P52" s="21">
        <f t="shared" si="17"/>
        <v>0</v>
      </c>
      <c r="Q52" s="24">
        <f t="shared" si="3"/>
        <v>0</v>
      </c>
      <c r="R52" s="21"/>
    </row>
    <row r="53" spans="1:18" x14ac:dyDescent="0.25">
      <c r="A53" s="20">
        <f t="shared" si="13"/>
        <v>21</v>
      </c>
      <c r="B53" s="20">
        <f t="shared" si="4"/>
        <v>0</v>
      </c>
      <c r="C53" s="21">
        <f t="shared" si="5"/>
        <v>0</v>
      </c>
      <c r="D53" s="21">
        <f t="shared" si="6"/>
        <v>0</v>
      </c>
      <c r="E53" s="21">
        <f t="shared" si="16"/>
        <v>0</v>
      </c>
      <c r="F53" s="21">
        <f t="shared" si="16"/>
        <v>0</v>
      </c>
      <c r="G53" s="21">
        <f t="shared" si="14"/>
        <v>0</v>
      </c>
      <c r="H53" s="21">
        <f t="shared" si="14"/>
        <v>0</v>
      </c>
      <c r="I53" s="21">
        <f t="shared" si="14"/>
        <v>0</v>
      </c>
      <c r="J53" s="21">
        <f t="shared" si="8"/>
        <v>0</v>
      </c>
      <c r="K53" s="21">
        <f t="shared" si="15"/>
        <v>0</v>
      </c>
      <c r="L53" s="21">
        <f t="shared" si="15"/>
        <v>0</v>
      </c>
      <c r="M53" s="21">
        <f t="shared" si="9"/>
        <v>0</v>
      </c>
      <c r="N53" s="21">
        <f t="shared" si="10"/>
        <v>0</v>
      </c>
      <c r="O53" s="21">
        <f t="shared" si="17"/>
        <v>0</v>
      </c>
      <c r="P53" s="21">
        <f t="shared" si="17"/>
        <v>0</v>
      </c>
      <c r="Q53" s="24">
        <f t="shared" si="3"/>
        <v>0</v>
      </c>
      <c r="R53" s="21"/>
    </row>
    <row r="54" spans="1:18" x14ac:dyDescent="0.25">
      <c r="A54" s="20">
        <f t="shared" si="13"/>
        <v>22</v>
      </c>
      <c r="B54" s="20">
        <f t="shared" si="4"/>
        <v>0</v>
      </c>
      <c r="C54" s="21">
        <f t="shared" si="5"/>
        <v>0</v>
      </c>
      <c r="D54" s="21">
        <f t="shared" si="6"/>
        <v>0</v>
      </c>
      <c r="E54" s="21">
        <f t="shared" si="16"/>
        <v>0</v>
      </c>
      <c r="F54" s="21">
        <f t="shared" si="16"/>
        <v>0</v>
      </c>
      <c r="G54" s="21">
        <f t="shared" si="14"/>
        <v>0</v>
      </c>
      <c r="H54" s="21">
        <f t="shared" si="14"/>
        <v>0</v>
      </c>
      <c r="I54" s="21">
        <f t="shared" si="14"/>
        <v>0</v>
      </c>
      <c r="J54" s="21">
        <f t="shared" si="8"/>
        <v>0</v>
      </c>
      <c r="K54" s="21">
        <f t="shared" si="15"/>
        <v>0</v>
      </c>
      <c r="L54" s="21">
        <f t="shared" si="15"/>
        <v>0</v>
      </c>
      <c r="M54" s="21">
        <f t="shared" si="9"/>
        <v>0</v>
      </c>
      <c r="N54" s="21">
        <f t="shared" si="10"/>
        <v>0</v>
      </c>
      <c r="O54" s="21">
        <f t="shared" si="17"/>
        <v>0</v>
      </c>
      <c r="P54" s="21">
        <f t="shared" si="17"/>
        <v>0</v>
      </c>
      <c r="Q54" s="24">
        <f t="shared" si="3"/>
        <v>0</v>
      </c>
      <c r="R54" s="21"/>
    </row>
    <row r="55" spans="1:18" x14ac:dyDescent="0.25">
      <c r="A55" s="20">
        <f t="shared" si="13"/>
        <v>23</v>
      </c>
      <c r="B55" s="20">
        <f t="shared" si="4"/>
        <v>0</v>
      </c>
      <c r="C55" s="21">
        <f t="shared" si="5"/>
        <v>0</v>
      </c>
      <c r="D55" s="21">
        <f t="shared" si="6"/>
        <v>0</v>
      </c>
      <c r="E55" s="21">
        <f t="shared" si="16"/>
        <v>0</v>
      </c>
      <c r="F55" s="21">
        <f t="shared" si="16"/>
        <v>0</v>
      </c>
      <c r="G55" s="21">
        <f t="shared" si="14"/>
        <v>0</v>
      </c>
      <c r="H55" s="21">
        <f t="shared" si="14"/>
        <v>0</v>
      </c>
      <c r="I55" s="21">
        <f t="shared" si="14"/>
        <v>0</v>
      </c>
      <c r="J55" s="21">
        <f t="shared" si="8"/>
        <v>0</v>
      </c>
      <c r="K55" s="21">
        <f t="shared" si="15"/>
        <v>0</v>
      </c>
      <c r="L55" s="21">
        <f t="shared" si="15"/>
        <v>0</v>
      </c>
      <c r="M55" s="21">
        <f t="shared" si="9"/>
        <v>0</v>
      </c>
      <c r="N55" s="21">
        <f t="shared" si="10"/>
        <v>0</v>
      </c>
      <c r="O55" s="21">
        <f t="shared" si="17"/>
        <v>0</v>
      </c>
      <c r="P55" s="21">
        <f t="shared" si="17"/>
        <v>0</v>
      </c>
      <c r="Q55" s="24">
        <f t="shared" si="3"/>
        <v>0</v>
      </c>
      <c r="R55" s="21"/>
    </row>
    <row r="56" spans="1:18" x14ac:dyDescent="0.25">
      <c r="A56" s="20">
        <f t="shared" si="13"/>
        <v>24</v>
      </c>
      <c r="B56" s="20">
        <f t="shared" si="4"/>
        <v>0</v>
      </c>
      <c r="C56" s="21">
        <f t="shared" si="5"/>
        <v>0</v>
      </c>
      <c r="D56" s="21">
        <f t="shared" si="6"/>
        <v>0</v>
      </c>
      <c r="E56" s="21">
        <f t="shared" si="16"/>
        <v>0</v>
      </c>
      <c r="F56" s="21">
        <f t="shared" si="16"/>
        <v>0</v>
      </c>
      <c r="G56" s="21">
        <f t="shared" si="14"/>
        <v>0</v>
      </c>
      <c r="H56" s="21">
        <f t="shared" si="14"/>
        <v>0</v>
      </c>
      <c r="I56" s="21">
        <f t="shared" si="14"/>
        <v>0</v>
      </c>
      <c r="J56" s="21">
        <f t="shared" si="8"/>
        <v>0</v>
      </c>
      <c r="K56" s="21">
        <f t="shared" si="15"/>
        <v>0</v>
      </c>
      <c r="L56" s="21">
        <f t="shared" si="15"/>
        <v>0</v>
      </c>
      <c r="M56" s="21">
        <f t="shared" si="9"/>
        <v>0</v>
      </c>
      <c r="N56" s="21">
        <f t="shared" si="10"/>
        <v>0</v>
      </c>
      <c r="O56" s="21">
        <f t="shared" si="17"/>
        <v>0</v>
      </c>
      <c r="P56" s="21">
        <f t="shared" si="17"/>
        <v>0</v>
      </c>
      <c r="Q56" s="24">
        <f t="shared" si="3"/>
        <v>0</v>
      </c>
      <c r="R56" s="21"/>
    </row>
    <row r="57" spans="1:18" x14ac:dyDescent="0.25">
      <c r="A57" s="20">
        <f t="shared" si="13"/>
        <v>25</v>
      </c>
      <c r="B57" s="20">
        <f t="shared" si="4"/>
        <v>0</v>
      </c>
      <c r="C57" s="21">
        <f t="shared" si="5"/>
        <v>0</v>
      </c>
      <c r="D57" s="21">
        <f t="shared" si="6"/>
        <v>0</v>
      </c>
      <c r="E57" s="21">
        <f t="shared" si="16"/>
        <v>0</v>
      </c>
      <c r="F57" s="21">
        <f t="shared" si="16"/>
        <v>0</v>
      </c>
      <c r="G57" s="21">
        <f t="shared" si="14"/>
        <v>0</v>
      </c>
      <c r="H57" s="21">
        <f t="shared" si="14"/>
        <v>0</v>
      </c>
      <c r="I57" s="21">
        <f t="shared" si="14"/>
        <v>0</v>
      </c>
      <c r="J57" s="21">
        <f t="shared" si="8"/>
        <v>0</v>
      </c>
      <c r="K57" s="21">
        <f t="shared" si="15"/>
        <v>0</v>
      </c>
      <c r="L57" s="21">
        <f t="shared" si="15"/>
        <v>0</v>
      </c>
      <c r="M57" s="21">
        <f t="shared" si="9"/>
        <v>0</v>
      </c>
      <c r="N57" s="21">
        <f t="shared" si="10"/>
        <v>0</v>
      </c>
      <c r="O57" s="21">
        <f t="shared" si="17"/>
        <v>0</v>
      </c>
      <c r="P57" s="21">
        <f t="shared" si="17"/>
        <v>0</v>
      </c>
      <c r="Q57" s="24">
        <f t="shared" si="3"/>
        <v>0</v>
      </c>
      <c r="R57" s="21"/>
    </row>
    <row r="58" spans="1:18" x14ac:dyDescent="0.25">
      <c r="R58" s="22">
        <f>AVERAGE(R33:R57)</f>
        <v>8.1666666666666661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R58"/>
  <sheetViews>
    <sheetView workbookViewId="0">
      <selection activeCell="C5" sqref="C5:P11"/>
    </sheetView>
  </sheetViews>
  <sheetFormatPr baseColWidth="10" defaultRowHeight="15" x14ac:dyDescent="0.25"/>
  <cols>
    <col min="2" max="2" width="41.5703125" customWidth="1"/>
    <col min="3" max="3" width="7.5703125" bestFit="1" customWidth="1"/>
    <col min="4" max="4" width="7.140625" bestFit="1" customWidth="1"/>
    <col min="5" max="5" width="7.28515625" bestFit="1" customWidth="1"/>
    <col min="6" max="6" width="7.5703125" bestFit="1" customWidth="1"/>
    <col min="7" max="7" width="7.42578125" customWidth="1"/>
    <col min="8" max="8" width="5.5703125" bestFit="1" customWidth="1"/>
    <col min="9" max="9" width="6.7109375" bestFit="1" customWidth="1"/>
    <col min="10" max="10" width="6.7109375" customWidth="1"/>
    <col min="11" max="11" width="5.5703125" bestFit="1" customWidth="1"/>
    <col min="12" max="12" width="6.28515625" bestFit="1" customWidth="1"/>
    <col min="13" max="16" width="5.5703125" bestFit="1" customWidth="1"/>
    <col min="17" max="17" width="11.5703125" bestFit="1" customWidth="1"/>
    <col min="18" max="18" width="10" bestFit="1" customWidth="1"/>
  </cols>
  <sheetData>
    <row r="4" spans="1:16" x14ac:dyDescent="0.25">
      <c r="A4" s="18" t="s">
        <v>44</v>
      </c>
      <c r="B4" s="19" t="s">
        <v>45</v>
      </c>
      <c r="C4" s="19" t="s">
        <v>46</v>
      </c>
      <c r="D4" s="19" t="s">
        <v>47</v>
      </c>
      <c r="E4" s="19" t="s">
        <v>48</v>
      </c>
      <c r="F4" s="19" t="s">
        <v>49</v>
      </c>
      <c r="G4" s="19" t="s">
        <v>10</v>
      </c>
      <c r="H4" s="19" t="s">
        <v>50</v>
      </c>
      <c r="I4" s="19" t="s">
        <v>51</v>
      </c>
      <c r="J4" s="19" t="s">
        <v>52</v>
      </c>
      <c r="K4" s="19" t="s">
        <v>53</v>
      </c>
      <c r="L4" s="19" t="s">
        <v>54</v>
      </c>
      <c r="M4" s="19" t="s">
        <v>55</v>
      </c>
      <c r="N4" s="19" t="s">
        <v>14</v>
      </c>
      <c r="O4" s="19" t="s">
        <v>15</v>
      </c>
      <c r="P4" s="19" t="s">
        <v>56</v>
      </c>
    </row>
    <row r="5" spans="1:16" x14ac:dyDescent="0.25">
      <c r="A5" s="20">
        <v>1</v>
      </c>
      <c r="B5" s="20" t="s">
        <v>68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x14ac:dyDescent="0.25">
      <c r="A6" s="20">
        <f>A5+1</f>
        <v>2</v>
      </c>
      <c r="B6" s="20" t="s">
        <v>62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x14ac:dyDescent="0.25">
      <c r="A7" s="20">
        <f t="shared" ref="A7:A29" si="0">A6+1</f>
        <v>3</v>
      </c>
      <c r="B7" s="20" t="s">
        <v>69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x14ac:dyDescent="0.25">
      <c r="A8" s="20">
        <f t="shared" si="0"/>
        <v>4</v>
      </c>
      <c r="B8" s="20" t="s">
        <v>70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x14ac:dyDescent="0.25">
      <c r="A9" s="20">
        <f t="shared" si="0"/>
        <v>5</v>
      </c>
      <c r="B9" s="20" t="s">
        <v>64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x14ac:dyDescent="0.25">
      <c r="A10" s="20">
        <f t="shared" si="0"/>
        <v>6</v>
      </c>
      <c r="B10" s="20" t="s">
        <v>63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</row>
    <row r="11" spans="1:16" x14ac:dyDescent="0.25">
      <c r="A11" s="20">
        <f t="shared" si="0"/>
        <v>7</v>
      </c>
      <c r="B11" s="20" t="s">
        <v>97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x14ac:dyDescent="0.25">
      <c r="A12" s="20">
        <f t="shared" si="0"/>
        <v>8</v>
      </c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x14ac:dyDescent="0.25">
      <c r="A13" s="20">
        <f t="shared" si="0"/>
        <v>9</v>
      </c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5">
      <c r="A14" s="20">
        <f t="shared" si="0"/>
        <v>10</v>
      </c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x14ac:dyDescent="0.25">
      <c r="A15" s="20">
        <f t="shared" si="0"/>
        <v>11</v>
      </c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x14ac:dyDescent="0.25">
      <c r="A16" s="20">
        <f t="shared" si="0"/>
        <v>12</v>
      </c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8" x14ac:dyDescent="0.25">
      <c r="A17" s="20">
        <f t="shared" si="0"/>
        <v>13</v>
      </c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8" x14ac:dyDescent="0.25">
      <c r="A18" s="20">
        <f t="shared" si="0"/>
        <v>14</v>
      </c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8" x14ac:dyDescent="0.25">
      <c r="A19" s="20">
        <f t="shared" si="0"/>
        <v>15</v>
      </c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8" x14ac:dyDescent="0.25">
      <c r="A20" s="20">
        <f t="shared" si="0"/>
        <v>16</v>
      </c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8" x14ac:dyDescent="0.25">
      <c r="A21" s="20">
        <f t="shared" si="0"/>
        <v>17</v>
      </c>
      <c r="B21" s="25" t="s">
        <v>60</v>
      </c>
      <c r="C21" s="26" t="e">
        <f>AVERAGE(C5:C20)</f>
        <v>#DIV/0!</v>
      </c>
      <c r="D21" s="26" t="e">
        <f t="shared" ref="D21:P21" si="1">AVERAGE(D5:D20)</f>
        <v>#DIV/0!</v>
      </c>
      <c r="E21" s="26" t="e">
        <f t="shared" si="1"/>
        <v>#DIV/0!</v>
      </c>
      <c r="F21" s="26" t="e">
        <f t="shared" si="1"/>
        <v>#DIV/0!</v>
      </c>
      <c r="G21" s="26" t="e">
        <f t="shared" si="1"/>
        <v>#DIV/0!</v>
      </c>
      <c r="H21" s="26" t="e">
        <f t="shared" si="1"/>
        <v>#DIV/0!</v>
      </c>
      <c r="I21" s="26" t="e">
        <f t="shared" si="1"/>
        <v>#DIV/0!</v>
      </c>
      <c r="J21" s="26" t="e">
        <f t="shared" si="1"/>
        <v>#DIV/0!</v>
      </c>
      <c r="K21" s="26" t="e">
        <f t="shared" si="1"/>
        <v>#DIV/0!</v>
      </c>
      <c r="L21" s="26" t="e">
        <f t="shared" si="1"/>
        <v>#DIV/0!</v>
      </c>
      <c r="M21" s="26" t="e">
        <f t="shared" si="1"/>
        <v>#DIV/0!</v>
      </c>
      <c r="N21" s="26" t="e">
        <f t="shared" si="1"/>
        <v>#DIV/0!</v>
      </c>
      <c r="O21" s="26" t="e">
        <f t="shared" si="1"/>
        <v>#DIV/0!</v>
      </c>
      <c r="P21" s="26" t="e">
        <f t="shared" si="1"/>
        <v>#DIV/0!</v>
      </c>
    </row>
    <row r="22" spans="1:18" x14ac:dyDescent="0.25">
      <c r="A22" s="20">
        <f t="shared" si="0"/>
        <v>18</v>
      </c>
      <c r="B22" s="20">
        <f>[1]ANG!B22</f>
        <v>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8" x14ac:dyDescent="0.25">
      <c r="A23" s="20">
        <f t="shared" si="0"/>
        <v>19</v>
      </c>
      <c r="B23" s="20">
        <f>[1]ANG!B23</f>
        <v>0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8" x14ac:dyDescent="0.25">
      <c r="A24" s="20">
        <f t="shared" si="0"/>
        <v>20</v>
      </c>
      <c r="B24" s="20">
        <f>[1]ANG!B24</f>
        <v>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8" x14ac:dyDescent="0.25">
      <c r="A25" s="20">
        <f t="shared" si="0"/>
        <v>21</v>
      </c>
      <c r="B25" s="20">
        <f>[1]ANG!B25</f>
        <v>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8" x14ac:dyDescent="0.25">
      <c r="A26" s="20">
        <f t="shared" si="0"/>
        <v>22</v>
      </c>
      <c r="B26" s="20">
        <f>[1]ANG!B26</f>
        <v>0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x14ac:dyDescent="0.25">
      <c r="A27" s="20">
        <f t="shared" si="0"/>
        <v>23</v>
      </c>
      <c r="B27" s="20">
        <f>[1]ANG!B27</f>
        <v>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8" x14ac:dyDescent="0.25">
      <c r="A28" s="20">
        <f t="shared" si="0"/>
        <v>24</v>
      </c>
      <c r="B28" s="20">
        <f>[1]ANG!B28</f>
        <v>0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8" x14ac:dyDescent="0.25">
      <c r="A29" s="20">
        <f t="shared" si="0"/>
        <v>25</v>
      </c>
      <c r="B29" s="20">
        <f>[1]ANG!B29</f>
        <v>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8" x14ac:dyDescent="0.25">
      <c r="B30" t="s">
        <v>57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1:18" x14ac:dyDescent="0.25">
      <c r="C31" s="22"/>
    </row>
    <row r="32" spans="1:18" x14ac:dyDescent="0.25">
      <c r="A32" s="18" t="s">
        <v>44</v>
      </c>
      <c r="B32" s="19" t="s">
        <v>45</v>
      </c>
      <c r="C32" s="19" t="s">
        <v>46</v>
      </c>
      <c r="D32" s="19" t="s">
        <v>47</v>
      </c>
      <c r="E32" s="19" t="s">
        <v>48</v>
      </c>
      <c r="F32" s="19" t="s">
        <v>49</v>
      </c>
      <c r="G32" s="19" t="s">
        <v>10</v>
      </c>
      <c r="H32" s="19" t="s">
        <v>50</v>
      </c>
      <c r="I32" s="19" t="s">
        <v>51</v>
      </c>
      <c r="J32" s="19" t="s">
        <v>52</v>
      </c>
      <c r="K32" s="19" t="s">
        <v>53</v>
      </c>
      <c r="L32" s="19" t="s">
        <v>54</v>
      </c>
      <c r="M32" s="19" t="s">
        <v>55</v>
      </c>
      <c r="N32" s="19" t="s">
        <v>14</v>
      </c>
      <c r="O32" s="19" t="s">
        <v>15</v>
      </c>
      <c r="P32" s="19" t="s">
        <v>56</v>
      </c>
      <c r="Q32" s="23" t="s">
        <v>58</v>
      </c>
      <c r="R32" s="23" t="s">
        <v>59</v>
      </c>
    </row>
    <row r="33" spans="1:18" x14ac:dyDescent="0.25">
      <c r="A33" s="27">
        <v>1</v>
      </c>
      <c r="B33" s="31" t="str">
        <f>B5</f>
        <v>ANDONG Suzanne Melinda</v>
      </c>
      <c r="C33" s="32">
        <f>C5*4</f>
        <v>0</v>
      </c>
      <c r="D33" s="32">
        <f>D5*2</f>
        <v>0</v>
      </c>
      <c r="E33" s="32">
        <f>E5*3</f>
        <v>0</v>
      </c>
      <c r="F33" s="32">
        <f>F5*3</f>
        <v>0</v>
      </c>
      <c r="G33" s="32">
        <f t="shared" ref="G33:L36" si="2">G5*2</f>
        <v>0</v>
      </c>
      <c r="H33" s="32">
        <f t="shared" si="2"/>
        <v>0</v>
      </c>
      <c r="I33" s="32">
        <f t="shared" si="2"/>
        <v>0</v>
      </c>
      <c r="J33" s="32">
        <f>J5*3</f>
        <v>0</v>
      </c>
      <c r="K33" s="32">
        <f t="shared" si="2"/>
        <v>0</v>
      </c>
      <c r="L33" s="32">
        <f t="shared" si="2"/>
        <v>0</v>
      </c>
      <c r="M33" s="32">
        <f>M5*1</f>
        <v>0</v>
      </c>
      <c r="N33" s="32">
        <f>N5*2</f>
        <v>0</v>
      </c>
      <c r="O33" s="32">
        <f>O5*1</f>
        <v>0</v>
      </c>
      <c r="P33" s="32">
        <f>P5*1</f>
        <v>0</v>
      </c>
      <c r="Q33" s="33">
        <f t="shared" ref="Q33:Q49" si="3">SUM(C33:P33)</f>
        <v>0</v>
      </c>
      <c r="R33" s="32">
        <f>Q33/30</f>
        <v>0</v>
      </c>
    </row>
    <row r="34" spans="1:18" x14ac:dyDescent="0.25">
      <c r="A34" s="20">
        <f>A33+1</f>
        <v>2</v>
      </c>
      <c r="B34" s="20" t="str">
        <f t="shared" ref="B34:B49" si="4">B6</f>
        <v>MPONO Grâce Mireille</v>
      </c>
      <c r="C34" s="21">
        <f t="shared" ref="C34:C49" si="5">C6*4</f>
        <v>0</v>
      </c>
      <c r="D34" s="21">
        <f t="shared" ref="D34:D49" si="6">D6*2</f>
        <v>0</v>
      </c>
      <c r="E34" s="21">
        <f t="shared" ref="E34:F49" si="7">E6*3</f>
        <v>0</v>
      </c>
      <c r="F34" s="21">
        <f t="shared" si="7"/>
        <v>0</v>
      </c>
      <c r="G34" s="21">
        <f t="shared" si="2"/>
        <v>0</v>
      </c>
      <c r="H34" s="21">
        <f t="shared" si="2"/>
        <v>0</v>
      </c>
      <c r="I34" s="21">
        <f t="shared" si="2"/>
        <v>0</v>
      </c>
      <c r="J34" s="21">
        <f t="shared" ref="J34:J49" si="8">J6*3</f>
        <v>0</v>
      </c>
      <c r="K34" s="21">
        <f t="shared" si="2"/>
        <v>0</v>
      </c>
      <c r="L34" s="21">
        <f t="shared" si="2"/>
        <v>0</v>
      </c>
      <c r="M34" s="21">
        <f t="shared" ref="M34:M49" si="9">M6*1</f>
        <v>0</v>
      </c>
      <c r="N34" s="21">
        <f t="shared" ref="N34:N49" si="10">N6*2</f>
        <v>0</v>
      </c>
      <c r="O34" s="32">
        <f t="shared" ref="O34:O40" si="11">O6*1</f>
        <v>0</v>
      </c>
      <c r="P34" s="21">
        <f t="shared" ref="O34:P49" si="12">P6*1</f>
        <v>0</v>
      </c>
      <c r="Q34" s="24">
        <f t="shared" si="3"/>
        <v>0</v>
      </c>
      <c r="R34" s="21">
        <f t="shared" ref="R34:R49" si="13">Q34/30</f>
        <v>0</v>
      </c>
    </row>
    <row r="35" spans="1:18" x14ac:dyDescent="0.25">
      <c r="A35" s="20">
        <f t="shared" ref="A35:A57" si="14">A34+1</f>
        <v>3</v>
      </c>
      <c r="B35" s="20" t="str">
        <f t="shared" si="4"/>
        <v>NCHOUTYAME DIADOUKOUO Valerie Chaquira</v>
      </c>
      <c r="C35" s="21">
        <f t="shared" si="5"/>
        <v>0</v>
      </c>
      <c r="D35" s="21">
        <f t="shared" si="6"/>
        <v>0</v>
      </c>
      <c r="E35" s="21">
        <f t="shared" si="7"/>
        <v>0</v>
      </c>
      <c r="F35" s="21">
        <f t="shared" si="7"/>
        <v>0</v>
      </c>
      <c r="G35" s="21">
        <f t="shared" si="2"/>
        <v>0</v>
      </c>
      <c r="H35" s="21">
        <f t="shared" si="2"/>
        <v>0</v>
      </c>
      <c r="I35" s="21">
        <f t="shared" si="2"/>
        <v>0</v>
      </c>
      <c r="J35" s="21">
        <f t="shared" si="8"/>
        <v>0</v>
      </c>
      <c r="K35" s="21">
        <f t="shared" si="2"/>
        <v>0</v>
      </c>
      <c r="L35" s="21">
        <f t="shared" si="2"/>
        <v>0</v>
      </c>
      <c r="M35" s="21">
        <f t="shared" si="9"/>
        <v>0</v>
      </c>
      <c r="N35" s="21">
        <f t="shared" si="10"/>
        <v>0</v>
      </c>
      <c r="O35" s="32">
        <f t="shared" si="11"/>
        <v>0</v>
      </c>
      <c r="P35" s="21">
        <f t="shared" si="12"/>
        <v>0</v>
      </c>
      <c r="Q35" s="24">
        <f t="shared" si="3"/>
        <v>0</v>
      </c>
      <c r="R35" s="21">
        <f t="shared" si="13"/>
        <v>0</v>
      </c>
    </row>
    <row r="36" spans="1:18" x14ac:dyDescent="0.25">
      <c r="A36" s="20">
        <f t="shared" si="14"/>
        <v>4</v>
      </c>
      <c r="B36" s="20" t="str">
        <f t="shared" si="4"/>
        <v>NGO POM Marie Juzelle</v>
      </c>
      <c r="C36" s="21">
        <f t="shared" si="5"/>
        <v>0</v>
      </c>
      <c r="D36" s="21">
        <f t="shared" si="6"/>
        <v>0</v>
      </c>
      <c r="E36" s="21">
        <f t="shared" si="7"/>
        <v>0</v>
      </c>
      <c r="F36" s="21">
        <f t="shared" si="7"/>
        <v>0</v>
      </c>
      <c r="G36" s="21">
        <f t="shared" si="2"/>
        <v>0</v>
      </c>
      <c r="H36" s="21">
        <f t="shared" si="2"/>
        <v>0</v>
      </c>
      <c r="I36" s="21">
        <f t="shared" si="2"/>
        <v>0</v>
      </c>
      <c r="J36" s="21">
        <f t="shared" si="8"/>
        <v>0</v>
      </c>
      <c r="K36" s="21">
        <f t="shared" si="2"/>
        <v>0</v>
      </c>
      <c r="L36" s="21">
        <f t="shared" si="2"/>
        <v>0</v>
      </c>
      <c r="M36" s="21">
        <f t="shared" si="9"/>
        <v>0</v>
      </c>
      <c r="N36" s="21">
        <f t="shared" si="10"/>
        <v>0</v>
      </c>
      <c r="O36" s="32">
        <f t="shared" si="11"/>
        <v>0</v>
      </c>
      <c r="P36" s="21">
        <f t="shared" si="12"/>
        <v>0</v>
      </c>
      <c r="Q36" s="24">
        <f t="shared" si="3"/>
        <v>0</v>
      </c>
      <c r="R36" s="21">
        <f t="shared" si="13"/>
        <v>0</v>
      </c>
    </row>
    <row r="37" spans="1:18" x14ac:dyDescent="0.25">
      <c r="A37" s="20">
        <f t="shared" si="14"/>
        <v>5</v>
      </c>
      <c r="B37" s="20" t="str">
        <f t="shared" si="4"/>
        <v>OBAMA EKOUE Marlyse Giovanny</v>
      </c>
      <c r="C37" s="21">
        <f t="shared" si="5"/>
        <v>0</v>
      </c>
      <c r="D37" s="21">
        <f t="shared" si="6"/>
        <v>0</v>
      </c>
      <c r="E37" s="21">
        <f t="shared" ref="E37:F37" si="15">E9*3</f>
        <v>0</v>
      </c>
      <c r="F37" s="21">
        <f t="shared" si="15"/>
        <v>0</v>
      </c>
      <c r="G37" s="21">
        <f t="shared" ref="G37:I37" si="16">G9*2</f>
        <v>0</v>
      </c>
      <c r="H37" s="21">
        <f t="shared" si="16"/>
        <v>0</v>
      </c>
      <c r="I37" s="21">
        <f t="shared" si="16"/>
        <v>0</v>
      </c>
      <c r="J37" s="21">
        <f t="shared" si="8"/>
        <v>0</v>
      </c>
      <c r="K37" s="21">
        <f t="shared" ref="K37:L37" si="17">K9*2</f>
        <v>0</v>
      </c>
      <c r="L37" s="21">
        <f t="shared" si="17"/>
        <v>0</v>
      </c>
      <c r="M37" s="21">
        <f t="shared" si="9"/>
        <v>0</v>
      </c>
      <c r="N37" s="21">
        <f t="shared" si="10"/>
        <v>0</v>
      </c>
      <c r="O37" s="32">
        <f t="shared" si="11"/>
        <v>0</v>
      </c>
      <c r="P37" s="21">
        <f t="shared" ref="P37" si="18">P9*1</f>
        <v>0</v>
      </c>
      <c r="Q37" s="24">
        <f t="shared" ref="Q37:Q40" si="19">SUM(C37:P37)</f>
        <v>0</v>
      </c>
      <c r="R37" s="21">
        <f t="shared" ref="R37:R40" si="20">Q37/30</f>
        <v>0</v>
      </c>
    </row>
    <row r="38" spans="1:18" x14ac:dyDescent="0.25">
      <c r="A38" s="20">
        <f t="shared" si="14"/>
        <v>6</v>
      </c>
      <c r="B38" s="20" t="str">
        <f t="shared" si="4"/>
        <v>PEKEKO Elvan Fabrel</v>
      </c>
      <c r="C38" s="21">
        <f t="shared" si="5"/>
        <v>0</v>
      </c>
      <c r="D38" s="21">
        <f t="shared" si="6"/>
        <v>0</v>
      </c>
      <c r="E38" s="21">
        <f t="shared" ref="E38:F38" si="21">E10*3</f>
        <v>0</v>
      </c>
      <c r="F38" s="21">
        <f t="shared" si="21"/>
        <v>0</v>
      </c>
      <c r="G38" s="21">
        <f t="shared" ref="G38:I38" si="22">G10*2</f>
        <v>0</v>
      </c>
      <c r="H38" s="21">
        <f t="shared" si="22"/>
        <v>0</v>
      </c>
      <c r="I38" s="21">
        <f t="shared" si="22"/>
        <v>0</v>
      </c>
      <c r="J38" s="21">
        <f t="shared" si="8"/>
        <v>0</v>
      </c>
      <c r="K38" s="21">
        <f t="shared" ref="K38:L38" si="23">K10*2</f>
        <v>0</v>
      </c>
      <c r="L38" s="21">
        <f t="shared" si="23"/>
        <v>0</v>
      </c>
      <c r="M38" s="21">
        <f t="shared" si="9"/>
        <v>0</v>
      </c>
      <c r="N38" s="21">
        <f t="shared" si="10"/>
        <v>0</v>
      </c>
      <c r="O38" s="32">
        <f t="shared" si="11"/>
        <v>0</v>
      </c>
      <c r="P38" s="21">
        <f t="shared" ref="P38" si="24">P10*1</f>
        <v>0</v>
      </c>
      <c r="Q38" s="24">
        <f t="shared" si="19"/>
        <v>0</v>
      </c>
      <c r="R38" s="21">
        <f t="shared" si="20"/>
        <v>0</v>
      </c>
    </row>
    <row r="39" spans="1:18" x14ac:dyDescent="0.25">
      <c r="A39" s="20">
        <f t="shared" si="14"/>
        <v>7</v>
      </c>
      <c r="B39" s="20" t="str">
        <f t="shared" si="4"/>
        <v>NGOME GOUSSAKI ANGE GABRIELLE</v>
      </c>
      <c r="C39" s="21">
        <f t="shared" si="5"/>
        <v>0</v>
      </c>
      <c r="D39" s="21">
        <f t="shared" si="6"/>
        <v>0</v>
      </c>
      <c r="E39" s="21">
        <f t="shared" ref="E39:F39" si="25">E11*3</f>
        <v>0</v>
      </c>
      <c r="F39" s="21">
        <f t="shared" si="25"/>
        <v>0</v>
      </c>
      <c r="G39" s="21">
        <f t="shared" ref="G39:I39" si="26">G11*2</f>
        <v>0</v>
      </c>
      <c r="H39" s="21">
        <f t="shared" si="26"/>
        <v>0</v>
      </c>
      <c r="I39" s="21">
        <f t="shared" si="26"/>
        <v>0</v>
      </c>
      <c r="J39" s="21">
        <f t="shared" si="8"/>
        <v>0</v>
      </c>
      <c r="K39" s="21">
        <f t="shared" ref="K39:L39" si="27">K11*2</f>
        <v>0</v>
      </c>
      <c r="L39" s="21">
        <f t="shared" si="27"/>
        <v>0</v>
      </c>
      <c r="M39" s="21">
        <f t="shared" si="9"/>
        <v>0</v>
      </c>
      <c r="N39" s="21">
        <f t="shared" si="10"/>
        <v>0</v>
      </c>
      <c r="O39" s="32">
        <f t="shared" si="11"/>
        <v>0</v>
      </c>
      <c r="P39" s="21">
        <f t="shared" ref="P39" si="28">P11*1</f>
        <v>0</v>
      </c>
      <c r="Q39" s="24">
        <f t="shared" si="19"/>
        <v>0</v>
      </c>
      <c r="R39" s="21">
        <f t="shared" si="20"/>
        <v>0</v>
      </c>
    </row>
    <row r="40" spans="1:18" x14ac:dyDescent="0.25">
      <c r="A40" s="20">
        <f t="shared" si="14"/>
        <v>8</v>
      </c>
      <c r="B40" s="20">
        <f t="shared" si="4"/>
        <v>0</v>
      </c>
      <c r="C40" s="21">
        <f t="shared" si="5"/>
        <v>0</v>
      </c>
      <c r="D40" s="21">
        <f t="shared" si="6"/>
        <v>0</v>
      </c>
      <c r="E40" s="21">
        <f t="shared" ref="E40:F40" si="29">E12*3</f>
        <v>0</v>
      </c>
      <c r="F40" s="21">
        <f t="shared" si="29"/>
        <v>0</v>
      </c>
      <c r="G40" s="21">
        <f t="shared" ref="G40:I40" si="30">G12*2</f>
        <v>0</v>
      </c>
      <c r="H40" s="21">
        <f t="shared" si="30"/>
        <v>0</v>
      </c>
      <c r="I40" s="21">
        <f t="shared" si="30"/>
        <v>0</v>
      </c>
      <c r="J40" s="21">
        <f t="shared" si="8"/>
        <v>0</v>
      </c>
      <c r="K40" s="21">
        <f t="shared" ref="K40:L40" si="31">K12*2</f>
        <v>0</v>
      </c>
      <c r="L40" s="21">
        <f t="shared" si="31"/>
        <v>0</v>
      </c>
      <c r="M40" s="21">
        <f t="shared" si="9"/>
        <v>0</v>
      </c>
      <c r="N40" s="21">
        <f t="shared" si="10"/>
        <v>0</v>
      </c>
      <c r="O40" s="32">
        <f t="shared" si="11"/>
        <v>0</v>
      </c>
      <c r="P40" s="21">
        <f t="shared" ref="P40" si="32">P12*1</f>
        <v>0</v>
      </c>
      <c r="Q40" s="24">
        <f t="shared" si="19"/>
        <v>0</v>
      </c>
      <c r="R40" s="21">
        <f t="shared" si="20"/>
        <v>0</v>
      </c>
    </row>
    <row r="41" spans="1:18" x14ac:dyDescent="0.25">
      <c r="A41" s="20">
        <f t="shared" si="14"/>
        <v>9</v>
      </c>
      <c r="B41" s="20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4"/>
      <c r="R41" s="21"/>
    </row>
    <row r="42" spans="1:18" x14ac:dyDescent="0.25">
      <c r="A42" s="20">
        <f t="shared" si="14"/>
        <v>10</v>
      </c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4"/>
      <c r="R42" s="21"/>
    </row>
    <row r="43" spans="1:18" x14ac:dyDescent="0.25">
      <c r="A43" s="20">
        <f t="shared" si="14"/>
        <v>11</v>
      </c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4"/>
      <c r="R43" s="21"/>
    </row>
    <row r="44" spans="1:18" x14ac:dyDescent="0.25">
      <c r="A44" s="20">
        <f t="shared" si="14"/>
        <v>12</v>
      </c>
      <c r="B44" s="20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4"/>
      <c r="R44" s="21"/>
    </row>
    <row r="45" spans="1:18" x14ac:dyDescent="0.25">
      <c r="A45" s="20">
        <f t="shared" si="14"/>
        <v>13</v>
      </c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4"/>
      <c r="R45" s="21"/>
    </row>
    <row r="46" spans="1:18" x14ac:dyDescent="0.25">
      <c r="A46" s="20">
        <f t="shared" si="14"/>
        <v>14</v>
      </c>
      <c r="B46" s="20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4"/>
      <c r="R46" s="21"/>
    </row>
    <row r="47" spans="1:18" x14ac:dyDescent="0.25">
      <c r="A47" s="20">
        <f t="shared" si="14"/>
        <v>15</v>
      </c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4"/>
      <c r="R47" s="21"/>
    </row>
    <row r="48" spans="1:18" x14ac:dyDescent="0.25">
      <c r="A48" s="20">
        <f t="shared" si="14"/>
        <v>16</v>
      </c>
      <c r="B48" s="2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4"/>
      <c r="R48" s="21"/>
    </row>
    <row r="49" spans="1:18" s="29" customFormat="1" x14ac:dyDescent="0.25">
      <c r="A49" s="25">
        <f t="shared" si="14"/>
        <v>17</v>
      </c>
      <c r="B49" s="25" t="str">
        <f t="shared" si="4"/>
        <v xml:space="preserve">MOYENNE </v>
      </c>
      <c r="C49" s="26" t="e">
        <f t="shared" si="5"/>
        <v>#DIV/0!</v>
      </c>
      <c r="D49" s="26" t="e">
        <f t="shared" si="6"/>
        <v>#DIV/0!</v>
      </c>
      <c r="E49" s="26" t="e">
        <f t="shared" si="7"/>
        <v>#DIV/0!</v>
      </c>
      <c r="F49" s="26" t="e">
        <f t="shared" si="7"/>
        <v>#DIV/0!</v>
      </c>
      <c r="G49" s="26" t="e">
        <f t="shared" ref="G49:I49" si="33">G21*2</f>
        <v>#DIV/0!</v>
      </c>
      <c r="H49" s="26" t="e">
        <f t="shared" si="33"/>
        <v>#DIV/0!</v>
      </c>
      <c r="I49" s="26" t="e">
        <f t="shared" si="33"/>
        <v>#DIV/0!</v>
      </c>
      <c r="J49" s="26" t="e">
        <f t="shared" si="8"/>
        <v>#DIV/0!</v>
      </c>
      <c r="K49" s="26" t="e">
        <f t="shared" ref="K49:L49" si="34">K21*2</f>
        <v>#DIV/0!</v>
      </c>
      <c r="L49" s="26" t="e">
        <f t="shared" si="34"/>
        <v>#DIV/0!</v>
      </c>
      <c r="M49" s="26" t="e">
        <f t="shared" si="9"/>
        <v>#DIV/0!</v>
      </c>
      <c r="N49" s="26" t="e">
        <f t="shared" si="10"/>
        <v>#DIV/0!</v>
      </c>
      <c r="O49" s="26" t="e">
        <f t="shared" si="12"/>
        <v>#DIV/0!</v>
      </c>
      <c r="P49" s="26" t="e">
        <f t="shared" si="12"/>
        <v>#DIV/0!</v>
      </c>
      <c r="Q49" s="28" t="e">
        <f t="shared" si="3"/>
        <v>#DIV/0!</v>
      </c>
      <c r="R49" s="26" t="e">
        <f t="shared" si="13"/>
        <v>#DIV/0!</v>
      </c>
    </row>
    <row r="50" spans="1:18" x14ac:dyDescent="0.25">
      <c r="A50" s="20">
        <f t="shared" si="14"/>
        <v>18</v>
      </c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4"/>
      <c r="R50" s="21"/>
    </row>
    <row r="51" spans="1:18" x14ac:dyDescent="0.25">
      <c r="A51" s="20">
        <f t="shared" si="14"/>
        <v>19</v>
      </c>
      <c r="B51" s="2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4"/>
      <c r="R51" s="21"/>
    </row>
    <row r="52" spans="1:18" x14ac:dyDescent="0.25">
      <c r="A52" s="20">
        <f t="shared" si="14"/>
        <v>20</v>
      </c>
      <c r="B52" s="20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4"/>
      <c r="R52" s="21"/>
    </row>
    <row r="53" spans="1:18" x14ac:dyDescent="0.25">
      <c r="A53" s="20">
        <f t="shared" si="14"/>
        <v>21</v>
      </c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4"/>
      <c r="R53" s="21"/>
    </row>
    <row r="54" spans="1:18" x14ac:dyDescent="0.25">
      <c r="A54" s="20">
        <f t="shared" si="14"/>
        <v>22</v>
      </c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4"/>
      <c r="R54" s="21"/>
    </row>
    <row r="55" spans="1:18" x14ac:dyDescent="0.25">
      <c r="A55" s="20">
        <f t="shared" si="14"/>
        <v>23</v>
      </c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4"/>
      <c r="R55" s="21"/>
    </row>
    <row r="56" spans="1:18" x14ac:dyDescent="0.25">
      <c r="A56" s="20">
        <f t="shared" si="14"/>
        <v>24</v>
      </c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4"/>
      <c r="R56" s="21"/>
    </row>
    <row r="57" spans="1:18" x14ac:dyDescent="0.25">
      <c r="A57" s="20">
        <f t="shared" si="14"/>
        <v>25</v>
      </c>
      <c r="B57" s="20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4"/>
      <c r="R57" s="21"/>
    </row>
    <row r="58" spans="1:18" x14ac:dyDescent="0.25">
      <c r="R58" s="22" t="e">
        <f>AVERAGE(R33:R57)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88"/>
  <sheetViews>
    <sheetView topLeftCell="E5" zoomScale="70" zoomScaleNormal="70" workbookViewId="0">
      <selection activeCell="N78" sqref="N78:N80"/>
    </sheetView>
  </sheetViews>
  <sheetFormatPr baseColWidth="10" defaultRowHeight="15" x14ac:dyDescent="0.25"/>
  <cols>
    <col min="1" max="1" width="9.42578125" customWidth="1"/>
    <col min="2" max="2" width="51.28515625" customWidth="1"/>
    <col min="3" max="3" width="9.85546875" customWidth="1"/>
    <col min="4" max="4" width="18.7109375" customWidth="1"/>
    <col min="5" max="5" width="12.7109375" customWidth="1"/>
    <col min="6" max="6" width="7.5703125" customWidth="1"/>
    <col min="7" max="7" width="9.28515625" customWidth="1"/>
    <col min="8" max="8" width="51" customWidth="1"/>
    <col min="9" max="9" width="6.5703125" customWidth="1"/>
    <col min="10" max="10" width="15.28515625" customWidth="1"/>
    <col min="11" max="11" width="13.5703125" customWidth="1"/>
    <col min="12" max="12" width="6.28515625" bestFit="1" customWidth="1"/>
    <col min="13" max="13" width="8.85546875" customWidth="1"/>
    <col min="14" max="14" width="54.42578125" customWidth="1"/>
    <col min="15" max="15" width="8.140625" customWidth="1"/>
    <col min="16" max="16" width="19.7109375" customWidth="1"/>
    <col min="17" max="17" width="13" customWidth="1"/>
    <col min="18" max="18" width="7.42578125" customWidth="1"/>
    <col min="19" max="19" width="7" style="30" customWidth="1"/>
  </cols>
  <sheetData>
    <row r="4" spans="1:19" ht="15.75" x14ac:dyDescent="0.25">
      <c r="A4" s="47" t="s">
        <v>4</v>
      </c>
      <c r="B4" s="47" t="s">
        <v>45</v>
      </c>
      <c r="C4" s="47" t="s">
        <v>71</v>
      </c>
      <c r="D4" s="47" t="s">
        <v>72</v>
      </c>
      <c r="E4" s="47" t="s">
        <v>46</v>
      </c>
      <c r="F4" s="47" t="s">
        <v>47</v>
      </c>
      <c r="G4" s="47" t="s">
        <v>48</v>
      </c>
      <c r="H4" s="47" t="s">
        <v>49</v>
      </c>
      <c r="I4" s="47" t="s">
        <v>10</v>
      </c>
      <c r="J4" s="47" t="s">
        <v>50</v>
      </c>
      <c r="K4" s="47" t="s">
        <v>51</v>
      </c>
      <c r="L4" s="47" t="s">
        <v>52</v>
      </c>
      <c r="M4" s="47" t="s">
        <v>53</v>
      </c>
      <c r="N4" s="47" t="s">
        <v>54</v>
      </c>
      <c r="O4" s="47" t="s">
        <v>55</v>
      </c>
      <c r="P4" s="47" t="s">
        <v>14</v>
      </c>
      <c r="Q4" s="47" t="s">
        <v>15</v>
      </c>
      <c r="R4" s="47" t="s">
        <v>56</v>
      </c>
      <c r="S4" s="50" t="s">
        <v>61</v>
      </c>
    </row>
    <row r="5" spans="1:19" ht="15.75" x14ac:dyDescent="0.25">
      <c r="A5" s="36" t="str">
        <f>CONCATENATE(RANK(S3:S9,S$5:$S$11)," ",IF(RANK(S3:S9,S$5:$S$11)=1,"er/ère","ème"))</f>
        <v>3 ème</v>
      </c>
      <c r="B5" s="36" t="s">
        <v>68</v>
      </c>
      <c r="C5" s="43" t="s">
        <v>76</v>
      </c>
      <c r="D5" s="43">
        <v>241523698</v>
      </c>
      <c r="E5" s="21">
        <v>15</v>
      </c>
      <c r="F5" s="21">
        <v>10</v>
      </c>
      <c r="G5" s="21">
        <v>11</v>
      </c>
      <c r="H5" s="21">
        <v>11</v>
      </c>
      <c r="I5" s="21">
        <v>9</v>
      </c>
      <c r="J5" s="21">
        <v>7</v>
      </c>
      <c r="K5" s="21">
        <v>9</v>
      </c>
      <c r="L5" s="21">
        <v>12</v>
      </c>
      <c r="M5" s="21">
        <v>13</v>
      </c>
      <c r="N5" s="21">
        <v>7.5</v>
      </c>
      <c r="O5" s="21">
        <v>9</v>
      </c>
      <c r="P5" s="21">
        <v>16</v>
      </c>
      <c r="Q5" s="21">
        <v>14</v>
      </c>
      <c r="R5" s="21">
        <v>17</v>
      </c>
      <c r="S5" s="51">
        <v>11.5</v>
      </c>
    </row>
    <row r="6" spans="1:19" ht="15.75" x14ac:dyDescent="0.25">
      <c r="A6" s="36" t="e">
        <f>CONCATENATE(RANK(S6:S11,S$5:$S$10)," ",IF(RANK(S6:S11,S$5:$S$10)=1,"er/ère","ème"))</f>
        <v>#N/A</v>
      </c>
      <c r="B6" s="36" t="s">
        <v>62</v>
      </c>
      <c r="C6" s="43" t="s">
        <v>76</v>
      </c>
      <c r="D6" s="43">
        <v>241524091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51"/>
    </row>
    <row r="7" spans="1:19" ht="15.75" x14ac:dyDescent="0.25">
      <c r="A7" s="36" t="str">
        <f>CONCATENATE(RANK(S5:S11,S$5:$S$11)," ",IF(RANK(S5:S11,S$5:$S$11)=1,"er/ère","ème"))</f>
        <v>4 ème</v>
      </c>
      <c r="B7" s="36" t="s">
        <v>69</v>
      </c>
      <c r="C7" s="43" t="s">
        <v>76</v>
      </c>
      <c r="D7" s="43">
        <v>241427517</v>
      </c>
      <c r="E7" s="21">
        <v>14</v>
      </c>
      <c r="F7" s="21">
        <v>9</v>
      </c>
      <c r="G7" s="21">
        <v>11</v>
      </c>
      <c r="H7" s="21">
        <v>10</v>
      </c>
      <c r="I7" s="21">
        <v>10.5</v>
      </c>
      <c r="J7" s="21">
        <v>8.5</v>
      </c>
      <c r="K7" s="21">
        <v>9</v>
      </c>
      <c r="L7" s="21">
        <v>10.5</v>
      </c>
      <c r="M7" s="21">
        <v>8</v>
      </c>
      <c r="N7" s="21">
        <v>12.5</v>
      </c>
      <c r="O7" s="21">
        <v>9.5</v>
      </c>
      <c r="P7" s="21">
        <v>15</v>
      </c>
      <c r="Q7" s="21">
        <v>14</v>
      </c>
      <c r="R7" s="21">
        <v>17</v>
      </c>
      <c r="S7" s="51">
        <v>11.2</v>
      </c>
    </row>
    <row r="8" spans="1:19" ht="15.75" x14ac:dyDescent="0.25">
      <c r="A8" s="36" t="str">
        <f>CONCATENATE(RANK(S6:S12,S$5:$S$11)," ",IF(RANK(S6:S12,S$5:$S$11)=1,"er/ère","ème"))</f>
        <v>5 ème</v>
      </c>
      <c r="B8" s="36" t="s">
        <v>70</v>
      </c>
      <c r="C8" s="43" t="s">
        <v>76</v>
      </c>
      <c r="D8" s="43">
        <v>241523728</v>
      </c>
      <c r="E8" s="21">
        <v>8</v>
      </c>
      <c r="F8" s="21">
        <v>8</v>
      </c>
      <c r="G8" s="21">
        <v>8.5</v>
      </c>
      <c r="H8" s="21">
        <v>7</v>
      </c>
      <c r="I8" s="21">
        <v>7</v>
      </c>
      <c r="J8" s="21">
        <v>7</v>
      </c>
      <c r="K8" s="21">
        <v>8</v>
      </c>
      <c r="L8" s="21">
        <v>7.5</v>
      </c>
      <c r="M8" s="21">
        <v>9</v>
      </c>
      <c r="N8" s="21">
        <v>8</v>
      </c>
      <c r="O8" s="21">
        <v>7.5</v>
      </c>
      <c r="P8" s="21">
        <v>16</v>
      </c>
      <c r="Q8" s="21">
        <v>14</v>
      </c>
      <c r="R8" s="21">
        <v>17</v>
      </c>
      <c r="S8" s="51">
        <v>8.85</v>
      </c>
    </row>
    <row r="9" spans="1:19" ht="15.75" x14ac:dyDescent="0.25">
      <c r="A9" s="36" t="str">
        <f>CONCATENATE(RANK(S7:S13,S$5:$S$11)," ",IF(RANK(S7:S13,S$5:$S$11)=1,"er/ère","ème"))</f>
        <v>1 er/ère</v>
      </c>
      <c r="B9" s="36" t="s">
        <v>64</v>
      </c>
      <c r="C9" s="43" t="s">
        <v>76</v>
      </c>
      <c r="D9" s="43">
        <v>241524518</v>
      </c>
      <c r="E9" s="21">
        <v>17</v>
      </c>
      <c r="F9" s="21">
        <v>14</v>
      </c>
      <c r="G9" s="21">
        <v>15</v>
      </c>
      <c r="H9" s="21">
        <v>12</v>
      </c>
      <c r="I9" s="21">
        <v>11</v>
      </c>
      <c r="J9" s="21">
        <v>13.5</v>
      </c>
      <c r="K9" s="21">
        <v>12</v>
      </c>
      <c r="L9" s="21">
        <v>11.5</v>
      </c>
      <c r="M9" s="21">
        <v>13</v>
      </c>
      <c r="N9" s="21">
        <v>11.5</v>
      </c>
      <c r="O9" s="21">
        <v>13</v>
      </c>
      <c r="P9" s="21">
        <v>16</v>
      </c>
      <c r="Q9" s="21">
        <v>14</v>
      </c>
      <c r="R9" s="21">
        <v>17</v>
      </c>
      <c r="S9" s="51">
        <v>13.65</v>
      </c>
    </row>
    <row r="10" spans="1:19" ht="15.75" x14ac:dyDescent="0.25">
      <c r="A10" s="36" t="e">
        <f>CONCATENATE(RANK(S8:S14,S$5:$S$11)," ",IF(RANK(S8:S14,S$5:$S$11)=1,"er/ère","ème"))</f>
        <v>#N/A</v>
      </c>
      <c r="B10" s="36" t="s">
        <v>63</v>
      </c>
      <c r="C10" s="43" t="s">
        <v>77</v>
      </c>
      <c r="D10" s="43">
        <v>241524489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51"/>
    </row>
    <row r="11" spans="1:19" ht="15.75" x14ac:dyDescent="0.25">
      <c r="A11" s="36" t="str">
        <f>CONCATENATE(RANK(S9:S15,S$5:$S$11)," ",IF(RANK(S9:S15,S$5:$S$11)=1,"er/ère","ème"))</f>
        <v>2 ème</v>
      </c>
      <c r="B11" s="36" t="s">
        <v>97</v>
      </c>
      <c r="C11" s="43" t="s">
        <v>76</v>
      </c>
      <c r="D11" s="43">
        <v>241986021</v>
      </c>
      <c r="E11" s="21">
        <v>14</v>
      </c>
      <c r="F11" s="21">
        <v>13</v>
      </c>
      <c r="G11" s="21">
        <v>13</v>
      </c>
      <c r="H11" s="21">
        <v>11</v>
      </c>
      <c r="I11" s="21">
        <v>9</v>
      </c>
      <c r="J11" s="21">
        <v>6</v>
      </c>
      <c r="K11" s="21">
        <v>13</v>
      </c>
      <c r="L11" s="21">
        <v>11</v>
      </c>
      <c r="M11" s="21">
        <v>13</v>
      </c>
      <c r="N11" s="21">
        <v>9.5</v>
      </c>
      <c r="O11" s="21">
        <v>10</v>
      </c>
      <c r="P11" s="21">
        <v>15</v>
      </c>
      <c r="Q11" s="21">
        <v>14</v>
      </c>
      <c r="R11" s="21">
        <v>17</v>
      </c>
      <c r="S11" s="51">
        <v>11.966666666666667</v>
      </c>
    </row>
    <row r="12" spans="1:19" ht="15.75" x14ac:dyDescent="0.25">
      <c r="A12" s="30"/>
      <c r="B12" s="48" t="s">
        <v>60</v>
      </c>
      <c r="C12" s="48"/>
      <c r="D12" s="48"/>
      <c r="E12" s="49">
        <f t="shared" ref="E12:S12" si="0">AVERAGE(E5:E10)</f>
        <v>13.5</v>
      </c>
      <c r="F12" s="49">
        <f t="shared" si="0"/>
        <v>10.25</v>
      </c>
      <c r="G12" s="49">
        <f t="shared" si="0"/>
        <v>11.375</v>
      </c>
      <c r="H12" s="49">
        <f t="shared" si="0"/>
        <v>10</v>
      </c>
      <c r="I12" s="49">
        <f t="shared" si="0"/>
        <v>9.375</v>
      </c>
      <c r="J12" s="49">
        <f t="shared" si="0"/>
        <v>9</v>
      </c>
      <c r="K12" s="49">
        <f t="shared" si="0"/>
        <v>9.5</v>
      </c>
      <c r="L12" s="49">
        <f t="shared" si="0"/>
        <v>10.375</v>
      </c>
      <c r="M12" s="49">
        <f t="shared" si="0"/>
        <v>10.75</v>
      </c>
      <c r="N12" s="49">
        <f t="shared" si="0"/>
        <v>9.875</v>
      </c>
      <c r="O12" s="49">
        <f t="shared" si="0"/>
        <v>9.75</v>
      </c>
      <c r="P12" s="49">
        <f t="shared" si="0"/>
        <v>15.75</v>
      </c>
      <c r="Q12" s="49">
        <f t="shared" si="0"/>
        <v>14</v>
      </c>
      <c r="R12" s="49">
        <f t="shared" si="0"/>
        <v>17</v>
      </c>
      <c r="S12" s="52">
        <f t="shared" si="0"/>
        <v>11.299999999999999</v>
      </c>
    </row>
    <row r="13" spans="1:19" s="30" customForma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6" spans="1:19" ht="15.75" x14ac:dyDescent="0.25">
      <c r="A16" s="61" t="s">
        <v>44</v>
      </c>
      <c r="B16" s="61" t="s">
        <v>45</v>
      </c>
      <c r="C16" s="61" t="s">
        <v>71</v>
      </c>
      <c r="D16" s="61" t="s">
        <v>72</v>
      </c>
      <c r="E16" s="61" t="s">
        <v>46</v>
      </c>
      <c r="F16" s="61" t="s">
        <v>47</v>
      </c>
      <c r="G16" s="61" t="s">
        <v>48</v>
      </c>
      <c r="H16" s="61" t="s">
        <v>49</v>
      </c>
      <c r="I16" s="61" t="s">
        <v>10</v>
      </c>
      <c r="J16" s="61" t="s">
        <v>50</v>
      </c>
      <c r="K16" s="61" t="s">
        <v>51</v>
      </c>
      <c r="L16" s="61" t="s">
        <v>52</v>
      </c>
      <c r="M16" s="61" t="s">
        <v>53</v>
      </c>
      <c r="N16" s="61" t="s">
        <v>54</v>
      </c>
      <c r="O16" s="61" t="s">
        <v>55</v>
      </c>
      <c r="P16" s="61" t="s">
        <v>14</v>
      </c>
      <c r="Q16" s="61" t="s">
        <v>15</v>
      </c>
      <c r="R16" s="61" t="s">
        <v>56</v>
      </c>
      <c r="S16" s="62" t="s">
        <v>61</v>
      </c>
    </row>
    <row r="17" spans="1:19" ht="15.75" x14ac:dyDescent="0.25">
      <c r="A17" s="36" t="e">
        <f>CONCATENATE(RANK(S17,S$17:$S$23)," ",IF(RANK(S11:S17,S$17:$S$23)=1,"er/ère","ème"))</f>
        <v>#N/A</v>
      </c>
      <c r="B17" s="36" t="str">
        <f t="shared" ref="B17:B22" si="1">B5</f>
        <v>ANDONG Suzanne Melinda</v>
      </c>
      <c r="C17" s="43" t="s">
        <v>76</v>
      </c>
      <c r="D17" s="43">
        <v>241523698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65"/>
    </row>
    <row r="18" spans="1:19" ht="15.75" x14ac:dyDescent="0.25">
      <c r="A18" s="36" t="e">
        <f>CONCATENATE(RANK(S18,S$17:$S$23)," ",IF(RANK(S12:S18,S$17:$S$23)=1,"er/ère","ème"))</f>
        <v>#N/A</v>
      </c>
      <c r="B18" s="36" t="str">
        <f t="shared" si="1"/>
        <v>MPONO Grâce Mireille</v>
      </c>
      <c r="C18" s="43" t="s">
        <v>76</v>
      </c>
      <c r="D18" s="43">
        <v>241524091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65"/>
    </row>
    <row r="19" spans="1:19" ht="15.75" x14ac:dyDescent="0.25">
      <c r="A19" s="36" t="e">
        <f>CONCATENATE(RANK(S19,S$17:$S$23)," ",IF(RANK(S13:S19,S$17:$S$23)=1,"er/ère","ème"))</f>
        <v>#N/A</v>
      </c>
      <c r="B19" s="36" t="str">
        <f t="shared" si="1"/>
        <v>NCHOUTYAME DIADOUKOUO Valerie Chaquira</v>
      </c>
      <c r="C19" s="43" t="s">
        <v>76</v>
      </c>
      <c r="D19" s="43">
        <v>241427517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65"/>
    </row>
    <row r="20" spans="1:19" ht="15.75" x14ac:dyDescent="0.25">
      <c r="A20" s="36" t="e">
        <f>CONCATENATE(RANK(S20,S$17:$S$23)," ",IF(RANK(S14:S20,S$17:$S$23)=1,"er/ère","ème"))</f>
        <v>#N/A</v>
      </c>
      <c r="B20" s="36" t="str">
        <f t="shared" si="1"/>
        <v>NGO POM Marie Juzelle</v>
      </c>
      <c r="C20" s="43" t="s">
        <v>76</v>
      </c>
      <c r="D20" s="43">
        <v>241523728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65"/>
    </row>
    <row r="21" spans="1:19" ht="15.75" x14ac:dyDescent="0.25">
      <c r="A21" s="36" t="e">
        <f>CONCATENATE(RANK(S21,S$17:$S$23)," ",IF(RANK(S15:S21,S$17:$S$23)=1,"er/ère","ème"))</f>
        <v>#N/A</v>
      </c>
      <c r="B21" s="36" t="str">
        <f t="shared" si="1"/>
        <v>OBAMA EKOUE Marlyse Giovanny</v>
      </c>
      <c r="C21" s="43" t="s">
        <v>76</v>
      </c>
      <c r="D21" s="43">
        <v>241524518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65"/>
    </row>
    <row r="22" spans="1:19" ht="15.75" x14ac:dyDescent="0.25">
      <c r="A22" s="36" t="e">
        <f>CONCATENATE(RANK(S22,S$17:$S$23)," ",IF(RANK(S16:S22,S$17:$S$23)=1,"er/ère","ème"))</f>
        <v>#N/A</v>
      </c>
      <c r="B22" s="36" t="str">
        <f t="shared" si="1"/>
        <v>PEKEKO Elvan Fabrel</v>
      </c>
      <c r="C22" s="43" t="s">
        <v>77</v>
      </c>
      <c r="D22" s="43">
        <v>241524489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R22" s="21"/>
      <c r="S22" s="65"/>
    </row>
    <row r="23" spans="1:19" ht="15.75" x14ac:dyDescent="0.25">
      <c r="A23" s="36" t="e">
        <f>CONCATENATE(RANK(S23,S$17:$S$23)," ",IF(RANK(S17:S23,S$17:$S$23)=1,"er/ère","ème"))</f>
        <v>#N/A</v>
      </c>
      <c r="B23" s="36" t="s">
        <v>97</v>
      </c>
      <c r="C23" s="43" t="s">
        <v>76</v>
      </c>
      <c r="D23" s="43">
        <v>241986021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65"/>
    </row>
    <row r="24" spans="1:19" ht="15.75" x14ac:dyDescent="0.25">
      <c r="A24" s="25"/>
      <c r="B24" s="57" t="s">
        <v>60</v>
      </c>
      <c r="C24" s="57"/>
      <c r="D24" s="57"/>
      <c r="E24" s="63" t="e">
        <f t="shared" ref="E24:S24" si="2">AVERAGE(E17:E22)</f>
        <v>#DIV/0!</v>
      </c>
      <c r="F24" s="63" t="e">
        <f t="shared" si="2"/>
        <v>#DIV/0!</v>
      </c>
      <c r="G24" s="63" t="e">
        <f t="shared" si="2"/>
        <v>#DIV/0!</v>
      </c>
      <c r="H24" s="63" t="e">
        <f t="shared" si="2"/>
        <v>#DIV/0!</v>
      </c>
      <c r="I24" s="63" t="e">
        <f t="shared" si="2"/>
        <v>#DIV/0!</v>
      </c>
      <c r="J24" s="63" t="e">
        <f t="shared" si="2"/>
        <v>#DIV/0!</v>
      </c>
      <c r="K24" s="63" t="e">
        <f t="shared" si="2"/>
        <v>#DIV/0!</v>
      </c>
      <c r="L24" s="63" t="e">
        <f t="shared" si="2"/>
        <v>#DIV/0!</v>
      </c>
      <c r="M24" s="63" t="e">
        <f t="shared" si="2"/>
        <v>#DIV/0!</v>
      </c>
      <c r="N24" s="63" t="e">
        <f t="shared" si="2"/>
        <v>#DIV/0!</v>
      </c>
      <c r="O24" s="63" t="e">
        <f t="shared" si="2"/>
        <v>#DIV/0!</v>
      </c>
      <c r="P24" s="63" t="e">
        <f t="shared" si="2"/>
        <v>#DIV/0!</v>
      </c>
      <c r="Q24" s="63" t="e">
        <f t="shared" si="2"/>
        <v>#DIV/0!</v>
      </c>
      <c r="R24" s="63" t="e">
        <f t="shared" si="2"/>
        <v>#DIV/0!</v>
      </c>
      <c r="S24" s="64" t="e">
        <f t="shared" si="2"/>
        <v>#DIV/0!</v>
      </c>
    </row>
    <row r="28" spans="1:19" ht="15.75" x14ac:dyDescent="0.25">
      <c r="A28" s="53" t="s">
        <v>44</v>
      </c>
      <c r="B28" s="53" t="s">
        <v>45</v>
      </c>
      <c r="C28" s="54" t="s">
        <v>71</v>
      </c>
      <c r="D28" s="54" t="s">
        <v>72</v>
      </c>
      <c r="E28" s="53" t="s">
        <v>46</v>
      </c>
      <c r="F28" s="53" t="s">
        <v>47</v>
      </c>
      <c r="G28" s="53" t="s">
        <v>48</v>
      </c>
      <c r="H28" s="53" t="s">
        <v>49</v>
      </c>
      <c r="I28" s="53" t="s">
        <v>10</v>
      </c>
      <c r="J28" s="53" t="s">
        <v>50</v>
      </c>
      <c r="K28" s="53" t="s">
        <v>51</v>
      </c>
      <c r="L28" s="53" t="s">
        <v>52</v>
      </c>
      <c r="M28" s="53" t="s">
        <v>53</v>
      </c>
      <c r="N28" s="53" t="s">
        <v>54</v>
      </c>
      <c r="O28" s="53" t="s">
        <v>55</v>
      </c>
      <c r="P28" s="53" t="s">
        <v>14</v>
      </c>
      <c r="Q28" s="53" t="s">
        <v>15</v>
      </c>
      <c r="R28" s="53" t="s">
        <v>56</v>
      </c>
      <c r="S28" s="55" t="s">
        <v>61</v>
      </c>
    </row>
    <row r="29" spans="1:19" ht="15.75" x14ac:dyDescent="0.25">
      <c r="A29" s="36" t="e">
        <f>CONCATENATE(RANK(S29,S$29:$S$35)," ",IF(RANK(S23:S29,S$29:$S$35)=1,"er/ère","ème"))</f>
        <v>#N/A</v>
      </c>
      <c r="B29" s="36" t="str">
        <f t="shared" ref="B29:B34" si="3">B17</f>
        <v>ANDONG Suzanne Melinda</v>
      </c>
      <c r="C29" s="43" t="s">
        <v>76</v>
      </c>
      <c r="D29" s="43">
        <v>241523698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56"/>
    </row>
    <row r="30" spans="1:19" s="30" customFormat="1" ht="15.75" x14ac:dyDescent="0.25">
      <c r="A30" s="36" t="e">
        <f>CONCATENATE(RANK(S30,S$29:$S$35)," ",IF(RANK(S24:S30,S$29:$S$35)=1,"er/ère","ème"))</f>
        <v>#N/A</v>
      </c>
      <c r="B30" s="36" t="str">
        <f t="shared" si="3"/>
        <v>MPONO Grâce Mireille</v>
      </c>
      <c r="C30" s="43" t="s">
        <v>76</v>
      </c>
      <c r="D30" s="43">
        <v>241524091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56"/>
    </row>
    <row r="31" spans="1:19" ht="15.75" x14ac:dyDescent="0.25">
      <c r="A31" s="36" t="e">
        <f>CONCATENATE(RANK(S31,S$29:$S$35)," ",IF(RANK(S25:S31,S$29:$S$35)=1,"er/ère","ème"))</f>
        <v>#N/A</v>
      </c>
      <c r="B31" s="36" t="str">
        <f t="shared" si="3"/>
        <v>NCHOUTYAME DIADOUKOUO Valerie Chaquira</v>
      </c>
      <c r="C31" s="43" t="s">
        <v>76</v>
      </c>
      <c r="D31" s="43">
        <v>241427517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56"/>
    </row>
    <row r="32" spans="1:19" ht="15.75" x14ac:dyDescent="0.25">
      <c r="A32" s="36" t="e">
        <f>CONCATENATE(RANK(S32,S$29:$S$35)," ",IF(RANK(S26:S32,S$29:$S$35)=1,"er/ère","ème"))</f>
        <v>#N/A</v>
      </c>
      <c r="B32" s="36" t="str">
        <f t="shared" si="3"/>
        <v>NGO POM Marie Juzelle</v>
      </c>
      <c r="C32" s="43" t="s">
        <v>76</v>
      </c>
      <c r="D32" s="43">
        <v>241523728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56"/>
    </row>
    <row r="33" spans="1:23" ht="15.75" x14ac:dyDescent="0.25">
      <c r="A33" s="36" t="e">
        <f>CONCATENATE(RANK(S33,S$29:$S$35)," ",IF(RANK(S27:S33,S$29:$S$35)=1,"er/ère","ème"))</f>
        <v>#N/A</v>
      </c>
      <c r="B33" s="36" t="str">
        <f t="shared" si="3"/>
        <v>OBAMA EKOUE Marlyse Giovanny</v>
      </c>
      <c r="C33" s="43" t="s">
        <v>76</v>
      </c>
      <c r="D33" s="43">
        <v>241524518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56"/>
    </row>
    <row r="34" spans="1:23" ht="15.75" x14ac:dyDescent="0.25">
      <c r="A34" s="36" t="e">
        <f>CONCATENATE(RANK(S34,S$29:$S$35)," ",IF(RANK(S28:S34,S$29:$S$35)=1,"er/ère","ème"))</f>
        <v>#N/A</v>
      </c>
      <c r="B34" s="36" t="str">
        <f t="shared" si="3"/>
        <v>PEKEKO Elvan Fabrel</v>
      </c>
      <c r="C34" s="43" t="s">
        <v>77</v>
      </c>
      <c r="D34" s="43">
        <v>241524489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56"/>
    </row>
    <row r="35" spans="1:23" ht="15.75" x14ac:dyDescent="0.25">
      <c r="A35" s="36" t="e">
        <f>CONCATENATE(RANK(S35,S$29:$S$35)," ",IF(RANK(S29:S35,S$29:$S$35)=1,"er/ère","ème"))</f>
        <v>#N/A</v>
      </c>
      <c r="B35" s="36" t="s">
        <v>97</v>
      </c>
      <c r="C35" s="43" t="s">
        <v>76</v>
      </c>
      <c r="D35" s="43">
        <v>241986021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56"/>
    </row>
    <row r="36" spans="1:23" ht="15.75" x14ac:dyDescent="0.25">
      <c r="A36" s="25"/>
      <c r="B36" s="58" t="s">
        <v>60</v>
      </c>
      <c r="C36" s="58"/>
      <c r="D36" s="58"/>
      <c r="E36" s="59" t="e">
        <f t="shared" ref="E36:S36" si="4">AVERAGE(E29:E34)</f>
        <v>#DIV/0!</v>
      </c>
      <c r="F36" s="59" t="e">
        <f t="shared" si="4"/>
        <v>#DIV/0!</v>
      </c>
      <c r="G36" s="59" t="e">
        <f t="shared" si="4"/>
        <v>#DIV/0!</v>
      </c>
      <c r="H36" s="59" t="e">
        <f t="shared" si="4"/>
        <v>#DIV/0!</v>
      </c>
      <c r="I36" s="59" t="e">
        <f t="shared" si="4"/>
        <v>#DIV/0!</v>
      </c>
      <c r="J36" s="59" t="e">
        <f t="shared" si="4"/>
        <v>#DIV/0!</v>
      </c>
      <c r="K36" s="59" t="e">
        <f t="shared" si="4"/>
        <v>#DIV/0!</v>
      </c>
      <c r="L36" s="59" t="e">
        <f t="shared" si="4"/>
        <v>#DIV/0!</v>
      </c>
      <c r="M36" s="59" t="e">
        <f t="shared" si="4"/>
        <v>#DIV/0!</v>
      </c>
      <c r="N36" s="59" t="e">
        <f t="shared" si="4"/>
        <v>#DIV/0!</v>
      </c>
      <c r="O36" s="59" t="e">
        <f t="shared" si="4"/>
        <v>#DIV/0!</v>
      </c>
      <c r="P36" s="59" t="e">
        <f t="shared" si="4"/>
        <v>#DIV/0!</v>
      </c>
      <c r="Q36" s="59" t="e">
        <f t="shared" si="4"/>
        <v>#DIV/0!</v>
      </c>
      <c r="R36" s="59" t="e">
        <f t="shared" si="4"/>
        <v>#DIV/0!</v>
      </c>
      <c r="S36" s="60" t="e">
        <f t="shared" si="4"/>
        <v>#DIV/0!</v>
      </c>
    </row>
    <row r="38" spans="1:23" x14ac:dyDescent="0.25">
      <c r="S38"/>
    </row>
    <row r="39" spans="1:23" s="37" customFormat="1" x14ac:dyDescent="0.25">
      <c r="B39" s="108" t="s">
        <v>99</v>
      </c>
      <c r="C39" s="108"/>
      <c r="D39" s="108"/>
      <c r="E39" s="108"/>
      <c r="F39" s="109"/>
      <c r="G39" s="108" t="s">
        <v>100</v>
      </c>
      <c r="H39" s="108"/>
      <c r="I39" s="108"/>
      <c r="J39" s="108"/>
      <c r="K39" s="38"/>
      <c r="L39" s="38"/>
      <c r="M39" s="108" t="s">
        <v>101</v>
      </c>
      <c r="N39" s="108"/>
      <c r="O39" s="108"/>
      <c r="P39" s="108"/>
      <c r="Q39" s="38"/>
      <c r="R39" s="38"/>
      <c r="S39" s="38"/>
      <c r="T39" s="38"/>
      <c r="U39" s="38"/>
      <c r="V39" s="38"/>
      <c r="W39" s="38"/>
    </row>
    <row r="40" spans="1:23" s="37" customFormat="1" x14ac:dyDescent="0.25">
      <c r="A40" s="39" t="s">
        <v>4</v>
      </c>
      <c r="B40" s="39" t="s">
        <v>45</v>
      </c>
      <c r="C40" s="39" t="s">
        <v>73</v>
      </c>
      <c r="D40" s="39" t="s">
        <v>74</v>
      </c>
      <c r="E40" s="39" t="s">
        <v>59</v>
      </c>
      <c r="G40" s="40" t="s">
        <v>4</v>
      </c>
      <c r="H40" s="40" t="s">
        <v>45</v>
      </c>
      <c r="I40" s="40" t="s">
        <v>73</v>
      </c>
      <c r="J40" s="40" t="s">
        <v>74</v>
      </c>
      <c r="K40" s="40" t="s">
        <v>59</v>
      </c>
      <c r="M40" s="42" t="s">
        <v>4</v>
      </c>
      <c r="N40" s="42" t="s">
        <v>45</v>
      </c>
      <c r="O40" s="42" t="s">
        <v>73</v>
      </c>
      <c r="P40" s="42" t="s">
        <v>74</v>
      </c>
      <c r="Q40" s="42" t="s">
        <v>59</v>
      </c>
    </row>
    <row r="41" spans="1:23" s="37" customFormat="1" ht="15.75" x14ac:dyDescent="0.25">
      <c r="A41" s="43" t="s">
        <v>78</v>
      </c>
      <c r="B41" s="44" t="str">
        <f>INDEX(B5:B10,MATCH(A41:A52,A5:A10,0))</f>
        <v>OBAMA EKOUE Marlyse Giovanny</v>
      </c>
      <c r="C41" s="44" t="str">
        <f>INDEX(C4:C9,MATCH(A41:A46,A4:A9,0))</f>
        <v>F</v>
      </c>
      <c r="D41" s="46">
        <f>INDEX(D4:D9,MATCH(B41:B46,B4:B9,0))</f>
        <v>241524518</v>
      </c>
      <c r="E41" s="45">
        <f>INDEX(S5:S11,MATCH(B41:B47,B5:B11,0))</f>
        <v>13.65</v>
      </c>
      <c r="G41" s="43" t="s">
        <v>78</v>
      </c>
      <c r="H41" s="44" t="e">
        <f>INDEX(B17:B22,MATCH(G41:G46,A17:A22,0))</f>
        <v>#N/A</v>
      </c>
      <c r="I41" s="44" t="e">
        <f>INDEX(C17:C22,MATCH(H41:H46,B17:B22,0))</f>
        <v>#N/A</v>
      </c>
      <c r="J41" s="46" t="e">
        <f>INDEX(D17:D22,MATCH(H41:H46,B17:B22,0))</f>
        <v>#N/A</v>
      </c>
      <c r="K41" s="66" t="e">
        <f>INDEX(S17:S22,MATCH(J41:J46,D17:D22,0))</f>
        <v>#N/A</v>
      </c>
      <c r="M41" s="43" t="s">
        <v>78</v>
      </c>
      <c r="N41" s="44" t="e">
        <f>INDEX(B29:B34,MATCH(M41:M46,A29:A34,0))</f>
        <v>#N/A</v>
      </c>
      <c r="O41" s="44" t="e">
        <f>INDEX(C29:C34,MATCH(N41:N46,B29:B34,0))</f>
        <v>#N/A</v>
      </c>
      <c r="P41" s="46" t="e">
        <f>INDEX(D29:D34,MATCH(N41:N46,B29:B34,0))</f>
        <v>#N/A</v>
      </c>
      <c r="Q41" s="66" t="e">
        <f>INDEX(S29:S34,MATCH(N41:N46,B29:B34,0))</f>
        <v>#N/A</v>
      </c>
    </row>
    <row r="42" spans="1:23" s="37" customFormat="1" ht="15.75" x14ac:dyDescent="0.25">
      <c r="A42" s="43" t="s">
        <v>79</v>
      </c>
      <c r="B42" s="44" t="str">
        <f>INDEX(B6:B11,MATCH(A42:A53,A6:A11,0))</f>
        <v>NGOME GOUSSAKI ANGE GABRIELLE</v>
      </c>
      <c r="C42" s="44" t="str">
        <f>INDEX(C5:C11,MATCH(A42:A47,A5:A11,0))</f>
        <v>F</v>
      </c>
      <c r="D42" s="46">
        <f>INDEX(D5:D11,MATCH(B42:B47,B5:B11,0))</f>
        <v>241986021</v>
      </c>
      <c r="E42" s="45">
        <f>INDEX(S6:S12,MATCH(B42:B48,B6:B12,0))</f>
        <v>11.966666666666667</v>
      </c>
      <c r="G42" s="43" t="s">
        <v>79</v>
      </c>
      <c r="H42" s="44" t="e">
        <f t="shared" ref="H42:H47" si="5">INDEX(B18:B23,MATCH(G42:G47,A18:A23,0))</f>
        <v>#N/A</v>
      </c>
      <c r="I42" s="44" t="e">
        <f t="shared" ref="I42:I43" si="6">INDEX(C18:C23,MATCH(H42:H47,B18:B23,0))</f>
        <v>#N/A</v>
      </c>
      <c r="J42" s="46" t="e">
        <f t="shared" ref="J42:J43" si="7">INDEX(D18:D23,MATCH(H42:H47,B18:B23,0))</f>
        <v>#N/A</v>
      </c>
      <c r="K42" s="66" t="e">
        <f t="shared" ref="K42:K43" si="8">INDEX(S18:S23,MATCH(J42:J47,D18:D23,0))</f>
        <v>#N/A</v>
      </c>
      <c r="M42" s="43" t="s">
        <v>79</v>
      </c>
      <c r="N42" s="44" t="e">
        <f t="shared" ref="N42:N43" si="9">INDEX(B30:B35,MATCH(M42:M47,A30:A35,0))</f>
        <v>#N/A</v>
      </c>
      <c r="O42" s="44" t="e">
        <f t="shared" ref="O42:O43" si="10">INDEX(C30:C35,MATCH(N42:N47,B30:B35,0))</f>
        <v>#N/A</v>
      </c>
      <c r="P42" s="46" t="e">
        <f t="shared" ref="P42:P43" si="11">INDEX(D30:D35,MATCH(N42:N47,B30:B35,0))</f>
        <v>#N/A</v>
      </c>
      <c r="Q42" s="66" t="e">
        <f t="shared" ref="Q42:Q43" si="12">INDEX(S30:S35,MATCH(N42:N47,B30:B35,0))</f>
        <v>#N/A</v>
      </c>
    </row>
    <row r="43" spans="1:23" s="37" customFormat="1" ht="15.75" x14ac:dyDescent="0.25">
      <c r="A43" s="43" t="s">
        <v>80</v>
      </c>
      <c r="B43" s="44" t="e">
        <f t="shared" ref="B43:B47" si="13">INDEX(B7:B12,MATCH(A43:A54,A7:A12,0))</f>
        <v>#N/A</v>
      </c>
      <c r="C43" s="44" t="e">
        <f>INDEX(C6:C11,MATCH(A43:A48,A6:A11,0))</f>
        <v>#N/A</v>
      </c>
      <c r="D43" s="46" t="e">
        <f>INDEX(D6:D11,MATCH(B43:B48,B6:B11,0))</f>
        <v>#N/A</v>
      </c>
      <c r="E43" s="45" t="e">
        <f t="shared" ref="E43:E47" si="14">INDEX(S7:S13,MATCH(B43:B49,B7:B13,0))</f>
        <v>#N/A</v>
      </c>
      <c r="G43" s="43" t="s">
        <v>98</v>
      </c>
      <c r="H43" s="43" t="s">
        <v>69</v>
      </c>
      <c r="I43" s="44" t="str">
        <f t="shared" si="6"/>
        <v>F</v>
      </c>
      <c r="J43" s="46">
        <f t="shared" si="7"/>
        <v>241427517</v>
      </c>
      <c r="K43" s="66">
        <f t="shared" si="8"/>
        <v>0</v>
      </c>
      <c r="M43" s="43" t="s">
        <v>80</v>
      </c>
      <c r="N43" s="44" t="e">
        <f t="shared" si="9"/>
        <v>#N/A</v>
      </c>
      <c r="O43" s="44" t="e">
        <f t="shared" si="10"/>
        <v>#N/A</v>
      </c>
      <c r="P43" s="46" t="e">
        <f t="shared" si="11"/>
        <v>#N/A</v>
      </c>
      <c r="Q43" s="66" t="e">
        <f t="shared" si="12"/>
        <v>#N/A</v>
      </c>
    </row>
    <row r="44" spans="1:23" s="37" customFormat="1" ht="15.75" x14ac:dyDescent="0.25">
      <c r="A44" s="43" t="s">
        <v>81</v>
      </c>
      <c r="B44" s="44" t="e">
        <f t="shared" si="13"/>
        <v>#N/A</v>
      </c>
      <c r="C44" s="44" t="str">
        <f t="shared" ref="C44:C47" si="15">INDEX(C7:C12,MATCH(A44:A49,A7:A12,0))</f>
        <v>F</v>
      </c>
      <c r="D44" s="46" t="e">
        <f t="shared" ref="D44:D47" si="16">INDEX(D7:D12,MATCH(B44:B49,B7:B12,0))</f>
        <v>#N/A</v>
      </c>
      <c r="E44" s="45" t="e">
        <f t="shared" si="14"/>
        <v>#N/A</v>
      </c>
      <c r="G44" s="43" t="s">
        <v>81</v>
      </c>
      <c r="H44" s="44" t="e">
        <f>INDEX(B17:B23,MATCH(G44:G49,A17:A23,0))</f>
        <v>#N/A</v>
      </c>
      <c r="I44" s="44" t="e">
        <f>INDEX(C17:C23,MATCH(H44:H49,B17:B23,0))</f>
        <v>#N/A</v>
      </c>
      <c r="J44" s="46" t="e">
        <f>INDEX(D17:D23,MATCH(H44:H49,B17:B23,0))</f>
        <v>#N/A</v>
      </c>
      <c r="K44" s="66" t="e">
        <f>INDEX(S17:S23,MATCH(J44:J49,D17:D23,0))</f>
        <v>#N/A</v>
      </c>
      <c r="M44" s="43" t="s">
        <v>81</v>
      </c>
      <c r="N44" s="44" t="e">
        <f>INDEX(B29:B35,MATCH(M44:M49,A29:A35,0))</f>
        <v>#N/A</v>
      </c>
      <c r="O44" s="44" t="e">
        <f>INDEX(C29:C35,MATCH(N44:N49,B29:B35,0))</f>
        <v>#N/A</v>
      </c>
      <c r="P44" s="46" t="e">
        <f>INDEX(D29:D35,MATCH(N44:N49,B29:B35,0))</f>
        <v>#N/A</v>
      </c>
      <c r="Q44" s="66" t="e">
        <f>INDEX(S29:S35,MATCH(N44:N49,B29:B35,0))</f>
        <v>#N/A</v>
      </c>
    </row>
    <row r="45" spans="1:23" s="37" customFormat="1" ht="15.75" x14ac:dyDescent="0.25">
      <c r="A45" s="43" t="s">
        <v>82</v>
      </c>
      <c r="B45" s="44" t="e">
        <f t="shared" si="13"/>
        <v>#N/A</v>
      </c>
      <c r="C45" s="44" t="str">
        <f t="shared" si="15"/>
        <v>F</v>
      </c>
      <c r="D45" s="46" t="e">
        <f t="shared" si="16"/>
        <v>#N/A</v>
      </c>
      <c r="E45" s="45" t="e">
        <f t="shared" si="14"/>
        <v>#N/A</v>
      </c>
      <c r="G45" s="43" t="s">
        <v>82</v>
      </c>
      <c r="H45" s="44" t="e">
        <f>INDEX(B17:B23,MATCH(G45:G50,A17:A23,0))</f>
        <v>#N/A</v>
      </c>
      <c r="I45" s="44" t="e">
        <f>INDEX(C17:C23,MATCH(H45:H50,B17:B23,0))</f>
        <v>#N/A</v>
      </c>
      <c r="J45" s="46" t="e">
        <f>INDEX(D17:D23,MATCH(H45:H50,B17:B23,0))</f>
        <v>#N/A</v>
      </c>
      <c r="K45" s="66" t="e">
        <f>INDEX(S17:S23,MATCH(J45:J50,D17:D23,0))</f>
        <v>#N/A</v>
      </c>
      <c r="M45" s="43" t="s">
        <v>82</v>
      </c>
      <c r="N45" s="44" t="e">
        <f>INDEX(B29:B35,MATCH(M45:M50,A29:A35,0))</f>
        <v>#N/A</v>
      </c>
      <c r="O45" s="44" t="e">
        <f>INDEX(C29:C35,MATCH(N45:N50,B29:B35,0))</f>
        <v>#N/A</v>
      </c>
      <c r="P45" s="46" t="e">
        <f>INDEX(D29:D35,MATCH(N45:N50,B29:B35,0))</f>
        <v>#N/A</v>
      </c>
      <c r="Q45" s="66" t="e">
        <f>INDEX(S29:S35,MATCH(N45:N50,B29:B35,0))</f>
        <v>#N/A</v>
      </c>
    </row>
    <row r="46" spans="1:23" s="37" customFormat="1" ht="15.75" x14ac:dyDescent="0.25">
      <c r="A46" s="43" t="s">
        <v>83</v>
      </c>
      <c r="B46" s="44" t="e">
        <f t="shared" si="13"/>
        <v>#N/A</v>
      </c>
      <c r="C46" s="44" t="e">
        <f t="shared" si="15"/>
        <v>#N/A</v>
      </c>
      <c r="D46" s="46" t="e">
        <f t="shared" si="16"/>
        <v>#N/A</v>
      </c>
      <c r="E46" s="45" t="e">
        <f t="shared" si="14"/>
        <v>#N/A</v>
      </c>
      <c r="G46" s="43" t="s">
        <v>83</v>
      </c>
      <c r="H46" s="44" t="e">
        <f t="shared" si="5"/>
        <v>#N/A</v>
      </c>
      <c r="I46" s="44" t="e">
        <f>INDEX(C22:C27,MATCH(H46:H50,B22:B27,0))</f>
        <v>#N/A</v>
      </c>
      <c r="J46" s="46" t="e">
        <f>INDEX(D22:D27,MATCH(H46:H50,B22:B27,0))</f>
        <v>#N/A</v>
      </c>
      <c r="K46" s="66" t="e">
        <f>INDEX(S22:S27,MATCH(J46:J50,D22:D27,0))</f>
        <v>#N/A</v>
      </c>
      <c r="M46" s="43" t="s">
        <v>83</v>
      </c>
      <c r="N46" s="44" t="e">
        <f>INDEX(B34:B39,MATCH(M46:M50,A34:A39,0))</f>
        <v>#N/A</v>
      </c>
      <c r="O46" s="44" t="e">
        <f>INDEX(C34:C39,MATCH(N46:N50,B34:B39,0))</f>
        <v>#N/A</v>
      </c>
      <c r="P46" s="46" t="e">
        <f>INDEX(D34:D39,MATCH(N46:N50,B34:B39,0))</f>
        <v>#N/A</v>
      </c>
      <c r="Q46" s="66" t="e">
        <f>INDEX(S34:S39,MATCH(N46:N50,B34:B39,0))</f>
        <v>#N/A</v>
      </c>
    </row>
    <row r="47" spans="1:23" s="37" customFormat="1" ht="15.75" x14ac:dyDescent="0.25">
      <c r="A47" s="67" t="s">
        <v>96</v>
      </c>
      <c r="B47" s="44" t="e">
        <f t="shared" si="13"/>
        <v>#N/A</v>
      </c>
      <c r="C47" s="44" t="e">
        <f t="shared" si="15"/>
        <v>#N/A</v>
      </c>
      <c r="D47" s="46" t="e">
        <f t="shared" si="16"/>
        <v>#N/A</v>
      </c>
      <c r="E47" s="45" t="e">
        <f t="shared" si="14"/>
        <v>#N/A</v>
      </c>
      <c r="G47" s="67" t="s">
        <v>96</v>
      </c>
      <c r="H47" s="44" t="e">
        <f t="shared" si="5"/>
        <v>#N/A</v>
      </c>
      <c r="I47" s="44" t="e">
        <f>INDEX(C23:C28,MATCH(H47:H50,B23:B28,0))</f>
        <v>#N/A</v>
      </c>
      <c r="J47" s="46" t="e">
        <f>INDEX(D23:D28,MATCH(H47:H50,B23:B28,0))</f>
        <v>#N/A</v>
      </c>
      <c r="K47" s="66" t="e">
        <f>INDEX(S23:S28,MATCH(J47:J50,D23:D28,0))</f>
        <v>#N/A</v>
      </c>
      <c r="M47" s="67" t="s">
        <v>96</v>
      </c>
      <c r="N47" s="44" t="e">
        <f>INDEX(B35:B40,MATCH(M47:M50,A35:A40,0))</f>
        <v>#N/A</v>
      </c>
      <c r="O47" s="44" t="e">
        <f>INDEX(C35:C40,MATCH(N47:N50,B35:B40,0))</f>
        <v>#N/A</v>
      </c>
      <c r="P47" s="46" t="e">
        <f>INDEX(D35:D40,MATCH(N47:N50,B35:B40,0))</f>
        <v>#N/A</v>
      </c>
      <c r="Q47" s="66" t="e">
        <f>INDEX(S35:S40,MATCH(N47:N50,B35:B40,0))</f>
        <v>#N/A</v>
      </c>
    </row>
    <row r="48" spans="1:23" s="37" customFormat="1" ht="15.75" x14ac:dyDescent="0.25">
      <c r="A48" s="110" t="s">
        <v>75</v>
      </c>
      <c r="B48" s="111"/>
      <c r="C48" s="111"/>
      <c r="D48" s="112"/>
      <c r="E48" s="68">
        <f>S12</f>
        <v>11.299999999999999</v>
      </c>
      <c r="F48" s="41"/>
      <c r="G48" s="113" t="s">
        <v>75</v>
      </c>
      <c r="H48" s="114"/>
      <c r="I48" s="114"/>
      <c r="J48" s="114"/>
      <c r="K48" s="70" t="e">
        <f>S24</f>
        <v>#DIV/0!</v>
      </c>
      <c r="M48" s="115" t="s">
        <v>75</v>
      </c>
      <c r="N48" s="116"/>
      <c r="O48" s="116"/>
      <c r="P48" s="117"/>
      <c r="Q48" s="69" t="e">
        <f>S36</f>
        <v>#DIV/0!</v>
      </c>
    </row>
    <row r="49" spans="1:19" x14ac:dyDescent="0.25">
      <c r="E49" s="30"/>
      <c r="S49"/>
    </row>
    <row r="50" spans="1:19" x14ac:dyDescent="0.25">
      <c r="K50" s="30"/>
      <c r="S50"/>
    </row>
    <row r="51" spans="1:19" x14ac:dyDescent="0.25">
      <c r="S51"/>
    </row>
    <row r="52" spans="1:19" x14ac:dyDescent="0.25">
      <c r="S52"/>
    </row>
    <row r="53" spans="1:19" x14ac:dyDescent="0.25">
      <c r="S53"/>
    </row>
    <row r="54" spans="1:19" x14ac:dyDescent="0.25">
      <c r="S54"/>
    </row>
    <row r="55" spans="1:19" s="30" customFormat="1" x14ac:dyDescent="0.25">
      <c r="A55"/>
      <c r="B55"/>
      <c r="C55"/>
      <c r="D55"/>
      <c r="E55"/>
      <c r="F55"/>
      <c r="G55"/>
    </row>
    <row r="56" spans="1:19" x14ac:dyDescent="0.25">
      <c r="S56"/>
    </row>
    <row r="57" spans="1:19" x14ac:dyDescent="0.25">
      <c r="S57"/>
    </row>
    <row r="58" spans="1:19" x14ac:dyDescent="0.25">
      <c r="S58"/>
    </row>
    <row r="59" spans="1:19" x14ac:dyDescent="0.25">
      <c r="S59"/>
    </row>
    <row r="60" spans="1:19" x14ac:dyDescent="0.25">
      <c r="S60"/>
    </row>
    <row r="61" spans="1:19" x14ac:dyDescent="0.25">
      <c r="S61"/>
    </row>
    <row r="62" spans="1:19" x14ac:dyDescent="0.25">
      <c r="S62"/>
    </row>
    <row r="63" spans="1:19" x14ac:dyDescent="0.25">
      <c r="S63"/>
    </row>
    <row r="64" spans="1:19" ht="15.75" x14ac:dyDescent="0.25">
      <c r="G64" s="47" t="s">
        <v>45</v>
      </c>
      <c r="H64" s="36" t="s">
        <v>68</v>
      </c>
      <c r="I64" s="36" t="s">
        <v>62</v>
      </c>
      <c r="J64" s="36" t="s">
        <v>69</v>
      </c>
      <c r="K64" s="36" t="s">
        <v>70</v>
      </c>
      <c r="L64" s="36" t="s">
        <v>64</v>
      </c>
      <c r="M64" s="36" t="s">
        <v>63</v>
      </c>
      <c r="N64" s="36" t="s">
        <v>97</v>
      </c>
      <c r="O64" s="48" t="s">
        <v>60</v>
      </c>
      <c r="S64"/>
    </row>
    <row r="65" spans="7:19" ht="15.75" x14ac:dyDescent="0.25">
      <c r="G65" s="47" t="s">
        <v>71</v>
      </c>
      <c r="H65" s="43" t="s">
        <v>76</v>
      </c>
      <c r="I65" s="43" t="s">
        <v>76</v>
      </c>
      <c r="J65" s="43" t="s">
        <v>76</v>
      </c>
      <c r="K65" s="43" t="s">
        <v>76</v>
      </c>
      <c r="L65" s="43" t="s">
        <v>76</v>
      </c>
      <c r="M65" s="43" t="s">
        <v>77</v>
      </c>
      <c r="N65" s="43" t="s">
        <v>76</v>
      </c>
      <c r="O65" s="48"/>
      <c r="S65"/>
    </row>
    <row r="66" spans="7:19" ht="15.75" x14ac:dyDescent="0.25">
      <c r="G66" s="47" t="s">
        <v>72</v>
      </c>
      <c r="H66" s="43">
        <v>241523698</v>
      </c>
      <c r="I66" s="43">
        <v>241524091</v>
      </c>
      <c r="J66" s="43">
        <v>241427517</v>
      </c>
      <c r="K66" s="43">
        <v>241523728</v>
      </c>
      <c r="L66" s="43">
        <v>241524518</v>
      </c>
      <c r="M66" s="43">
        <v>241524489</v>
      </c>
      <c r="N66" s="43">
        <v>241986021</v>
      </c>
      <c r="O66" s="48"/>
      <c r="S66"/>
    </row>
    <row r="67" spans="7:19" x14ac:dyDescent="0.25">
      <c r="G67" s="47" t="s">
        <v>46</v>
      </c>
      <c r="H67" s="21">
        <v>15</v>
      </c>
      <c r="I67" s="21"/>
      <c r="J67" s="21">
        <v>14</v>
      </c>
      <c r="K67" s="21">
        <v>8</v>
      </c>
      <c r="L67" s="21">
        <v>17</v>
      </c>
      <c r="M67" s="21"/>
      <c r="N67" s="21">
        <v>14</v>
      </c>
      <c r="O67" s="49">
        <f t="shared" ref="O67:O81" si="17">AVERAGE(H67:M67)</f>
        <v>13.5</v>
      </c>
      <c r="S67"/>
    </row>
    <row r="68" spans="7:19" x14ac:dyDescent="0.25">
      <c r="G68" s="47" t="s">
        <v>47</v>
      </c>
      <c r="H68" s="21">
        <v>10</v>
      </c>
      <c r="I68" s="21"/>
      <c r="J68" s="21">
        <v>9</v>
      </c>
      <c r="K68" s="21">
        <v>8</v>
      </c>
      <c r="L68" s="21">
        <v>14</v>
      </c>
      <c r="M68" s="21"/>
      <c r="N68" s="21">
        <v>13</v>
      </c>
      <c r="O68" s="49">
        <f t="shared" si="17"/>
        <v>10.25</v>
      </c>
      <c r="S68"/>
    </row>
    <row r="69" spans="7:19" x14ac:dyDescent="0.25">
      <c r="G69" s="47" t="s">
        <v>48</v>
      </c>
      <c r="H69" s="21">
        <v>11</v>
      </c>
      <c r="I69" s="21"/>
      <c r="J69" s="21">
        <v>11</v>
      </c>
      <c r="K69" s="21">
        <v>8.5</v>
      </c>
      <c r="L69" s="21">
        <v>15</v>
      </c>
      <c r="M69" s="21"/>
      <c r="N69" s="21">
        <v>13</v>
      </c>
      <c r="O69" s="49">
        <f t="shared" si="17"/>
        <v>11.375</v>
      </c>
      <c r="S69"/>
    </row>
    <row r="70" spans="7:19" x14ac:dyDescent="0.25">
      <c r="G70" s="47" t="s">
        <v>49</v>
      </c>
      <c r="H70" s="21">
        <v>11</v>
      </c>
      <c r="I70" s="21"/>
      <c r="J70" s="21">
        <v>10</v>
      </c>
      <c r="K70" s="21">
        <v>7</v>
      </c>
      <c r="L70" s="21">
        <v>12</v>
      </c>
      <c r="M70" s="21"/>
      <c r="N70" s="21">
        <v>11</v>
      </c>
      <c r="O70" s="49">
        <f t="shared" si="17"/>
        <v>10</v>
      </c>
      <c r="S70"/>
    </row>
    <row r="71" spans="7:19" x14ac:dyDescent="0.25">
      <c r="G71" s="47" t="s">
        <v>10</v>
      </c>
      <c r="H71" s="21">
        <v>9</v>
      </c>
      <c r="I71" s="21"/>
      <c r="J71" s="21">
        <v>10.5</v>
      </c>
      <c r="K71" s="21">
        <v>7</v>
      </c>
      <c r="L71" s="21">
        <v>11</v>
      </c>
      <c r="M71" s="21"/>
      <c r="N71" s="21">
        <v>9</v>
      </c>
      <c r="O71" s="49">
        <f t="shared" si="17"/>
        <v>9.375</v>
      </c>
      <c r="S71"/>
    </row>
    <row r="72" spans="7:19" x14ac:dyDescent="0.25">
      <c r="G72" s="47" t="s">
        <v>50</v>
      </c>
      <c r="H72" s="21">
        <v>7</v>
      </c>
      <c r="I72" s="21"/>
      <c r="J72" s="21">
        <v>8.5</v>
      </c>
      <c r="K72" s="21">
        <v>7</v>
      </c>
      <c r="L72" s="21">
        <v>13.5</v>
      </c>
      <c r="M72" s="21"/>
      <c r="N72" s="21">
        <v>6</v>
      </c>
      <c r="O72" s="49">
        <f t="shared" si="17"/>
        <v>9</v>
      </c>
      <c r="S72"/>
    </row>
    <row r="73" spans="7:19" x14ac:dyDescent="0.25">
      <c r="G73" s="47" t="s">
        <v>51</v>
      </c>
      <c r="H73" s="21">
        <v>9</v>
      </c>
      <c r="I73" s="21"/>
      <c r="J73" s="21">
        <v>9</v>
      </c>
      <c r="K73" s="21">
        <v>8</v>
      </c>
      <c r="L73" s="21">
        <v>12</v>
      </c>
      <c r="M73" s="21"/>
      <c r="N73" s="21">
        <v>13</v>
      </c>
      <c r="O73" s="49">
        <f t="shared" si="17"/>
        <v>9.5</v>
      </c>
      <c r="S73"/>
    </row>
    <row r="74" spans="7:19" x14ac:dyDescent="0.25">
      <c r="G74" s="47" t="s">
        <v>52</v>
      </c>
      <c r="H74" s="21">
        <v>12</v>
      </c>
      <c r="I74" s="21"/>
      <c r="J74" s="21">
        <v>10.5</v>
      </c>
      <c r="K74" s="21">
        <v>7.5</v>
      </c>
      <c r="L74" s="21">
        <v>11.5</v>
      </c>
      <c r="M74" s="21"/>
      <c r="N74" s="21">
        <v>11</v>
      </c>
      <c r="O74" s="49">
        <f t="shared" si="17"/>
        <v>10.375</v>
      </c>
      <c r="S74"/>
    </row>
    <row r="75" spans="7:19" x14ac:dyDescent="0.25">
      <c r="G75" s="47" t="s">
        <v>53</v>
      </c>
      <c r="H75" s="21">
        <v>13</v>
      </c>
      <c r="I75" s="21"/>
      <c r="J75" s="21">
        <v>8</v>
      </c>
      <c r="K75" s="21">
        <v>9</v>
      </c>
      <c r="L75" s="21">
        <v>13</v>
      </c>
      <c r="M75" s="21"/>
      <c r="N75" s="21">
        <v>13</v>
      </c>
      <c r="O75" s="49">
        <f t="shared" si="17"/>
        <v>10.75</v>
      </c>
      <c r="S75"/>
    </row>
    <row r="76" spans="7:19" x14ac:dyDescent="0.25">
      <c r="G76" s="47" t="s">
        <v>54</v>
      </c>
      <c r="H76" s="21">
        <v>7.5</v>
      </c>
      <c r="I76" s="21"/>
      <c r="J76" s="21">
        <v>12.5</v>
      </c>
      <c r="K76" s="21">
        <v>8</v>
      </c>
      <c r="L76" s="21">
        <v>11.5</v>
      </c>
      <c r="M76" s="21"/>
      <c r="N76" s="21">
        <v>9.5</v>
      </c>
      <c r="O76" s="49">
        <f t="shared" si="17"/>
        <v>9.875</v>
      </c>
      <c r="S76"/>
    </row>
    <row r="77" spans="7:19" x14ac:dyDescent="0.25">
      <c r="G77" s="47" t="s">
        <v>55</v>
      </c>
      <c r="H77" s="21">
        <v>9</v>
      </c>
      <c r="I77" s="21"/>
      <c r="J77" s="21">
        <v>9.5</v>
      </c>
      <c r="K77" s="21">
        <v>7.5</v>
      </c>
      <c r="L77" s="21">
        <v>13</v>
      </c>
      <c r="M77" s="21"/>
      <c r="N77" s="21">
        <v>10</v>
      </c>
      <c r="O77" s="49">
        <f t="shared" si="17"/>
        <v>9.75</v>
      </c>
      <c r="S77"/>
    </row>
    <row r="78" spans="7:19" x14ac:dyDescent="0.25">
      <c r="G78" s="47" t="s">
        <v>14</v>
      </c>
      <c r="H78" s="21">
        <v>16</v>
      </c>
      <c r="I78" s="21"/>
      <c r="J78" s="21">
        <v>15</v>
      </c>
      <c r="K78" s="21">
        <v>16</v>
      </c>
      <c r="L78" s="21">
        <v>16</v>
      </c>
      <c r="M78" s="21"/>
      <c r="N78" s="21">
        <v>15</v>
      </c>
      <c r="O78" s="49">
        <f t="shared" si="17"/>
        <v>15.75</v>
      </c>
      <c r="S78"/>
    </row>
    <row r="79" spans="7:19" x14ac:dyDescent="0.25">
      <c r="G79" s="47" t="s">
        <v>15</v>
      </c>
      <c r="H79" s="21">
        <v>14</v>
      </c>
      <c r="I79" s="21"/>
      <c r="J79" s="21">
        <v>14</v>
      </c>
      <c r="K79" s="21">
        <v>14</v>
      </c>
      <c r="L79" s="21">
        <v>14</v>
      </c>
      <c r="M79" s="21"/>
      <c r="N79" s="21">
        <v>14</v>
      </c>
      <c r="O79" s="49">
        <f t="shared" si="17"/>
        <v>14</v>
      </c>
      <c r="S79"/>
    </row>
    <row r="80" spans="7:19" x14ac:dyDescent="0.25">
      <c r="G80" s="47" t="s">
        <v>56</v>
      </c>
      <c r="H80" s="21">
        <v>17</v>
      </c>
      <c r="I80" s="21"/>
      <c r="J80" s="21">
        <v>17</v>
      </c>
      <c r="K80" s="21">
        <v>17</v>
      </c>
      <c r="L80" s="21">
        <v>17</v>
      </c>
      <c r="M80" s="21"/>
      <c r="N80" s="21">
        <v>17</v>
      </c>
      <c r="O80" s="49">
        <f t="shared" si="17"/>
        <v>17</v>
      </c>
      <c r="S80"/>
    </row>
    <row r="81" spans="15:19" ht="15.75" x14ac:dyDescent="0.25">
      <c r="O81" s="52" t="e">
        <f t="shared" si="17"/>
        <v>#DIV/0!</v>
      </c>
      <c r="S81"/>
    </row>
    <row r="82" spans="15:19" x14ac:dyDescent="0.25">
      <c r="S82"/>
    </row>
    <row r="83" spans="15:19" x14ac:dyDescent="0.25">
      <c r="S83"/>
    </row>
    <row r="84" spans="15:19" x14ac:dyDescent="0.25">
      <c r="S84"/>
    </row>
    <row r="85" spans="15:19" x14ac:dyDescent="0.25">
      <c r="S85"/>
    </row>
    <row r="86" spans="15:19" x14ac:dyDescent="0.25">
      <c r="S86"/>
    </row>
    <row r="87" spans="15:19" x14ac:dyDescent="0.25">
      <c r="S87"/>
    </row>
    <row r="88" spans="15:19" x14ac:dyDescent="0.25">
      <c r="Q88" s="22"/>
    </row>
  </sheetData>
  <mergeCells count="6">
    <mergeCell ref="B39:F39"/>
    <mergeCell ref="G39:J39"/>
    <mergeCell ref="M39:P39"/>
    <mergeCell ref="A48:D48"/>
    <mergeCell ref="G48:J48"/>
    <mergeCell ref="M48:P4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topLeftCell="A28" zoomScale="90" zoomScaleNormal="90" workbookViewId="0">
      <selection activeCell="B32" sqref="B32:G36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71" t="s">
        <v>0</v>
      </c>
      <c r="C4" s="72" t="s">
        <v>103</v>
      </c>
      <c r="D4" s="165" t="s">
        <v>104</v>
      </c>
      <c r="E4" s="166"/>
      <c r="F4" s="72" t="s">
        <v>1</v>
      </c>
      <c r="G4" s="71" t="s">
        <v>2</v>
      </c>
      <c r="H4" s="165" t="s">
        <v>3</v>
      </c>
      <c r="I4" s="166"/>
      <c r="J4" s="72" t="s">
        <v>4</v>
      </c>
      <c r="K4" s="72" t="s">
        <v>5</v>
      </c>
      <c r="L4" s="1"/>
      <c r="M4" s="1"/>
      <c r="N4" s="1"/>
      <c r="O4" s="1"/>
    </row>
    <row r="5" spans="2:15" ht="32.25" thickBot="1" x14ac:dyDescent="0.3">
      <c r="B5" s="78" t="s">
        <v>65</v>
      </c>
      <c r="C5" s="2">
        <f>D5</f>
        <v>15</v>
      </c>
      <c r="D5" s="163">
        <v>15</v>
      </c>
      <c r="E5" s="164">
        <v>15</v>
      </c>
      <c r="F5" s="3">
        <v>4</v>
      </c>
      <c r="G5" s="4">
        <f>C5*F5</f>
        <v>60</v>
      </c>
      <c r="H5" s="152">
        <v>13.5</v>
      </c>
      <c r="I5" s="153">
        <v>13.5</v>
      </c>
      <c r="J5" s="35" t="s">
        <v>102</v>
      </c>
      <c r="K5" s="2" t="str">
        <f>IF(C5&lt;10,"D",IF(C5&lt;12,"C",IF(C5&lt;14,"C+",IF(C5&lt;15,"B",IF(C5&lt;16,"B+",IF(C5&lt;18,"A",IF(C5&lt;20,"A+")))))))</f>
        <v>B+</v>
      </c>
      <c r="L5" s="1"/>
      <c r="M5" s="1"/>
      <c r="N5" s="5">
        <f>D5*F5</f>
        <v>60</v>
      </c>
      <c r="O5" s="5">
        <f>E5*F5</f>
        <v>60</v>
      </c>
    </row>
    <row r="6" spans="2:15" ht="32.25" thickBot="1" x14ac:dyDescent="0.3">
      <c r="B6" s="78" t="s">
        <v>84</v>
      </c>
      <c r="C6" s="2">
        <f t="shared" ref="C6:C8" si="0">D6</f>
        <v>10</v>
      </c>
      <c r="D6" s="163">
        <v>10</v>
      </c>
      <c r="E6" s="164">
        <v>10</v>
      </c>
      <c r="F6" s="3">
        <v>2</v>
      </c>
      <c r="G6" s="4">
        <f t="shared" ref="G6:G8" si="1">C6*F6</f>
        <v>20</v>
      </c>
      <c r="H6" s="152">
        <v>10.25</v>
      </c>
      <c r="I6" s="153">
        <v>10.25</v>
      </c>
      <c r="J6" s="35" t="s">
        <v>102</v>
      </c>
      <c r="K6" s="2" t="str">
        <f t="shared" ref="K6:K8" si="2">IF(C6&lt;10,"D",IF(C6&lt;12,"C",IF(C6&lt;14,"C+",IF(C6&lt;15,"B",IF(C6&lt;16,"B+",IF(C6&lt;18,"A",IF(C6&lt;20,"A+")))))))</f>
        <v>C</v>
      </c>
      <c r="L6" s="1"/>
      <c r="M6" s="1"/>
      <c r="N6" s="5">
        <f t="shared" ref="N6:N8" si="3">D6*F6</f>
        <v>20</v>
      </c>
      <c r="O6" s="5">
        <f t="shared" ref="O6:O8" si="4">E6*F6</f>
        <v>20</v>
      </c>
    </row>
    <row r="7" spans="2:15" ht="32.25" thickBot="1" x14ac:dyDescent="0.3">
      <c r="B7" s="78" t="s">
        <v>85</v>
      </c>
      <c r="C7" s="2">
        <f t="shared" si="0"/>
        <v>11</v>
      </c>
      <c r="D7" s="163">
        <v>11</v>
      </c>
      <c r="E7" s="164">
        <v>11</v>
      </c>
      <c r="F7" s="3">
        <v>3</v>
      </c>
      <c r="G7" s="4">
        <f t="shared" si="1"/>
        <v>33</v>
      </c>
      <c r="H7" s="152">
        <v>11.375</v>
      </c>
      <c r="I7" s="153">
        <v>11.375</v>
      </c>
      <c r="J7" s="35" t="s">
        <v>102</v>
      </c>
      <c r="K7" s="2" t="str">
        <f t="shared" si="2"/>
        <v>C</v>
      </c>
      <c r="L7" s="1"/>
      <c r="M7" s="1"/>
      <c r="N7" s="5">
        <f t="shared" si="3"/>
        <v>33</v>
      </c>
      <c r="O7" s="5">
        <f t="shared" si="4"/>
        <v>33</v>
      </c>
    </row>
    <row r="8" spans="2:15" ht="48" thickBot="1" x14ac:dyDescent="0.3">
      <c r="B8" s="78" t="s">
        <v>86</v>
      </c>
      <c r="C8" s="2">
        <f t="shared" si="0"/>
        <v>11</v>
      </c>
      <c r="D8" s="163">
        <v>11</v>
      </c>
      <c r="E8" s="164">
        <v>11</v>
      </c>
      <c r="F8" s="3">
        <v>3</v>
      </c>
      <c r="G8" s="4">
        <f t="shared" si="1"/>
        <v>33</v>
      </c>
      <c r="H8" s="152">
        <v>10</v>
      </c>
      <c r="I8" s="153">
        <v>10</v>
      </c>
      <c r="J8" s="35" t="s">
        <v>102</v>
      </c>
      <c r="K8" s="2" t="str">
        <f t="shared" si="2"/>
        <v>C</v>
      </c>
      <c r="L8" s="1"/>
      <c r="M8" s="1"/>
      <c r="N8" s="5">
        <f t="shared" si="3"/>
        <v>33</v>
      </c>
      <c r="O8" s="5">
        <f t="shared" si="4"/>
        <v>33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12.166666666666666</v>
      </c>
      <c r="D10" s="144"/>
      <c r="E10" s="144"/>
      <c r="F10" s="154" t="s">
        <v>9</v>
      </c>
      <c r="G10" s="154"/>
      <c r="H10" s="7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78" t="s">
        <v>66</v>
      </c>
      <c r="C12" s="2">
        <f t="shared" ref="C12:C15" si="5">D12</f>
        <v>9</v>
      </c>
      <c r="D12" s="146">
        <v>9</v>
      </c>
      <c r="E12" s="147">
        <v>9</v>
      </c>
      <c r="F12" s="3">
        <v>2</v>
      </c>
      <c r="G12" s="4">
        <f t="shared" ref="G12:G15" si="6">C12*F12</f>
        <v>18</v>
      </c>
      <c r="H12" s="152">
        <v>9.375</v>
      </c>
      <c r="I12" s="153">
        <v>9.375</v>
      </c>
      <c r="J12" s="35" t="s">
        <v>102</v>
      </c>
      <c r="K12" s="2" t="str">
        <f>IF(C12&lt;10,"D",IF(C12&lt;12,"C",IF(C12&lt;14,"C+",IF(C12&lt;15,"B",IF(C12&lt;16,"B+",IF(C12&lt;18,"A",IF(C12&lt;20,"A+")))))))</f>
        <v>D</v>
      </c>
      <c r="L12" s="1"/>
      <c r="M12" s="1"/>
      <c r="N12" s="5">
        <f t="shared" ref="N12:N15" si="7">D12*F12</f>
        <v>18</v>
      </c>
      <c r="O12" s="5">
        <f t="shared" ref="O12:O15" si="8">E12*F12</f>
        <v>18</v>
      </c>
    </row>
    <row r="13" spans="2:15" ht="30.75" customHeight="1" thickBot="1" x14ac:dyDescent="0.3">
      <c r="B13" s="78" t="s">
        <v>67</v>
      </c>
      <c r="C13" s="2">
        <f t="shared" si="5"/>
        <v>7</v>
      </c>
      <c r="D13" s="146">
        <v>7</v>
      </c>
      <c r="E13" s="147">
        <v>7</v>
      </c>
      <c r="F13" s="3">
        <v>2</v>
      </c>
      <c r="G13" s="4">
        <f t="shared" si="6"/>
        <v>14</v>
      </c>
      <c r="H13" s="152">
        <v>9</v>
      </c>
      <c r="I13" s="153">
        <v>9</v>
      </c>
      <c r="J13" s="35" t="s">
        <v>102</v>
      </c>
      <c r="K13" s="2" t="str">
        <f t="shared" ref="K13:K15" si="9">IF(C13&lt;10,"D",IF(C13&lt;12,"C",IF(C13&lt;14,"C+",IF(C13&lt;15,"B",IF(C13&lt;16,"B+",IF(C13&lt;18,"A",IF(C13&lt;20,"A+")))))))</f>
        <v>D</v>
      </c>
      <c r="L13" s="1"/>
      <c r="M13" s="1"/>
      <c r="N13" s="5">
        <f t="shared" si="7"/>
        <v>14</v>
      </c>
      <c r="O13" s="5">
        <f t="shared" si="8"/>
        <v>14</v>
      </c>
    </row>
    <row r="14" spans="2:15" ht="32.25" thickBot="1" x14ac:dyDescent="0.3">
      <c r="B14" s="78" t="s">
        <v>87</v>
      </c>
      <c r="C14" s="2">
        <f t="shared" si="5"/>
        <v>9</v>
      </c>
      <c r="D14" s="146">
        <v>9</v>
      </c>
      <c r="E14" s="147">
        <v>9</v>
      </c>
      <c r="F14" s="3">
        <v>2</v>
      </c>
      <c r="G14" s="4">
        <f t="shared" si="6"/>
        <v>18</v>
      </c>
      <c r="H14" s="152">
        <v>9.5</v>
      </c>
      <c r="I14" s="153">
        <v>9.5</v>
      </c>
      <c r="J14" s="35" t="s">
        <v>102</v>
      </c>
      <c r="K14" s="2" t="str">
        <f t="shared" si="9"/>
        <v>D</v>
      </c>
      <c r="L14" s="1"/>
      <c r="M14" s="1"/>
      <c r="N14" s="5">
        <f t="shared" si="7"/>
        <v>18</v>
      </c>
      <c r="O14" s="5">
        <f t="shared" si="8"/>
        <v>18</v>
      </c>
    </row>
    <row r="15" spans="2:15" ht="32.25" thickBot="1" x14ac:dyDescent="0.3">
      <c r="B15" s="78" t="s">
        <v>88</v>
      </c>
      <c r="C15" s="2">
        <f t="shared" si="5"/>
        <v>12</v>
      </c>
      <c r="D15" s="146">
        <v>12</v>
      </c>
      <c r="E15" s="147">
        <v>12</v>
      </c>
      <c r="F15" s="3">
        <v>3</v>
      </c>
      <c r="G15" s="4">
        <f t="shared" si="6"/>
        <v>36</v>
      </c>
      <c r="H15" s="152">
        <v>10.375</v>
      </c>
      <c r="I15" s="153">
        <v>10.375</v>
      </c>
      <c r="J15" s="35" t="s">
        <v>102</v>
      </c>
      <c r="K15" s="2" t="str">
        <f t="shared" si="9"/>
        <v>C+</v>
      </c>
      <c r="L15" s="1"/>
      <c r="M15" s="1"/>
      <c r="N15" s="5">
        <f t="shared" si="7"/>
        <v>36</v>
      </c>
      <c r="O15" s="5">
        <f t="shared" si="8"/>
        <v>36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9.5555555555555554</v>
      </c>
      <c r="D17" s="144"/>
      <c r="E17" s="144"/>
      <c r="F17" s="154" t="s">
        <v>9</v>
      </c>
      <c r="G17" s="154"/>
      <c r="H17" s="7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78" t="s">
        <v>89</v>
      </c>
      <c r="C19" s="2">
        <f t="shared" ref="C19:C21" si="10">D19</f>
        <v>13</v>
      </c>
      <c r="D19" s="146">
        <v>13</v>
      </c>
      <c r="E19" s="147">
        <v>13</v>
      </c>
      <c r="F19" s="3">
        <v>2</v>
      </c>
      <c r="G19" s="4">
        <f t="shared" ref="G19:G21" si="11">C19*F19</f>
        <v>26</v>
      </c>
      <c r="H19" s="152">
        <v>10.75</v>
      </c>
      <c r="I19" s="153">
        <v>10.75</v>
      </c>
      <c r="J19" s="35" t="s">
        <v>102</v>
      </c>
      <c r="K19" s="2" t="str">
        <f>IF(C19&lt;10,"D",IF(C19&lt;12,"C",IF(C19&lt;14,"C+",IF(C19&lt;15,"B",IF(C19&lt;16,"B+",IF(C19&lt;18,"A",IF(C19&lt;20,"A+")))))))</f>
        <v>C+</v>
      </c>
      <c r="L19" s="1"/>
      <c r="M19" s="1"/>
      <c r="N19" s="5">
        <f t="shared" ref="N19:N21" si="12">D19*F19</f>
        <v>26</v>
      </c>
      <c r="O19" s="5">
        <f t="shared" ref="O19:O21" si="13">E19*F19</f>
        <v>26</v>
      </c>
    </row>
    <row r="20" spans="2:15" ht="32.25" thickBot="1" x14ac:dyDescent="0.3">
      <c r="B20" s="78" t="s">
        <v>90</v>
      </c>
      <c r="C20" s="2">
        <f t="shared" si="10"/>
        <v>7.5</v>
      </c>
      <c r="D20" s="146">
        <v>7.5</v>
      </c>
      <c r="E20" s="147">
        <v>7.5</v>
      </c>
      <c r="F20" s="3">
        <v>2</v>
      </c>
      <c r="G20" s="4">
        <f t="shared" si="11"/>
        <v>15</v>
      </c>
      <c r="H20" s="152">
        <v>9.875</v>
      </c>
      <c r="I20" s="153">
        <v>9.875</v>
      </c>
      <c r="J20" s="35" t="s">
        <v>102</v>
      </c>
      <c r="K20" s="2" t="str">
        <f t="shared" ref="K20:K21" si="14">IF(C20&lt;10,"D",IF(C20&lt;12,"C",IF(C20&lt;14,"C+",IF(C20&lt;15,"B",IF(C20&lt;16,"B+",IF(C20&lt;18,"A",IF(C20&lt;20,"A+")))))))</f>
        <v>D</v>
      </c>
      <c r="L20" s="1"/>
      <c r="M20" s="1"/>
      <c r="N20" s="5">
        <f t="shared" si="12"/>
        <v>15</v>
      </c>
      <c r="O20" s="5">
        <f t="shared" si="13"/>
        <v>15</v>
      </c>
    </row>
    <row r="21" spans="2:15" ht="32.25" thickBot="1" x14ac:dyDescent="0.3">
      <c r="B21" s="78" t="s">
        <v>91</v>
      </c>
      <c r="C21" s="2">
        <f t="shared" si="10"/>
        <v>9</v>
      </c>
      <c r="D21" s="146">
        <v>9</v>
      </c>
      <c r="E21" s="147">
        <v>9</v>
      </c>
      <c r="F21" s="3">
        <v>1</v>
      </c>
      <c r="G21" s="4">
        <f t="shared" si="11"/>
        <v>9</v>
      </c>
      <c r="H21" s="152">
        <v>9.75</v>
      </c>
      <c r="I21" s="153">
        <v>9.75</v>
      </c>
      <c r="J21" s="35" t="s">
        <v>102</v>
      </c>
      <c r="K21" s="2" t="str">
        <f t="shared" si="14"/>
        <v>D</v>
      </c>
      <c r="L21" s="1"/>
      <c r="M21" s="1"/>
      <c r="N21" s="5">
        <f t="shared" si="12"/>
        <v>9</v>
      </c>
      <c r="O21" s="5">
        <f t="shared" si="13"/>
        <v>9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10</v>
      </c>
      <c r="D23" s="144"/>
      <c r="E23" s="144"/>
      <c r="F23" s="154" t="s">
        <v>9</v>
      </c>
      <c r="G23" s="154"/>
      <c r="H23" s="7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78" t="s">
        <v>92</v>
      </c>
      <c r="C25" s="2">
        <f t="shared" ref="C25:C27" si="15">D25</f>
        <v>16</v>
      </c>
      <c r="D25" s="146">
        <v>16</v>
      </c>
      <c r="E25" s="147">
        <v>16</v>
      </c>
      <c r="F25" s="3">
        <v>2</v>
      </c>
      <c r="G25" s="4">
        <f t="shared" ref="G25:G27" si="16">C25*F25</f>
        <v>32</v>
      </c>
      <c r="H25" s="152">
        <v>15.75</v>
      </c>
      <c r="I25" s="153">
        <v>15.75</v>
      </c>
      <c r="J25" s="35" t="s">
        <v>102</v>
      </c>
      <c r="K25" s="2" t="str">
        <f>IF(C25&lt;10,"D",IF(C25&lt;12,"C",IF(C25&lt;14,"C+",IF(C25&lt;15,"B",IF(C25&lt;16,"B+",IF(C25&lt;18,"A",IF(C25&lt;20,"A+")))))))</f>
        <v>A</v>
      </c>
      <c r="L25" s="1"/>
      <c r="M25" s="1"/>
      <c r="N25" s="5">
        <f t="shared" ref="N25:N27" si="17">D25*F25</f>
        <v>32</v>
      </c>
      <c r="O25" s="5">
        <f t="shared" ref="O25:O27" si="18">E25*F25</f>
        <v>32</v>
      </c>
    </row>
    <row r="26" spans="2:15" ht="33" customHeight="1" thickBot="1" x14ac:dyDescent="0.3">
      <c r="B26" s="34" t="s">
        <v>93</v>
      </c>
      <c r="C26" s="2">
        <f t="shared" si="15"/>
        <v>14</v>
      </c>
      <c r="D26" s="146">
        <v>14</v>
      </c>
      <c r="E26" s="147">
        <v>14</v>
      </c>
      <c r="F26" s="3">
        <v>1</v>
      </c>
      <c r="G26" s="4">
        <f t="shared" si="16"/>
        <v>14</v>
      </c>
      <c r="H26" s="152">
        <v>14</v>
      </c>
      <c r="I26" s="153">
        <v>14</v>
      </c>
      <c r="J26" s="35" t="s">
        <v>102</v>
      </c>
      <c r="K26" s="2" t="str">
        <f t="shared" ref="K26:K27" si="19">IF(C26&lt;10,"D",IF(C26&lt;12,"C",IF(C26&lt;14,"C+",IF(C26&lt;15,"B",IF(C26&lt;16,"B+",IF(C26&lt;18,"A",IF(C26&lt;20,"A+")))))))</f>
        <v>B</v>
      </c>
      <c r="L26" s="1"/>
      <c r="M26" s="1"/>
      <c r="N26" s="5">
        <f t="shared" si="17"/>
        <v>14</v>
      </c>
      <c r="O26" s="5">
        <f t="shared" si="18"/>
        <v>14</v>
      </c>
    </row>
    <row r="27" spans="2:15" ht="32.25" thickBot="1" x14ac:dyDescent="0.3">
      <c r="B27" s="78" t="s">
        <v>94</v>
      </c>
      <c r="C27" s="2">
        <f t="shared" si="15"/>
        <v>17</v>
      </c>
      <c r="D27" s="146">
        <v>17</v>
      </c>
      <c r="E27" s="147">
        <v>17</v>
      </c>
      <c r="F27" s="3">
        <v>1</v>
      </c>
      <c r="G27" s="4">
        <f t="shared" si="16"/>
        <v>17</v>
      </c>
      <c r="H27" s="152">
        <v>17</v>
      </c>
      <c r="I27" s="153">
        <v>17</v>
      </c>
      <c r="J27" s="35" t="s">
        <v>95</v>
      </c>
      <c r="K27" s="2" t="str">
        <f t="shared" si="19"/>
        <v>A</v>
      </c>
      <c r="L27" s="1"/>
      <c r="M27" s="1"/>
      <c r="N27" s="5">
        <f t="shared" si="17"/>
        <v>17</v>
      </c>
      <c r="O27" s="5">
        <f t="shared" si="18"/>
        <v>17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345</v>
      </c>
      <c r="O28" s="1">
        <f>SUM(O5:O27)</f>
        <v>345</v>
      </c>
    </row>
    <row r="29" spans="2:15" ht="16.5" thickBot="1" x14ac:dyDescent="0.3">
      <c r="B29" s="10" t="s">
        <v>12</v>
      </c>
      <c r="C29" s="144">
        <f>(SUM(G25:G27)/SUM(F25:F27))</f>
        <v>15.75</v>
      </c>
      <c r="D29" s="144"/>
      <c r="E29" s="144"/>
      <c r="F29" s="145" t="s">
        <v>9</v>
      </c>
      <c r="G29" s="145"/>
      <c r="H29" s="7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11.5</v>
      </c>
      <c r="O30" s="1">
        <f>O28/O29</f>
        <v>11.5</v>
      </c>
    </row>
    <row r="31" spans="2:15" ht="48" thickBot="1" x14ac:dyDescent="0.3">
      <c r="B31" s="7" t="s">
        <v>17</v>
      </c>
      <c r="C31" s="11" t="s">
        <v>18</v>
      </c>
      <c r="D31" s="7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189"/>
      <c r="C32" s="190" t="s">
        <v>104</v>
      </c>
      <c r="D32" s="190"/>
      <c r="E32" s="191"/>
      <c r="F32" s="191"/>
      <c r="G32" s="192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193" t="s">
        <v>21</v>
      </c>
      <c r="C33" s="194">
        <f>N30</f>
        <v>11.5</v>
      </c>
      <c r="D33" s="194"/>
      <c r="E33" s="195" t="s">
        <v>105</v>
      </c>
      <c r="F33" s="196">
        <f>(G5+G6+G7+G8+G12+G13+G14+G15+G19+G20+G21+G25+G26+G27)/30</f>
        <v>11.5</v>
      </c>
      <c r="G33" s="195" t="s">
        <v>22</v>
      </c>
      <c r="H33" s="170" t="s">
        <v>23</v>
      </c>
      <c r="I33" s="171"/>
      <c r="J33" s="15" t="s">
        <v>117</v>
      </c>
      <c r="K33" s="16" t="s">
        <v>112</v>
      </c>
      <c r="L33" s="1"/>
      <c r="M33" s="1"/>
      <c r="N33" s="1"/>
      <c r="O33" s="1"/>
    </row>
    <row r="34" spans="2:15" ht="15.75" x14ac:dyDescent="0.25">
      <c r="B34" s="193"/>
      <c r="C34" s="197"/>
      <c r="D34" s="197"/>
      <c r="E34" s="195"/>
      <c r="F34" s="196"/>
      <c r="G34" s="195"/>
      <c r="H34" s="75"/>
      <c r="I34" s="76"/>
      <c r="J34" s="15"/>
      <c r="K34" s="16"/>
      <c r="L34" s="1"/>
      <c r="M34" s="1"/>
      <c r="N34" s="1"/>
      <c r="O34" s="1"/>
    </row>
    <row r="35" spans="2:15" ht="22.5" customHeight="1" x14ac:dyDescent="0.25">
      <c r="B35" s="198" t="s">
        <v>106</v>
      </c>
      <c r="C35" s="199" t="s">
        <v>107</v>
      </c>
      <c r="D35" s="199" t="s">
        <v>108</v>
      </c>
      <c r="E35" s="200" t="s">
        <v>109</v>
      </c>
      <c r="F35" s="199">
        <f>AVERAGE(B36:C36:D36)</f>
        <v>10.466666666666667</v>
      </c>
      <c r="G35" s="201" t="s">
        <v>22</v>
      </c>
      <c r="H35" s="172" t="s">
        <v>110</v>
      </c>
      <c r="I35" s="173"/>
      <c r="J35" s="174" t="s">
        <v>122</v>
      </c>
      <c r="K35" s="175"/>
      <c r="L35" s="1"/>
      <c r="M35" s="1"/>
      <c r="N35" s="1"/>
      <c r="O35" s="1"/>
    </row>
    <row r="36" spans="2:15" ht="23.25" thickBot="1" x14ac:dyDescent="0.3">
      <c r="B36" s="202">
        <v>10.1</v>
      </c>
      <c r="C36" s="203">
        <v>9.8000000000000007</v>
      </c>
      <c r="D36" s="203">
        <f>F33</f>
        <v>11.5</v>
      </c>
      <c r="E36" s="204"/>
      <c r="F36" s="205"/>
      <c r="G36" s="206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77" t="s">
        <v>29</v>
      </c>
      <c r="C40" s="179" t="str">
        <f>IF(F35&lt;10,"CNA",IF(F35&lt;12,"CMA",IF(F35&lt;14,"CA",IF(F35&lt;16,"CBA",IF(F35&lt;20,"CTBA")))))</f>
        <v>CMA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7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H35:I35"/>
    <mergeCell ref="J35:K35"/>
    <mergeCell ref="B37:K37"/>
    <mergeCell ref="B38:K38"/>
    <mergeCell ref="C39:E39"/>
    <mergeCell ref="F39:K40"/>
    <mergeCell ref="C40:E42"/>
    <mergeCell ref="F41:I41"/>
    <mergeCell ref="J41:K41"/>
    <mergeCell ref="F42:I42"/>
    <mergeCell ref="J42:K42"/>
    <mergeCell ref="H13:I13"/>
    <mergeCell ref="H4:I4"/>
    <mergeCell ref="D27:E27"/>
    <mergeCell ref="C32:D32"/>
    <mergeCell ref="C33:D33"/>
    <mergeCell ref="B30:K30"/>
    <mergeCell ref="F31:G31"/>
    <mergeCell ref="I31:J31"/>
    <mergeCell ref="H32:K32"/>
    <mergeCell ref="H33:I33"/>
    <mergeCell ref="D13:E13"/>
    <mergeCell ref="D14:E14"/>
    <mergeCell ref="D15:E15"/>
    <mergeCell ref="D19:E19"/>
    <mergeCell ref="D20:E20"/>
    <mergeCell ref="D4:E4"/>
    <mergeCell ref="D5:E5"/>
    <mergeCell ref="D6:E6"/>
    <mergeCell ref="D7:E7"/>
    <mergeCell ref="D8:E8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12:E12"/>
    <mergeCell ref="C23:E23"/>
    <mergeCell ref="F23:G23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21:E21"/>
    <mergeCell ref="B24:K24"/>
    <mergeCell ref="H25:I25"/>
    <mergeCell ref="H26:I26"/>
    <mergeCell ref="H27:I27"/>
    <mergeCell ref="C29:E29"/>
    <mergeCell ref="F29:G29"/>
    <mergeCell ref="I29:K29"/>
    <mergeCell ref="D25:E25"/>
    <mergeCell ref="D26:E26"/>
    <mergeCell ref="C45:E48"/>
    <mergeCell ref="F45:I48"/>
    <mergeCell ref="J43:K43"/>
    <mergeCell ref="C43:E44"/>
    <mergeCell ref="F43:I43"/>
    <mergeCell ref="F44:I44"/>
    <mergeCell ref="J44:K44"/>
    <mergeCell ref="J47:K47"/>
    <mergeCell ref="J48:K48"/>
    <mergeCell ref="J45:K45"/>
    <mergeCell ref="J46:K4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zoomScale="90" zoomScaleNormal="90" workbookViewId="0">
      <selection sqref="A1:XFD1048576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100" t="s">
        <v>0</v>
      </c>
      <c r="C4" s="101" t="s">
        <v>103</v>
      </c>
      <c r="D4" s="165" t="s">
        <v>104</v>
      </c>
      <c r="E4" s="166"/>
      <c r="F4" s="101" t="s">
        <v>1</v>
      </c>
      <c r="G4" s="100" t="s">
        <v>2</v>
      </c>
      <c r="H4" s="165" t="s">
        <v>3</v>
      </c>
      <c r="I4" s="166"/>
      <c r="J4" s="101" t="s">
        <v>4</v>
      </c>
      <c r="K4" s="101" t="s">
        <v>5</v>
      </c>
      <c r="L4" s="1"/>
      <c r="M4" s="1"/>
      <c r="N4" s="1"/>
      <c r="O4" s="1"/>
    </row>
    <row r="5" spans="2:15" ht="32.25" thickBot="1" x14ac:dyDescent="0.3">
      <c r="B5" s="102" t="s">
        <v>65</v>
      </c>
      <c r="C5" s="2">
        <f>D5</f>
        <v>0</v>
      </c>
      <c r="D5" s="146"/>
      <c r="E5" s="147"/>
      <c r="F5" s="3">
        <v>4</v>
      </c>
      <c r="G5" s="4">
        <f>C5*F5</f>
        <v>0</v>
      </c>
      <c r="H5" s="152">
        <v>13.5</v>
      </c>
      <c r="I5" s="153">
        <v>13.5</v>
      </c>
      <c r="J5" s="35" t="s">
        <v>102</v>
      </c>
      <c r="K5" s="2" t="str">
        <f>IF(C5&lt;10,"D",IF(C5&lt;12,"C",IF(C5&lt;14,"C+",IF(C5&lt;15,"B",IF(C5&lt;16,"B+",IF(C5&lt;18,"A",IF(C5&lt;20,"A+")))))))</f>
        <v>D</v>
      </c>
      <c r="L5" s="1"/>
      <c r="M5" s="1"/>
      <c r="N5" s="5">
        <f>D5*F5</f>
        <v>0</v>
      </c>
      <c r="O5" s="5">
        <f>E5*F5</f>
        <v>0</v>
      </c>
    </row>
    <row r="6" spans="2:15" ht="32.25" thickBot="1" x14ac:dyDescent="0.3">
      <c r="B6" s="102" t="s">
        <v>84</v>
      </c>
      <c r="C6" s="2">
        <f t="shared" ref="C6:C8" si="0">D6</f>
        <v>0</v>
      </c>
      <c r="D6" s="146"/>
      <c r="E6" s="147"/>
      <c r="F6" s="3">
        <v>2</v>
      </c>
      <c r="G6" s="4">
        <f t="shared" ref="G6:G8" si="1">C6*F6</f>
        <v>0</v>
      </c>
      <c r="H6" s="152">
        <v>10.25</v>
      </c>
      <c r="I6" s="153">
        <v>10.25</v>
      </c>
      <c r="J6" s="35" t="s">
        <v>102</v>
      </c>
      <c r="K6" s="2" t="str">
        <f t="shared" ref="K6:K8" si="2">IF(C6&lt;10,"D",IF(C6&lt;12,"C",IF(C6&lt;14,"C+",IF(C6&lt;15,"B",IF(C6&lt;16,"B+",IF(C6&lt;18,"A",IF(C6&lt;20,"A+")))))))</f>
        <v>D</v>
      </c>
      <c r="L6" s="1"/>
      <c r="M6" s="1"/>
      <c r="N6" s="5">
        <f t="shared" ref="N6:N8" si="3">D6*F6</f>
        <v>0</v>
      </c>
      <c r="O6" s="5">
        <f t="shared" ref="O6:O8" si="4">E6*F6</f>
        <v>0</v>
      </c>
    </row>
    <row r="7" spans="2:15" ht="32.25" thickBot="1" x14ac:dyDescent="0.3">
      <c r="B7" s="102" t="s">
        <v>85</v>
      </c>
      <c r="C7" s="2">
        <f t="shared" si="0"/>
        <v>0</v>
      </c>
      <c r="D7" s="146"/>
      <c r="E7" s="147"/>
      <c r="F7" s="3">
        <v>3</v>
      </c>
      <c r="G7" s="4">
        <f t="shared" si="1"/>
        <v>0</v>
      </c>
      <c r="H7" s="152">
        <v>11.375</v>
      </c>
      <c r="I7" s="153">
        <v>11.375</v>
      </c>
      <c r="J7" s="35" t="s">
        <v>102</v>
      </c>
      <c r="K7" s="2" t="str">
        <f t="shared" si="2"/>
        <v>D</v>
      </c>
      <c r="L7" s="1"/>
      <c r="M7" s="1"/>
      <c r="N7" s="5">
        <f t="shared" si="3"/>
        <v>0</v>
      </c>
      <c r="O7" s="5">
        <f t="shared" si="4"/>
        <v>0</v>
      </c>
    </row>
    <row r="8" spans="2:15" ht="48" thickBot="1" x14ac:dyDescent="0.3">
      <c r="B8" s="102" t="s">
        <v>86</v>
      </c>
      <c r="C8" s="2">
        <f t="shared" si="0"/>
        <v>0</v>
      </c>
      <c r="D8" s="146"/>
      <c r="E8" s="147"/>
      <c r="F8" s="3">
        <v>3</v>
      </c>
      <c r="G8" s="4">
        <f t="shared" si="1"/>
        <v>0</v>
      </c>
      <c r="H8" s="152">
        <v>10</v>
      </c>
      <c r="I8" s="153">
        <v>10</v>
      </c>
      <c r="J8" s="35" t="s">
        <v>102</v>
      </c>
      <c r="K8" s="2" t="str">
        <f t="shared" si="2"/>
        <v>D</v>
      </c>
      <c r="L8" s="1"/>
      <c r="M8" s="1"/>
      <c r="N8" s="5">
        <f t="shared" si="3"/>
        <v>0</v>
      </c>
      <c r="O8" s="5">
        <f t="shared" si="4"/>
        <v>0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0</v>
      </c>
      <c r="D10" s="144"/>
      <c r="E10" s="144"/>
      <c r="F10" s="154" t="s">
        <v>9</v>
      </c>
      <c r="G10" s="154"/>
      <c r="H10" s="10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102" t="s">
        <v>66</v>
      </c>
      <c r="C12" s="2">
        <f t="shared" ref="C12:C15" si="5">D12</f>
        <v>0</v>
      </c>
      <c r="D12" s="146"/>
      <c r="E12" s="147"/>
      <c r="F12" s="3">
        <v>2</v>
      </c>
      <c r="G12" s="4">
        <f t="shared" ref="G12:G15" si="6">C12*F12</f>
        <v>0</v>
      </c>
      <c r="H12" s="152">
        <v>9.375</v>
      </c>
      <c r="I12" s="153">
        <v>9.375</v>
      </c>
      <c r="J12" s="35" t="s">
        <v>102</v>
      </c>
      <c r="K12" s="2" t="str">
        <f>IF(C12&lt;10,"D",IF(C12&lt;12,"C",IF(C12&lt;14,"C+",IF(C12&lt;15,"B",IF(C12&lt;16,"B+",IF(C12&lt;18,"A",IF(C12&lt;20,"A+")))))))</f>
        <v>D</v>
      </c>
      <c r="L12" s="1"/>
      <c r="M12" s="1"/>
      <c r="N12" s="5">
        <f t="shared" ref="N12:N15" si="7">D12*F12</f>
        <v>0</v>
      </c>
      <c r="O12" s="5">
        <f t="shared" ref="O12:O15" si="8">E12*F12</f>
        <v>0</v>
      </c>
    </row>
    <row r="13" spans="2:15" ht="30.75" customHeight="1" thickBot="1" x14ac:dyDescent="0.3">
      <c r="B13" s="102" t="s">
        <v>67</v>
      </c>
      <c r="C13" s="2">
        <f t="shared" si="5"/>
        <v>0</v>
      </c>
      <c r="D13" s="146"/>
      <c r="E13" s="147"/>
      <c r="F13" s="3">
        <v>2</v>
      </c>
      <c r="G13" s="4">
        <f t="shared" si="6"/>
        <v>0</v>
      </c>
      <c r="H13" s="152">
        <v>9</v>
      </c>
      <c r="I13" s="153">
        <v>9</v>
      </c>
      <c r="J13" s="35" t="s">
        <v>102</v>
      </c>
      <c r="K13" s="2" t="str">
        <f t="shared" ref="K13:K15" si="9">IF(C13&lt;10,"D",IF(C13&lt;12,"C",IF(C13&lt;14,"C+",IF(C13&lt;15,"B",IF(C13&lt;16,"B+",IF(C13&lt;18,"A",IF(C13&lt;20,"A+")))))))</f>
        <v>D</v>
      </c>
      <c r="L13" s="1"/>
      <c r="M13" s="1"/>
      <c r="N13" s="5">
        <f t="shared" si="7"/>
        <v>0</v>
      </c>
      <c r="O13" s="5">
        <f t="shared" si="8"/>
        <v>0</v>
      </c>
    </row>
    <row r="14" spans="2:15" ht="32.25" thickBot="1" x14ac:dyDescent="0.3">
      <c r="B14" s="102" t="s">
        <v>87</v>
      </c>
      <c r="C14" s="2">
        <f t="shared" si="5"/>
        <v>0</v>
      </c>
      <c r="D14" s="146"/>
      <c r="E14" s="147"/>
      <c r="F14" s="3">
        <v>2</v>
      </c>
      <c r="G14" s="4">
        <f t="shared" si="6"/>
        <v>0</v>
      </c>
      <c r="H14" s="152">
        <v>9.5</v>
      </c>
      <c r="I14" s="153">
        <v>9.5</v>
      </c>
      <c r="J14" s="35" t="s">
        <v>102</v>
      </c>
      <c r="K14" s="2" t="str">
        <f t="shared" si="9"/>
        <v>D</v>
      </c>
      <c r="L14" s="1"/>
      <c r="M14" s="1"/>
      <c r="N14" s="5">
        <f t="shared" si="7"/>
        <v>0</v>
      </c>
      <c r="O14" s="5">
        <f t="shared" si="8"/>
        <v>0</v>
      </c>
    </row>
    <row r="15" spans="2:15" ht="32.25" thickBot="1" x14ac:dyDescent="0.3">
      <c r="B15" s="102" t="s">
        <v>88</v>
      </c>
      <c r="C15" s="2">
        <f t="shared" si="5"/>
        <v>0</v>
      </c>
      <c r="D15" s="146"/>
      <c r="E15" s="147"/>
      <c r="F15" s="3">
        <v>3</v>
      </c>
      <c r="G15" s="4">
        <f t="shared" si="6"/>
        <v>0</v>
      </c>
      <c r="H15" s="152">
        <v>10.375</v>
      </c>
      <c r="I15" s="153">
        <v>10.375</v>
      </c>
      <c r="J15" s="35" t="s">
        <v>102</v>
      </c>
      <c r="K15" s="2" t="str">
        <f t="shared" si="9"/>
        <v>D</v>
      </c>
      <c r="L15" s="1"/>
      <c r="M15" s="1"/>
      <c r="N15" s="5">
        <f t="shared" si="7"/>
        <v>0</v>
      </c>
      <c r="O15" s="5">
        <f t="shared" si="8"/>
        <v>0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0</v>
      </c>
      <c r="D17" s="144"/>
      <c r="E17" s="144"/>
      <c r="F17" s="154" t="s">
        <v>9</v>
      </c>
      <c r="G17" s="154"/>
      <c r="H17" s="10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102" t="s">
        <v>89</v>
      </c>
      <c r="C19" s="2">
        <f t="shared" ref="C19:C21" si="10">D19</f>
        <v>0</v>
      </c>
      <c r="D19" s="146"/>
      <c r="E19" s="147"/>
      <c r="F19" s="3">
        <v>2</v>
      </c>
      <c r="G19" s="4">
        <f t="shared" ref="G19:G21" si="11">C19*F19</f>
        <v>0</v>
      </c>
      <c r="H19" s="152">
        <v>10.75</v>
      </c>
      <c r="I19" s="153">
        <v>10.75</v>
      </c>
      <c r="J19" s="35" t="s">
        <v>102</v>
      </c>
      <c r="K19" s="2" t="str">
        <f>IF(C19&lt;10,"D",IF(C19&lt;12,"C",IF(C19&lt;14,"C+",IF(C19&lt;15,"B",IF(C19&lt;16,"B+",IF(C19&lt;18,"A",IF(C19&lt;20,"A+")))))))</f>
        <v>D</v>
      </c>
      <c r="L19" s="1"/>
      <c r="M19" s="1"/>
      <c r="N19" s="5">
        <f t="shared" ref="N19:N21" si="12">D19*F19</f>
        <v>0</v>
      </c>
      <c r="O19" s="5">
        <f t="shared" ref="O19:O21" si="13">E19*F19</f>
        <v>0</v>
      </c>
    </row>
    <row r="20" spans="2:15" ht="32.25" thickBot="1" x14ac:dyDescent="0.3">
      <c r="B20" s="102" t="s">
        <v>90</v>
      </c>
      <c r="C20" s="2">
        <f t="shared" si="10"/>
        <v>0</v>
      </c>
      <c r="D20" s="146"/>
      <c r="E20" s="147"/>
      <c r="F20" s="3">
        <v>2</v>
      </c>
      <c r="G20" s="4">
        <f t="shared" si="11"/>
        <v>0</v>
      </c>
      <c r="H20" s="152">
        <v>9.875</v>
      </c>
      <c r="I20" s="153">
        <v>9.875</v>
      </c>
      <c r="J20" s="35" t="s">
        <v>102</v>
      </c>
      <c r="K20" s="2" t="str">
        <f t="shared" ref="K20:K21" si="14">IF(C20&lt;10,"D",IF(C20&lt;12,"C",IF(C20&lt;14,"C+",IF(C20&lt;15,"B",IF(C20&lt;16,"B+",IF(C20&lt;18,"A",IF(C20&lt;20,"A+")))))))</f>
        <v>D</v>
      </c>
      <c r="L20" s="1"/>
      <c r="M20" s="1"/>
      <c r="N20" s="5">
        <f t="shared" si="12"/>
        <v>0</v>
      </c>
      <c r="O20" s="5">
        <f t="shared" si="13"/>
        <v>0</v>
      </c>
    </row>
    <row r="21" spans="2:15" ht="32.25" thickBot="1" x14ac:dyDescent="0.3">
      <c r="B21" s="102" t="s">
        <v>91</v>
      </c>
      <c r="C21" s="2">
        <f t="shared" si="10"/>
        <v>0</v>
      </c>
      <c r="D21" s="146"/>
      <c r="E21" s="147"/>
      <c r="F21" s="3">
        <v>1</v>
      </c>
      <c r="G21" s="4">
        <f t="shared" si="11"/>
        <v>0</v>
      </c>
      <c r="H21" s="152">
        <v>9.75</v>
      </c>
      <c r="I21" s="153">
        <v>9.75</v>
      </c>
      <c r="J21" s="35" t="s">
        <v>102</v>
      </c>
      <c r="K21" s="2" t="str">
        <f t="shared" si="14"/>
        <v>D</v>
      </c>
      <c r="L21" s="1"/>
      <c r="M21" s="1"/>
      <c r="N21" s="5">
        <f t="shared" si="12"/>
        <v>0</v>
      </c>
      <c r="O21" s="5">
        <f t="shared" si="13"/>
        <v>0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0</v>
      </c>
      <c r="D23" s="144"/>
      <c r="E23" s="144"/>
      <c r="F23" s="154" t="s">
        <v>9</v>
      </c>
      <c r="G23" s="154"/>
      <c r="H23" s="10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102" t="s">
        <v>92</v>
      </c>
      <c r="C25" s="2">
        <f t="shared" ref="C25:C27" si="15">D25</f>
        <v>0</v>
      </c>
      <c r="D25" s="146"/>
      <c r="E25" s="147"/>
      <c r="F25" s="3">
        <v>2</v>
      </c>
      <c r="G25" s="4">
        <f t="shared" ref="G25:G27" si="16">C25*F25</f>
        <v>0</v>
      </c>
      <c r="H25" s="152">
        <v>15.75</v>
      </c>
      <c r="I25" s="153">
        <v>15.75</v>
      </c>
      <c r="J25" s="35" t="s">
        <v>102</v>
      </c>
      <c r="K25" s="2" t="str">
        <f>IF(C25&lt;10,"D",IF(C25&lt;12,"C",IF(C25&lt;14,"C+",IF(C25&lt;15,"B",IF(C25&lt;16,"B+",IF(C25&lt;18,"A",IF(C25&lt;20,"A+")))))))</f>
        <v>D</v>
      </c>
      <c r="L25" s="1"/>
      <c r="M25" s="1"/>
      <c r="N25" s="5">
        <f t="shared" ref="N25:N27" si="17">D25*F25</f>
        <v>0</v>
      </c>
      <c r="O25" s="5">
        <f t="shared" ref="O25:O27" si="18">E25*F25</f>
        <v>0</v>
      </c>
    </row>
    <row r="26" spans="2:15" ht="33" customHeight="1" thickBot="1" x14ac:dyDescent="0.3">
      <c r="B26" s="34" t="s">
        <v>93</v>
      </c>
      <c r="C26" s="2">
        <f t="shared" si="15"/>
        <v>0</v>
      </c>
      <c r="D26" s="146"/>
      <c r="E26" s="147"/>
      <c r="F26" s="3">
        <v>1</v>
      </c>
      <c r="G26" s="4">
        <f t="shared" si="16"/>
        <v>0</v>
      </c>
      <c r="H26" s="152">
        <v>14</v>
      </c>
      <c r="I26" s="153">
        <v>14</v>
      </c>
      <c r="J26" s="35" t="s">
        <v>102</v>
      </c>
      <c r="K26" s="2" t="str">
        <f t="shared" ref="K26:K27" si="19">IF(C26&lt;10,"D",IF(C26&lt;12,"C",IF(C26&lt;14,"C+",IF(C26&lt;15,"B",IF(C26&lt;16,"B+",IF(C26&lt;18,"A",IF(C26&lt;20,"A+")))))))</f>
        <v>D</v>
      </c>
      <c r="L26" s="1"/>
      <c r="M26" s="1"/>
      <c r="N26" s="5">
        <f t="shared" si="17"/>
        <v>0</v>
      </c>
      <c r="O26" s="5">
        <f t="shared" si="18"/>
        <v>0</v>
      </c>
    </row>
    <row r="27" spans="2:15" ht="32.25" thickBot="1" x14ac:dyDescent="0.3">
      <c r="B27" s="102" t="s">
        <v>94</v>
      </c>
      <c r="C27" s="2">
        <f t="shared" si="15"/>
        <v>0</v>
      </c>
      <c r="D27" s="146"/>
      <c r="E27" s="147"/>
      <c r="F27" s="3">
        <v>1</v>
      </c>
      <c r="G27" s="4">
        <f t="shared" si="16"/>
        <v>0</v>
      </c>
      <c r="H27" s="152">
        <v>17</v>
      </c>
      <c r="I27" s="153">
        <v>17</v>
      </c>
      <c r="J27" s="35" t="s">
        <v>95</v>
      </c>
      <c r="K27" s="2" t="str">
        <f t="shared" si="19"/>
        <v>D</v>
      </c>
      <c r="L27" s="1"/>
      <c r="M27" s="1"/>
      <c r="N27" s="5">
        <f t="shared" si="17"/>
        <v>0</v>
      </c>
      <c r="O27" s="5">
        <f t="shared" si="18"/>
        <v>0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0</v>
      </c>
      <c r="O28" s="1">
        <f>SUM(O5:O27)</f>
        <v>0</v>
      </c>
    </row>
    <row r="29" spans="2:15" ht="16.5" thickBot="1" x14ac:dyDescent="0.3">
      <c r="B29" s="10" t="s">
        <v>12</v>
      </c>
      <c r="C29" s="144">
        <f>(SUM(G25:G27)/SUM(F25:F27))</f>
        <v>0</v>
      </c>
      <c r="D29" s="144"/>
      <c r="E29" s="144"/>
      <c r="F29" s="145" t="s">
        <v>9</v>
      </c>
      <c r="G29" s="145"/>
      <c r="H29" s="10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0</v>
      </c>
      <c r="O30" s="1">
        <f>O28/O29</f>
        <v>0</v>
      </c>
    </row>
    <row r="31" spans="2:15" ht="48" thickBot="1" x14ac:dyDescent="0.3">
      <c r="B31" s="7" t="s">
        <v>17</v>
      </c>
      <c r="C31" s="11" t="s">
        <v>18</v>
      </c>
      <c r="D31" s="10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79"/>
      <c r="C32" s="187" t="s">
        <v>104</v>
      </c>
      <c r="D32" s="187"/>
      <c r="E32" s="80"/>
      <c r="F32" s="80"/>
      <c r="G32" s="81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82" t="s">
        <v>21</v>
      </c>
      <c r="C33" s="188">
        <f>N30</f>
        <v>0</v>
      </c>
      <c r="D33" s="188"/>
      <c r="E33" s="83" t="s">
        <v>105</v>
      </c>
      <c r="F33" s="84">
        <f>(G5+G6+G7+G8+G12+G13+G14+G15+G19+G20+G21+G25+G26+G27)/30</f>
        <v>0</v>
      </c>
      <c r="G33" s="83" t="s">
        <v>22</v>
      </c>
      <c r="H33" s="170" t="s">
        <v>23</v>
      </c>
      <c r="I33" s="171"/>
      <c r="J33" s="15" t="s">
        <v>102</v>
      </c>
      <c r="K33" s="16" t="s">
        <v>112</v>
      </c>
      <c r="L33" s="1"/>
      <c r="M33" s="1"/>
      <c r="N33" s="1"/>
      <c r="O33" s="1"/>
    </row>
    <row r="34" spans="2:15" ht="15.75" x14ac:dyDescent="0.25">
      <c r="B34" s="82"/>
      <c r="C34" s="99"/>
      <c r="D34" s="99"/>
      <c r="E34" s="83"/>
      <c r="F34" s="84"/>
      <c r="G34" s="83"/>
      <c r="H34" s="105"/>
      <c r="I34" s="106"/>
      <c r="J34" s="15"/>
      <c r="K34" s="16"/>
      <c r="L34" s="1"/>
      <c r="M34" s="1"/>
      <c r="N34" s="1"/>
      <c r="O34" s="1"/>
    </row>
    <row r="35" spans="2:15" ht="22.5" customHeight="1" x14ac:dyDescent="0.25">
      <c r="B35" s="85" t="s">
        <v>106</v>
      </c>
      <c r="C35" s="86" t="s">
        <v>107</v>
      </c>
      <c r="D35" s="86" t="s">
        <v>108</v>
      </c>
      <c r="E35" s="87" t="s">
        <v>109</v>
      </c>
      <c r="F35" s="86">
        <f>AVERAGE(B36:C36:D36)</f>
        <v>0</v>
      </c>
      <c r="G35" s="88" t="s">
        <v>22</v>
      </c>
      <c r="H35" s="172" t="s">
        <v>110</v>
      </c>
      <c r="I35" s="173"/>
      <c r="J35" s="174" t="s">
        <v>111</v>
      </c>
      <c r="K35" s="175"/>
      <c r="L35" s="1"/>
      <c r="M35" s="1"/>
      <c r="N35" s="1"/>
      <c r="O35" s="1"/>
    </row>
    <row r="36" spans="2:15" ht="23.25" thickBot="1" x14ac:dyDescent="0.3">
      <c r="B36" s="89"/>
      <c r="C36" s="90"/>
      <c r="D36" s="90">
        <f>F33</f>
        <v>0</v>
      </c>
      <c r="E36" s="91"/>
      <c r="F36" s="92"/>
      <c r="G36" s="93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107" t="s">
        <v>29</v>
      </c>
      <c r="C40" s="179" t="str">
        <f>IF(F35&lt;10,"CNA",IF(F35&lt;12,"CMA",IF(F35&lt;14,"CA",IF(F35&lt;16,"CBA",IF(F35&lt;20,"CTBA")))))</f>
        <v>CNA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10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D14:E14"/>
    <mergeCell ref="D15:E15"/>
    <mergeCell ref="D19:E19"/>
    <mergeCell ref="J46:K46"/>
    <mergeCell ref="J47:K47"/>
    <mergeCell ref="D27:E27"/>
    <mergeCell ref="C32:D32"/>
    <mergeCell ref="C33:D33"/>
    <mergeCell ref="H35:I35"/>
    <mergeCell ref="J35:K35"/>
    <mergeCell ref="J43:K43"/>
    <mergeCell ref="F41:I41"/>
    <mergeCell ref="J41:K41"/>
    <mergeCell ref="F42:I42"/>
    <mergeCell ref="J42:K42"/>
    <mergeCell ref="C40:E42"/>
    <mergeCell ref="D6:E6"/>
    <mergeCell ref="D7:E7"/>
    <mergeCell ref="D8:E8"/>
    <mergeCell ref="D12:E12"/>
    <mergeCell ref="D13:E13"/>
    <mergeCell ref="F44:I44"/>
    <mergeCell ref="J44:K44"/>
    <mergeCell ref="C45:E48"/>
    <mergeCell ref="F45:I48"/>
    <mergeCell ref="J45:K45"/>
    <mergeCell ref="J48:K48"/>
    <mergeCell ref="C43:E44"/>
    <mergeCell ref="F43:I43"/>
    <mergeCell ref="B37:K37"/>
    <mergeCell ref="B38:K38"/>
    <mergeCell ref="C39:E39"/>
    <mergeCell ref="F39:K40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D25:E25"/>
    <mergeCell ref="D26:E26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20:E20"/>
    <mergeCell ref="D21:E21"/>
    <mergeCell ref="C23:E23"/>
    <mergeCell ref="F23:G23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4:E4"/>
    <mergeCell ref="D5:E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topLeftCell="A30" zoomScale="90" zoomScaleNormal="90" workbookViewId="0">
      <selection activeCell="B32" sqref="B32:G36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100" t="s">
        <v>0</v>
      </c>
      <c r="C4" s="101" t="s">
        <v>103</v>
      </c>
      <c r="D4" s="165" t="s">
        <v>104</v>
      </c>
      <c r="E4" s="166"/>
      <c r="F4" s="101" t="s">
        <v>1</v>
      </c>
      <c r="G4" s="100" t="s">
        <v>2</v>
      </c>
      <c r="H4" s="165" t="s">
        <v>3</v>
      </c>
      <c r="I4" s="166"/>
      <c r="J4" s="101" t="s">
        <v>4</v>
      </c>
      <c r="K4" s="101" t="s">
        <v>5</v>
      </c>
      <c r="L4" s="1"/>
      <c r="M4" s="1"/>
      <c r="N4" s="1"/>
      <c r="O4" s="1"/>
    </row>
    <row r="5" spans="2:15" ht="32.25" thickBot="1" x14ac:dyDescent="0.3">
      <c r="B5" s="102" t="s">
        <v>65</v>
      </c>
      <c r="C5" s="2">
        <f>D5</f>
        <v>14</v>
      </c>
      <c r="D5" s="146">
        <v>14</v>
      </c>
      <c r="E5" s="147">
        <v>14</v>
      </c>
      <c r="F5" s="3">
        <v>4</v>
      </c>
      <c r="G5" s="4">
        <f>C5*F5</f>
        <v>56</v>
      </c>
      <c r="H5" s="152">
        <v>13.5</v>
      </c>
      <c r="I5" s="153">
        <v>13.5</v>
      </c>
      <c r="J5" s="35" t="s">
        <v>117</v>
      </c>
      <c r="K5" s="2" t="str">
        <f>IF(C5&lt;10,"D",IF(C5&lt;12,"C",IF(C5&lt;14,"C+",IF(C5&lt;15,"B",IF(C5&lt;16,"B+",IF(C5&lt;18,"A",IF(C5&lt;20,"A+")))))))</f>
        <v>B</v>
      </c>
      <c r="L5" s="1"/>
      <c r="M5" s="1"/>
      <c r="N5" s="5">
        <f>D5*F5</f>
        <v>56</v>
      </c>
      <c r="O5" s="5">
        <f>E5*F5</f>
        <v>56</v>
      </c>
    </row>
    <row r="6" spans="2:15" ht="32.25" thickBot="1" x14ac:dyDescent="0.3">
      <c r="B6" s="102" t="s">
        <v>84</v>
      </c>
      <c r="C6" s="2">
        <f t="shared" ref="C6:C8" si="0">D6</f>
        <v>9</v>
      </c>
      <c r="D6" s="146">
        <v>9</v>
      </c>
      <c r="E6" s="147">
        <v>9</v>
      </c>
      <c r="F6" s="3">
        <v>2</v>
      </c>
      <c r="G6" s="4">
        <f t="shared" ref="G6:G8" si="1">C6*F6</f>
        <v>18</v>
      </c>
      <c r="H6" s="152">
        <v>10.25</v>
      </c>
      <c r="I6" s="153">
        <v>10.25</v>
      </c>
      <c r="J6" s="35" t="s">
        <v>118</v>
      </c>
      <c r="K6" s="2" t="str">
        <f t="shared" ref="K6:K8" si="2">IF(C6&lt;10,"D",IF(C6&lt;12,"C",IF(C6&lt;14,"C+",IF(C6&lt;15,"B",IF(C6&lt;16,"B+",IF(C6&lt;18,"A",IF(C6&lt;20,"A+")))))))</f>
        <v>D</v>
      </c>
      <c r="L6" s="1"/>
      <c r="M6" s="1"/>
      <c r="N6" s="5">
        <f t="shared" ref="N6:N8" si="3">D6*F6</f>
        <v>18</v>
      </c>
      <c r="O6" s="5">
        <f t="shared" ref="O6:O8" si="4">E6*F6</f>
        <v>18</v>
      </c>
    </row>
    <row r="7" spans="2:15" ht="32.25" thickBot="1" x14ac:dyDescent="0.3">
      <c r="B7" s="102" t="s">
        <v>85</v>
      </c>
      <c r="C7" s="2">
        <f t="shared" si="0"/>
        <v>11</v>
      </c>
      <c r="D7" s="146">
        <v>11</v>
      </c>
      <c r="E7" s="147">
        <v>11</v>
      </c>
      <c r="F7" s="3">
        <v>3</v>
      </c>
      <c r="G7" s="4">
        <f t="shared" si="1"/>
        <v>33</v>
      </c>
      <c r="H7" s="152">
        <v>11.375</v>
      </c>
      <c r="I7" s="153">
        <v>11.375</v>
      </c>
      <c r="J7" s="35" t="s">
        <v>117</v>
      </c>
      <c r="K7" s="2" t="str">
        <f t="shared" si="2"/>
        <v>C</v>
      </c>
      <c r="L7" s="1"/>
      <c r="M7" s="1"/>
      <c r="N7" s="5">
        <f t="shared" si="3"/>
        <v>33</v>
      </c>
      <c r="O7" s="5">
        <f t="shared" si="4"/>
        <v>33</v>
      </c>
    </row>
    <row r="8" spans="2:15" ht="48" thickBot="1" x14ac:dyDescent="0.3">
      <c r="B8" s="102" t="s">
        <v>86</v>
      </c>
      <c r="C8" s="2">
        <f t="shared" si="0"/>
        <v>10</v>
      </c>
      <c r="D8" s="146">
        <v>10</v>
      </c>
      <c r="E8" s="147">
        <v>10</v>
      </c>
      <c r="F8" s="3">
        <v>3</v>
      </c>
      <c r="G8" s="4">
        <f t="shared" si="1"/>
        <v>30</v>
      </c>
      <c r="H8" s="152">
        <v>10</v>
      </c>
      <c r="I8" s="153">
        <v>10</v>
      </c>
      <c r="J8" s="35" t="s">
        <v>118</v>
      </c>
      <c r="K8" s="2" t="str">
        <f t="shared" si="2"/>
        <v>C</v>
      </c>
      <c r="L8" s="1"/>
      <c r="M8" s="1"/>
      <c r="N8" s="5">
        <f t="shared" si="3"/>
        <v>30</v>
      </c>
      <c r="O8" s="5">
        <f t="shared" si="4"/>
        <v>30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11.416666666666666</v>
      </c>
      <c r="D10" s="144"/>
      <c r="E10" s="144"/>
      <c r="F10" s="154" t="s">
        <v>9</v>
      </c>
      <c r="G10" s="154"/>
      <c r="H10" s="10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102" t="s">
        <v>66</v>
      </c>
      <c r="C12" s="2">
        <f t="shared" ref="C12:C15" si="5">D12</f>
        <v>10.5</v>
      </c>
      <c r="D12" s="146">
        <v>10.5</v>
      </c>
      <c r="E12" s="147">
        <v>10.5</v>
      </c>
      <c r="F12" s="3">
        <v>2</v>
      </c>
      <c r="G12" s="4">
        <f t="shared" ref="G12:G15" si="6">C12*F12</f>
        <v>21</v>
      </c>
      <c r="H12" s="152">
        <v>9.375</v>
      </c>
      <c r="I12" s="153">
        <v>9.375</v>
      </c>
      <c r="J12" s="35" t="s">
        <v>118</v>
      </c>
      <c r="K12" s="2" t="str">
        <f>IF(C12&lt;10,"D",IF(C12&lt;12,"C",IF(C12&lt;14,"C+",IF(C12&lt;15,"B",IF(C12&lt;16,"B+",IF(C12&lt;18,"A",IF(C12&lt;20,"A+")))))))</f>
        <v>C</v>
      </c>
      <c r="L12" s="1"/>
      <c r="M12" s="1"/>
      <c r="N12" s="5">
        <f t="shared" ref="N12:N15" si="7">D12*F12</f>
        <v>21</v>
      </c>
      <c r="O12" s="5">
        <f t="shared" ref="O12:O15" si="8">E12*F12</f>
        <v>21</v>
      </c>
    </row>
    <row r="13" spans="2:15" ht="30.75" customHeight="1" thickBot="1" x14ac:dyDescent="0.3">
      <c r="B13" s="102" t="s">
        <v>67</v>
      </c>
      <c r="C13" s="2">
        <f t="shared" si="5"/>
        <v>8.5</v>
      </c>
      <c r="D13" s="146">
        <v>8.5</v>
      </c>
      <c r="E13" s="147">
        <v>8.5</v>
      </c>
      <c r="F13" s="3">
        <v>2</v>
      </c>
      <c r="G13" s="4">
        <f t="shared" si="6"/>
        <v>17</v>
      </c>
      <c r="H13" s="152">
        <v>9</v>
      </c>
      <c r="I13" s="153">
        <v>9</v>
      </c>
      <c r="J13" s="35" t="s">
        <v>120</v>
      </c>
      <c r="K13" s="2" t="str">
        <f t="shared" ref="K13:K15" si="9">IF(C13&lt;10,"D",IF(C13&lt;12,"C",IF(C13&lt;14,"C+",IF(C13&lt;15,"B",IF(C13&lt;16,"B+",IF(C13&lt;18,"A",IF(C13&lt;20,"A+")))))))</f>
        <v>D</v>
      </c>
      <c r="L13" s="1"/>
      <c r="M13" s="1"/>
      <c r="N13" s="5">
        <f t="shared" si="7"/>
        <v>17</v>
      </c>
      <c r="O13" s="5">
        <f t="shared" si="8"/>
        <v>17</v>
      </c>
    </row>
    <row r="14" spans="2:15" ht="32.25" thickBot="1" x14ac:dyDescent="0.3">
      <c r="B14" s="102" t="s">
        <v>87</v>
      </c>
      <c r="C14" s="2">
        <f t="shared" si="5"/>
        <v>9</v>
      </c>
      <c r="D14" s="146">
        <v>9</v>
      </c>
      <c r="E14" s="147">
        <v>9</v>
      </c>
      <c r="F14" s="3">
        <v>2</v>
      </c>
      <c r="G14" s="4">
        <f t="shared" si="6"/>
        <v>18</v>
      </c>
      <c r="H14" s="152">
        <v>9.5</v>
      </c>
      <c r="I14" s="153">
        <v>9.5</v>
      </c>
      <c r="J14" s="35" t="s">
        <v>118</v>
      </c>
      <c r="K14" s="2" t="str">
        <f t="shared" si="9"/>
        <v>D</v>
      </c>
      <c r="L14" s="1"/>
      <c r="M14" s="1"/>
      <c r="N14" s="5">
        <f t="shared" si="7"/>
        <v>18</v>
      </c>
      <c r="O14" s="5">
        <f t="shared" si="8"/>
        <v>18</v>
      </c>
    </row>
    <row r="15" spans="2:15" ht="32.25" thickBot="1" x14ac:dyDescent="0.3">
      <c r="B15" s="102" t="s">
        <v>88</v>
      </c>
      <c r="C15" s="2">
        <f t="shared" si="5"/>
        <v>10.5</v>
      </c>
      <c r="D15" s="146">
        <v>10.5</v>
      </c>
      <c r="E15" s="147">
        <v>10.5</v>
      </c>
      <c r="F15" s="3">
        <v>3</v>
      </c>
      <c r="G15" s="4">
        <f t="shared" si="6"/>
        <v>31.5</v>
      </c>
      <c r="H15" s="152">
        <v>10.375</v>
      </c>
      <c r="I15" s="153">
        <v>10.375</v>
      </c>
      <c r="J15" s="35" t="s">
        <v>118</v>
      </c>
      <c r="K15" s="2" t="str">
        <f t="shared" si="9"/>
        <v>C</v>
      </c>
      <c r="L15" s="1"/>
      <c r="M15" s="1"/>
      <c r="N15" s="5">
        <f t="shared" si="7"/>
        <v>31.5</v>
      </c>
      <c r="O15" s="5">
        <f t="shared" si="8"/>
        <v>31.5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9.7222222222222214</v>
      </c>
      <c r="D17" s="144"/>
      <c r="E17" s="144"/>
      <c r="F17" s="154" t="s">
        <v>9</v>
      </c>
      <c r="G17" s="154"/>
      <c r="H17" s="10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102" t="s">
        <v>89</v>
      </c>
      <c r="C19" s="2">
        <f t="shared" ref="C19:C21" si="10">D19</f>
        <v>8</v>
      </c>
      <c r="D19" s="146">
        <v>8</v>
      </c>
      <c r="E19" s="147">
        <v>8</v>
      </c>
      <c r="F19" s="3">
        <v>2</v>
      </c>
      <c r="G19" s="4">
        <f t="shared" ref="G19:G21" si="11">C19*F19</f>
        <v>16</v>
      </c>
      <c r="H19" s="152">
        <v>10.75</v>
      </c>
      <c r="I19" s="153">
        <v>10.75</v>
      </c>
      <c r="J19" s="35" t="s">
        <v>118</v>
      </c>
      <c r="K19" s="2" t="str">
        <f>IF(C19&lt;10,"D",IF(C19&lt;12,"C",IF(C19&lt;14,"C+",IF(C19&lt;15,"B",IF(C19&lt;16,"B+",IF(C19&lt;18,"A",IF(C19&lt;20,"A+")))))))</f>
        <v>D</v>
      </c>
      <c r="L19" s="1"/>
      <c r="M19" s="1"/>
      <c r="N19" s="5">
        <f t="shared" ref="N19:N21" si="12">D19*F19</f>
        <v>16</v>
      </c>
      <c r="O19" s="5">
        <f t="shared" ref="O19:O21" si="13">E19*F19</f>
        <v>16</v>
      </c>
    </row>
    <row r="20" spans="2:15" ht="32.25" thickBot="1" x14ac:dyDescent="0.3">
      <c r="B20" s="102" t="s">
        <v>90</v>
      </c>
      <c r="C20" s="2">
        <f t="shared" si="10"/>
        <v>12.5</v>
      </c>
      <c r="D20" s="146">
        <v>12.5</v>
      </c>
      <c r="E20" s="147">
        <v>12.5</v>
      </c>
      <c r="F20" s="3">
        <v>2</v>
      </c>
      <c r="G20" s="4">
        <f t="shared" si="11"/>
        <v>25</v>
      </c>
      <c r="H20" s="152">
        <v>9.875</v>
      </c>
      <c r="I20" s="153">
        <v>9.875</v>
      </c>
      <c r="J20" s="35" t="s">
        <v>95</v>
      </c>
      <c r="K20" s="2" t="str">
        <f t="shared" ref="K20:K21" si="14">IF(C20&lt;10,"D",IF(C20&lt;12,"C",IF(C20&lt;14,"C+",IF(C20&lt;15,"B",IF(C20&lt;16,"B+",IF(C20&lt;18,"A",IF(C20&lt;20,"A+")))))))</f>
        <v>C+</v>
      </c>
      <c r="L20" s="1"/>
      <c r="M20" s="1"/>
      <c r="N20" s="5">
        <f t="shared" si="12"/>
        <v>25</v>
      </c>
      <c r="O20" s="5">
        <f t="shared" si="13"/>
        <v>25</v>
      </c>
    </row>
    <row r="21" spans="2:15" ht="32.25" thickBot="1" x14ac:dyDescent="0.3">
      <c r="B21" s="102" t="s">
        <v>91</v>
      </c>
      <c r="C21" s="2">
        <f t="shared" si="10"/>
        <v>9.5</v>
      </c>
      <c r="D21" s="146">
        <v>9.5</v>
      </c>
      <c r="E21" s="147">
        <v>9.5</v>
      </c>
      <c r="F21" s="3">
        <v>1</v>
      </c>
      <c r="G21" s="4">
        <f t="shared" si="11"/>
        <v>9.5</v>
      </c>
      <c r="H21" s="152">
        <v>9.75</v>
      </c>
      <c r="I21" s="153">
        <v>9.75</v>
      </c>
      <c r="J21" s="35" t="s">
        <v>118</v>
      </c>
      <c r="K21" s="2" t="str">
        <f t="shared" si="14"/>
        <v>D</v>
      </c>
      <c r="L21" s="1"/>
      <c r="M21" s="1"/>
      <c r="N21" s="5">
        <f t="shared" si="12"/>
        <v>9.5</v>
      </c>
      <c r="O21" s="5">
        <f t="shared" si="13"/>
        <v>9.5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10.1</v>
      </c>
      <c r="D23" s="144"/>
      <c r="E23" s="144"/>
      <c r="F23" s="154" t="s">
        <v>9</v>
      </c>
      <c r="G23" s="154"/>
      <c r="H23" s="10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102" t="s">
        <v>92</v>
      </c>
      <c r="C25" s="2">
        <f t="shared" ref="C25:C27" si="15">D25</f>
        <v>15</v>
      </c>
      <c r="D25" s="146">
        <v>15</v>
      </c>
      <c r="E25" s="147">
        <v>15</v>
      </c>
      <c r="F25" s="3">
        <v>2</v>
      </c>
      <c r="G25" s="4">
        <f t="shared" ref="G25:G27" si="16">C25*F25</f>
        <v>30</v>
      </c>
      <c r="H25" s="152">
        <v>15.75</v>
      </c>
      <c r="I25" s="153">
        <v>15.75</v>
      </c>
      <c r="J25" s="35" t="s">
        <v>117</v>
      </c>
      <c r="K25" s="2" t="str">
        <f>IF(C25&lt;10,"D",IF(C25&lt;12,"C",IF(C25&lt;14,"C+",IF(C25&lt;15,"B",IF(C25&lt;16,"B+",IF(C25&lt;18,"A",IF(C25&lt;20,"A+")))))))</f>
        <v>B+</v>
      </c>
      <c r="L25" s="1"/>
      <c r="M25" s="1"/>
      <c r="N25" s="5">
        <f t="shared" ref="N25:N27" si="17">D25*F25</f>
        <v>30</v>
      </c>
      <c r="O25" s="5">
        <f t="shared" ref="O25:O27" si="18">E25*F25</f>
        <v>30</v>
      </c>
    </row>
    <row r="26" spans="2:15" ht="33" customHeight="1" thickBot="1" x14ac:dyDescent="0.3">
      <c r="B26" s="34" t="s">
        <v>93</v>
      </c>
      <c r="C26" s="2">
        <f t="shared" si="15"/>
        <v>14</v>
      </c>
      <c r="D26" s="146">
        <v>14</v>
      </c>
      <c r="E26" s="147">
        <v>14</v>
      </c>
      <c r="F26" s="3">
        <v>1</v>
      </c>
      <c r="G26" s="4">
        <f t="shared" si="16"/>
        <v>14</v>
      </c>
      <c r="H26" s="152">
        <v>14</v>
      </c>
      <c r="I26" s="153">
        <v>14</v>
      </c>
      <c r="J26" s="35" t="s">
        <v>95</v>
      </c>
      <c r="K26" s="2" t="str">
        <f t="shared" ref="K26:K27" si="19">IF(C26&lt;10,"D",IF(C26&lt;12,"C",IF(C26&lt;14,"C+",IF(C26&lt;15,"B",IF(C26&lt;16,"B+",IF(C26&lt;18,"A",IF(C26&lt;20,"A+")))))))</f>
        <v>B</v>
      </c>
      <c r="L26" s="1"/>
      <c r="M26" s="1"/>
      <c r="N26" s="5">
        <f t="shared" si="17"/>
        <v>14</v>
      </c>
      <c r="O26" s="5">
        <f t="shared" si="18"/>
        <v>14</v>
      </c>
    </row>
    <row r="27" spans="2:15" ht="32.25" thickBot="1" x14ac:dyDescent="0.3">
      <c r="B27" s="102" t="s">
        <v>94</v>
      </c>
      <c r="C27" s="2">
        <f t="shared" si="15"/>
        <v>17</v>
      </c>
      <c r="D27" s="146">
        <v>17</v>
      </c>
      <c r="E27" s="147">
        <v>17</v>
      </c>
      <c r="F27" s="3">
        <v>1</v>
      </c>
      <c r="G27" s="4">
        <f t="shared" si="16"/>
        <v>17</v>
      </c>
      <c r="H27" s="152">
        <v>17</v>
      </c>
      <c r="I27" s="153">
        <v>17</v>
      </c>
      <c r="J27" s="35" t="s">
        <v>95</v>
      </c>
      <c r="K27" s="2" t="str">
        <f t="shared" si="19"/>
        <v>A</v>
      </c>
      <c r="L27" s="1"/>
      <c r="M27" s="1"/>
      <c r="N27" s="5">
        <f t="shared" si="17"/>
        <v>17</v>
      </c>
      <c r="O27" s="5">
        <f t="shared" si="18"/>
        <v>17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336</v>
      </c>
      <c r="O28" s="1">
        <f>SUM(O5:O27)</f>
        <v>336</v>
      </c>
    </row>
    <row r="29" spans="2:15" ht="16.5" thickBot="1" x14ac:dyDescent="0.3">
      <c r="B29" s="10" t="s">
        <v>12</v>
      </c>
      <c r="C29" s="144">
        <f>(SUM(G25:G27)/SUM(F25:F27))</f>
        <v>15.25</v>
      </c>
      <c r="D29" s="144"/>
      <c r="E29" s="144"/>
      <c r="F29" s="145" t="s">
        <v>9</v>
      </c>
      <c r="G29" s="145"/>
      <c r="H29" s="10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11.2</v>
      </c>
      <c r="O30" s="1">
        <f>O28/O29</f>
        <v>11.2</v>
      </c>
    </row>
    <row r="31" spans="2:15" ht="48" thickBot="1" x14ac:dyDescent="0.3">
      <c r="B31" s="7" t="s">
        <v>17</v>
      </c>
      <c r="C31" s="11" t="s">
        <v>18</v>
      </c>
      <c r="D31" s="10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189"/>
      <c r="C32" s="190" t="s">
        <v>104</v>
      </c>
      <c r="D32" s="190"/>
      <c r="E32" s="191"/>
      <c r="F32" s="191"/>
      <c r="G32" s="192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193" t="s">
        <v>21</v>
      </c>
      <c r="C33" s="194">
        <f>N30</f>
        <v>11.2</v>
      </c>
      <c r="D33" s="194"/>
      <c r="E33" s="195" t="s">
        <v>105</v>
      </c>
      <c r="F33" s="196">
        <f>(G5+G6+G7+G8+G12+G13+G14+G15+G19+G20+G21+G25+G26+G27)/30</f>
        <v>11.2</v>
      </c>
      <c r="G33" s="195" t="s">
        <v>22</v>
      </c>
      <c r="H33" s="170" t="s">
        <v>23</v>
      </c>
      <c r="I33" s="171"/>
      <c r="J33" s="15" t="s">
        <v>120</v>
      </c>
      <c r="K33" s="16" t="s">
        <v>112</v>
      </c>
      <c r="L33" s="1"/>
      <c r="M33" s="1"/>
      <c r="N33" s="1"/>
      <c r="O33" s="1"/>
    </row>
    <row r="34" spans="2:15" ht="15.75" x14ac:dyDescent="0.25">
      <c r="B34" s="193"/>
      <c r="C34" s="197"/>
      <c r="D34" s="197"/>
      <c r="E34" s="195"/>
      <c r="F34" s="196"/>
      <c r="G34" s="195"/>
      <c r="H34" s="105"/>
      <c r="I34" s="106"/>
      <c r="J34" s="15"/>
      <c r="K34" s="16"/>
      <c r="L34" s="1"/>
      <c r="M34" s="1"/>
      <c r="N34" s="1"/>
      <c r="O34" s="1"/>
    </row>
    <row r="35" spans="2:15" ht="22.5" customHeight="1" x14ac:dyDescent="0.25">
      <c r="B35" s="198" t="s">
        <v>106</v>
      </c>
      <c r="C35" s="199" t="s">
        <v>107</v>
      </c>
      <c r="D35" s="199" t="s">
        <v>108</v>
      </c>
      <c r="E35" s="200" t="s">
        <v>109</v>
      </c>
      <c r="F35" s="199">
        <f>AVERAGE(B36:C36:D36)</f>
        <v>10.3</v>
      </c>
      <c r="G35" s="201" t="s">
        <v>22</v>
      </c>
      <c r="H35" s="172" t="s">
        <v>110</v>
      </c>
      <c r="I35" s="173"/>
      <c r="J35" s="174" t="s">
        <v>123</v>
      </c>
      <c r="K35" s="175"/>
      <c r="L35" s="1"/>
      <c r="M35" s="1"/>
      <c r="N35" s="1"/>
      <c r="O35" s="1"/>
    </row>
    <row r="36" spans="2:15" ht="23.25" thickBot="1" x14ac:dyDescent="0.3">
      <c r="B36" s="207">
        <v>9.7200000000000006</v>
      </c>
      <c r="C36" s="203">
        <v>9.98</v>
      </c>
      <c r="D36" s="203">
        <f>F33</f>
        <v>11.2</v>
      </c>
      <c r="E36" s="204"/>
      <c r="F36" s="205"/>
      <c r="G36" s="206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107" t="s">
        <v>29</v>
      </c>
      <c r="C40" s="179" t="str">
        <f>IF(F35&lt;10,"CNA",IF(F35&lt;12,"CMA",IF(F35&lt;14,"CA",IF(F35&lt;16,"CBA",IF(F35&lt;20,"CTBA")))))</f>
        <v>CMA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10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D14:E14"/>
    <mergeCell ref="D15:E15"/>
    <mergeCell ref="D19:E19"/>
    <mergeCell ref="J46:K46"/>
    <mergeCell ref="J47:K47"/>
    <mergeCell ref="D27:E27"/>
    <mergeCell ref="C32:D32"/>
    <mergeCell ref="C33:D33"/>
    <mergeCell ref="H35:I35"/>
    <mergeCell ref="J35:K35"/>
    <mergeCell ref="J43:K43"/>
    <mergeCell ref="F41:I41"/>
    <mergeCell ref="J41:K41"/>
    <mergeCell ref="F42:I42"/>
    <mergeCell ref="J42:K42"/>
    <mergeCell ref="C40:E42"/>
    <mergeCell ref="D6:E6"/>
    <mergeCell ref="D7:E7"/>
    <mergeCell ref="D8:E8"/>
    <mergeCell ref="D12:E12"/>
    <mergeCell ref="D13:E13"/>
    <mergeCell ref="F44:I44"/>
    <mergeCell ref="J44:K44"/>
    <mergeCell ref="C45:E48"/>
    <mergeCell ref="F45:I48"/>
    <mergeCell ref="J45:K45"/>
    <mergeCell ref="J48:K48"/>
    <mergeCell ref="C43:E44"/>
    <mergeCell ref="F43:I43"/>
    <mergeCell ref="B37:K37"/>
    <mergeCell ref="B38:K38"/>
    <mergeCell ref="C39:E39"/>
    <mergeCell ref="F39:K40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D25:E25"/>
    <mergeCell ref="D26:E26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20:E20"/>
    <mergeCell ref="D21:E21"/>
    <mergeCell ref="C23:E23"/>
    <mergeCell ref="F23:G23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4:E4"/>
    <mergeCell ref="D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topLeftCell="A26" zoomScaleNormal="100" workbookViewId="0">
      <selection activeCell="B32" sqref="B32:G36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100" t="s">
        <v>0</v>
      </c>
      <c r="C4" s="101" t="s">
        <v>103</v>
      </c>
      <c r="D4" s="165" t="s">
        <v>104</v>
      </c>
      <c r="E4" s="166"/>
      <c r="F4" s="101" t="s">
        <v>1</v>
      </c>
      <c r="G4" s="100" t="s">
        <v>2</v>
      </c>
      <c r="H4" s="165" t="s">
        <v>3</v>
      </c>
      <c r="I4" s="166"/>
      <c r="J4" s="101" t="s">
        <v>4</v>
      </c>
      <c r="K4" s="101" t="s">
        <v>5</v>
      </c>
      <c r="L4" s="1"/>
      <c r="M4" s="1"/>
      <c r="N4" s="1"/>
      <c r="O4" s="1"/>
    </row>
    <row r="5" spans="2:15" ht="32.25" thickBot="1" x14ac:dyDescent="0.3">
      <c r="B5" s="102" t="s">
        <v>65</v>
      </c>
      <c r="C5" s="2">
        <f>D5</f>
        <v>8</v>
      </c>
      <c r="D5" s="146">
        <v>8</v>
      </c>
      <c r="E5" s="147">
        <v>8</v>
      </c>
      <c r="F5" s="3">
        <v>4</v>
      </c>
      <c r="G5" s="4">
        <f>C5*F5</f>
        <v>32</v>
      </c>
      <c r="H5" s="152">
        <v>13.5</v>
      </c>
      <c r="I5" s="153">
        <v>13.5</v>
      </c>
      <c r="J5" s="35" t="s">
        <v>119</v>
      </c>
      <c r="K5" s="2" t="str">
        <f>IF(C5&lt;10,"D",IF(C5&lt;12,"C",IF(C5&lt;14,"C+",IF(C5&lt;15,"B",IF(C5&lt;16,"B+",IF(C5&lt;18,"A",IF(C5&lt;20,"A+")))))))</f>
        <v>D</v>
      </c>
      <c r="L5" s="1"/>
      <c r="M5" s="1"/>
      <c r="N5" s="5">
        <f>D5*F5</f>
        <v>32</v>
      </c>
      <c r="O5" s="5">
        <f>E5*F5</f>
        <v>32</v>
      </c>
    </row>
    <row r="6" spans="2:15" ht="32.25" thickBot="1" x14ac:dyDescent="0.3">
      <c r="B6" s="102" t="s">
        <v>84</v>
      </c>
      <c r="C6" s="2">
        <f t="shared" ref="C6:C8" si="0">D6</f>
        <v>8</v>
      </c>
      <c r="D6" s="146">
        <v>8</v>
      </c>
      <c r="E6" s="147">
        <v>8</v>
      </c>
      <c r="F6" s="3">
        <v>2</v>
      </c>
      <c r="G6" s="4">
        <f t="shared" ref="G6:G8" si="1">C6*F6</f>
        <v>16</v>
      </c>
      <c r="H6" s="152">
        <v>10.25</v>
      </c>
      <c r="I6" s="153">
        <v>10.25</v>
      </c>
      <c r="J6" s="35" t="s">
        <v>119</v>
      </c>
      <c r="K6" s="2" t="str">
        <f t="shared" ref="K6:K8" si="2">IF(C6&lt;10,"D",IF(C6&lt;12,"C",IF(C6&lt;14,"C+",IF(C6&lt;15,"B",IF(C6&lt;16,"B+",IF(C6&lt;18,"A",IF(C6&lt;20,"A+")))))))</f>
        <v>D</v>
      </c>
      <c r="L6" s="1"/>
      <c r="M6" s="1"/>
      <c r="N6" s="5">
        <f t="shared" ref="N6:N8" si="3">D6*F6</f>
        <v>16</v>
      </c>
      <c r="O6" s="5">
        <f t="shared" ref="O6:O8" si="4">E6*F6</f>
        <v>16</v>
      </c>
    </row>
    <row r="7" spans="2:15" ht="32.25" thickBot="1" x14ac:dyDescent="0.3">
      <c r="B7" s="102" t="s">
        <v>85</v>
      </c>
      <c r="C7" s="2">
        <f t="shared" si="0"/>
        <v>8.5</v>
      </c>
      <c r="D7" s="146">
        <v>8.5</v>
      </c>
      <c r="E7" s="147">
        <v>8.5</v>
      </c>
      <c r="F7" s="3">
        <v>3</v>
      </c>
      <c r="G7" s="4">
        <f t="shared" si="1"/>
        <v>25.5</v>
      </c>
      <c r="H7" s="152">
        <v>11.375</v>
      </c>
      <c r="I7" s="153">
        <v>11.375</v>
      </c>
      <c r="J7" s="35" t="s">
        <v>119</v>
      </c>
      <c r="K7" s="2" t="str">
        <f t="shared" si="2"/>
        <v>D</v>
      </c>
      <c r="L7" s="1"/>
      <c r="M7" s="1"/>
      <c r="N7" s="5">
        <f t="shared" si="3"/>
        <v>25.5</v>
      </c>
      <c r="O7" s="5">
        <f t="shared" si="4"/>
        <v>25.5</v>
      </c>
    </row>
    <row r="8" spans="2:15" ht="48" thickBot="1" x14ac:dyDescent="0.3">
      <c r="B8" s="102" t="s">
        <v>86</v>
      </c>
      <c r="C8" s="2">
        <f t="shared" si="0"/>
        <v>7</v>
      </c>
      <c r="D8" s="146">
        <v>7</v>
      </c>
      <c r="E8" s="147">
        <v>7</v>
      </c>
      <c r="F8" s="3">
        <v>3</v>
      </c>
      <c r="G8" s="4">
        <f t="shared" si="1"/>
        <v>21</v>
      </c>
      <c r="H8" s="152">
        <v>10</v>
      </c>
      <c r="I8" s="153">
        <v>10</v>
      </c>
      <c r="J8" s="35" t="s">
        <v>119</v>
      </c>
      <c r="K8" s="2" t="str">
        <f t="shared" si="2"/>
        <v>D</v>
      </c>
      <c r="L8" s="1"/>
      <c r="M8" s="1"/>
      <c r="N8" s="5">
        <f t="shared" si="3"/>
        <v>21</v>
      </c>
      <c r="O8" s="5">
        <f t="shared" si="4"/>
        <v>21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7.875</v>
      </c>
      <c r="D10" s="144"/>
      <c r="E10" s="144"/>
      <c r="F10" s="154" t="s">
        <v>9</v>
      </c>
      <c r="G10" s="154"/>
      <c r="H10" s="10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102" t="s">
        <v>66</v>
      </c>
      <c r="C12" s="2">
        <f t="shared" ref="C12:C15" si="5">D12</f>
        <v>7</v>
      </c>
      <c r="D12" s="146">
        <v>7</v>
      </c>
      <c r="E12" s="147">
        <v>7</v>
      </c>
      <c r="F12" s="3">
        <v>2</v>
      </c>
      <c r="G12" s="4">
        <f t="shared" ref="G12:G15" si="6">C12*F12</f>
        <v>14</v>
      </c>
      <c r="H12" s="152">
        <v>9.375</v>
      </c>
      <c r="I12" s="153">
        <v>9.375</v>
      </c>
      <c r="J12" s="35" t="s">
        <v>119</v>
      </c>
      <c r="K12" s="2" t="str">
        <f>IF(C12&lt;10,"D",IF(C12&lt;12,"C",IF(C12&lt;14,"C+",IF(C12&lt;15,"B",IF(C12&lt;16,"B+",IF(C12&lt;18,"A",IF(C12&lt;20,"A+")))))))</f>
        <v>D</v>
      </c>
      <c r="L12" s="1"/>
      <c r="M12" s="1"/>
      <c r="N12" s="5">
        <f t="shared" ref="N12:N15" si="7">D12*F12</f>
        <v>14</v>
      </c>
      <c r="O12" s="5">
        <f t="shared" ref="O12:O15" si="8">E12*F12</f>
        <v>14</v>
      </c>
    </row>
    <row r="13" spans="2:15" ht="30.75" customHeight="1" thickBot="1" x14ac:dyDescent="0.3">
      <c r="B13" s="102" t="s">
        <v>67</v>
      </c>
      <c r="C13" s="2">
        <f t="shared" si="5"/>
        <v>7</v>
      </c>
      <c r="D13" s="146">
        <v>7</v>
      </c>
      <c r="E13" s="147">
        <v>7</v>
      </c>
      <c r="F13" s="3">
        <v>2</v>
      </c>
      <c r="G13" s="4">
        <f t="shared" si="6"/>
        <v>14</v>
      </c>
      <c r="H13" s="152">
        <v>9</v>
      </c>
      <c r="I13" s="153">
        <v>9</v>
      </c>
      <c r="J13" s="35" t="s">
        <v>119</v>
      </c>
      <c r="K13" s="2" t="str">
        <f t="shared" ref="K13:K15" si="9">IF(C13&lt;10,"D",IF(C13&lt;12,"C",IF(C13&lt;14,"C+",IF(C13&lt;15,"B",IF(C13&lt;16,"B+",IF(C13&lt;18,"A",IF(C13&lt;20,"A+")))))))</f>
        <v>D</v>
      </c>
      <c r="L13" s="1"/>
      <c r="M13" s="1"/>
      <c r="N13" s="5">
        <f t="shared" si="7"/>
        <v>14</v>
      </c>
      <c r="O13" s="5">
        <f t="shared" si="8"/>
        <v>14</v>
      </c>
    </row>
    <row r="14" spans="2:15" ht="32.25" thickBot="1" x14ac:dyDescent="0.3">
      <c r="B14" s="102" t="s">
        <v>87</v>
      </c>
      <c r="C14" s="2">
        <f t="shared" si="5"/>
        <v>8</v>
      </c>
      <c r="D14" s="146">
        <v>8</v>
      </c>
      <c r="E14" s="147">
        <v>8</v>
      </c>
      <c r="F14" s="3">
        <v>2</v>
      </c>
      <c r="G14" s="4">
        <f t="shared" si="6"/>
        <v>16</v>
      </c>
      <c r="H14" s="152">
        <v>9.5</v>
      </c>
      <c r="I14" s="153">
        <v>9.5</v>
      </c>
      <c r="J14" s="35" t="s">
        <v>119</v>
      </c>
      <c r="K14" s="2" t="str">
        <f t="shared" si="9"/>
        <v>D</v>
      </c>
      <c r="L14" s="1"/>
      <c r="M14" s="1"/>
      <c r="N14" s="5">
        <f t="shared" si="7"/>
        <v>16</v>
      </c>
      <c r="O14" s="5">
        <f t="shared" si="8"/>
        <v>16</v>
      </c>
    </row>
    <row r="15" spans="2:15" ht="32.25" thickBot="1" x14ac:dyDescent="0.3">
      <c r="B15" s="102" t="s">
        <v>88</v>
      </c>
      <c r="C15" s="2">
        <f t="shared" si="5"/>
        <v>7.5</v>
      </c>
      <c r="D15" s="146">
        <v>7.5</v>
      </c>
      <c r="E15" s="147">
        <v>7.5</v>
      </c>
      <c r="F15" s="3">
        <v>3</v>
      </c>
      <c r="G15" s="4">
        <f t="shared" si="6"/>
        <v>22.5</v>
      </c>
      <c r="H15" s="152">
        <v>10.375</v>
      </c>
      <c r="I15" s="153">
        <v>10.375</v>
      </c>
      <c r="J15" s="35" t="s">
        <v>119</v>
      </c>
      <c r="K15" s="2" t="str">
        <f t="shared" si="9"/>
        <v>D</v>
      </c>
      <c r="L15" s="1"/>
      <c r="M15" s="1"/>
      <c r="N15" s="5">
        <f t="shared" si="7"/>
        <v>22.5</v>
      </c>
      <c r="O15" s="5">
        <f t="shared" si="8"/>
        <v>22.5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7.3888888888888893</v>
      </c>
      <c r="D17" s="144"/>
      <c r="E17" s="144"/>
      <c r="F17" s="154" t="s">
        <v>9</v>
      </c>
      <c r="G17" s="154"/>
      <c r="H17" s="10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102" t="s">
        <v>89</v>
      </c>
      <c r="C19" s="2">
        <f t="shared" ref="C19:C21" si="10">D19</f>
        <v>9</v>
      </c>
      <c r="D19" s="146">
        <v>9</v>
      </c>
      <c r="E19" s="147">
        <v>9</v>
      </c>
      <c r="F19" s="3">
        <v>2</v>
      </c>
      <c r="G19" s="4">
        <f t="shared" ref="G19:G21" si="11">C19*F19</f>
        <v>18</v>
      </c>
      <c r="H19" s="152">
        <v>10.75</v>
      </c>
      <c r="I19" s="153">
        <v>10.75</v>
      </c>
      <c r="J19" s="35" t="s">
        <v>119</v>
      </c>
      <c r="K19" s="2" t="str">
        <f>IF(C19&lt;10,"D",IF(C19&lt;12,"C",IF(C19&lt;14,"C+",IF(C19&lt;15,"B",IF(C19&lt;16,"B+",IF(C19&lt;18,"A",IF(C19&lt;20,"A+")))))))</f>
        <v>D</v>
      </c>
      <c r="L19" s="1"/>
      <c r="M19" s="1"/>
      <c r="N19" s="5">
        <f t="shared" ref="N19:N21" si="12">D19*F19</f>
        <v>18</v>
      </c>
      <c r="O19" s="5">
        <f t="shared" ref="O19:O21" si="13">E19*F19</f>
        <v>18</v>
      </c>
    </row>
    <row r="20" spans="2:15" ht="32.25" thickBot="1" x14ac:dyDescent="0.3">
      <c r="B20" s="102" t="s">
        <v>90</v>
      </c>
      <c r="C20" s="2">
        <f t="shared" si="10"/>
        <v>8</v>
      </c>
      <c r="D20" s="146">
        <v>8</v>
      </c>
      <c r="E20" s="147">
        <v>8</v>
      </c>
      <c r="F20" s="3">
        <v>2</v>
      </c>
      <c r="G20" s="4">
        <f t="shared" si="11"/>
        <v>16</v>
      </c>
      <c r="H20" s="152">
        <v>9.875</v>
      </c>
      <c r="I20" s="153">
        <v>9.875</v>
      </c>
      <c r="J20" s="35" t="s">
        <v>118</v>
      </c>
      <c r="K20" s="2" t="str">
        <f t="shared" ref="K20:K21" si="14">IF(C20&lt;10,"D",IF(C20&lt;12,"C",IF(C20&lt;14,"C+",IF(C20&lt;15,"B",IF(C20&lt;16,"B+",IF(C20&lt;18,"A",IF(C20&lt;20,"A+")))))))</f>
        <v>D</v>
      </c>
      <c r="L20" s="1"/>
      <c r="M20" s="1"/>
      <c r="N20" s="5">
        <f t="shared" si="12"/>
        <v>16</v>
      </c>
      <c r="O20" s="5">
        <f t="shared" si="13"/>
        <v>16</v>
      </c>
    </row>
    <row r="21" spans="2:15" ht="32.25" thickBot="1" x14ac:dyDescent="0.3">
      <c r="B21" s="102" t="s">
        <v>91</v>
      </c>
      <c r="C21" s="2">
        <f t="shared" si="10"/>
        <v>7.5</v>
      </c>
      <c r="D21" s="146">
        <v>7.5</v>
      </c>
      <c r="E21" s="147">
        <v>7.5</v>
      </c>
      <c r="F21" s="3">
        <v>1</v>
      </c>
      <c r="G21" s="4">
        <f t="shared" si="11"/>
        <v>7.5</v>
      </c>
      <c r="H21" s="152">
        <v>9.75</v>
      </c>
      <c r="I21" s="153">
        <v>9.75</v>
      </c>
      <c r="J21" s="35" t="s">
        <v>119</v>
      </c>
      <c r="K21" s="2" t="str">
        <f t="shared" si="14"/>
        <v>D</v>
      </c>
      <c r="L21" s="1"/>
      <c r="M21" s="1"/>
      <c r="N21" s="5">
        <f t="shared" si="12"/>
        <v>7.5</v>
      </c>
      <c r="O21" s="5">
        <f t="shared" si="13"/>
        <v>7.5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8.3000000000000007</v>
      </c>
      <c r="D23" s="144"/>
      <c r="E23" s="144"/>
      <c r="F23" s="154" t="s">
        <v>9</v>
      </c>
      <c r="G23" s="154"/>
      <c r="H23" s="10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102" t="s">
        <v>92</v>
      </c>
      <c r="C25" s="2">
        <f t="shared" ref="C25:C27" si="15">D25</f>
        <v>16</v>
      </c>
      <c r="D25" s="146">
        <v>16</v>
      </c>
      <c r="E25" s="147">
        <v>16</v>
      </c>
      <c r="F25" s="3">
        <v>2</v>
      </c>
      <c r="G25" s="4">
        <f t="shared" ref="G25:G27" si="16">C25*F25</f>
        <v>32</v>
      </c>
      <c r="H25" s="152">
        <v>15.75</v>
      </c>
      <c r="I25" s="153">
        <v>15.75</v>
      </c>
      <c r="J25" s="35" t="s">
        <v>95</v>
      </c>
      <c r="K25" s="2" t="str">
        <f>IF(C25&lt;10,"D",IF(C25&lt;12,"C",IF(C25&lt;14,"C+",IF(C25&lt;15,"B",IF(C25&lt;16,"B+",IF(C25&lt;18,"A",IF(C25&lt;20,"A+")))))))</f>
        <v>A</v>
      </c>
      <c r="L25" s="1"/>
      <c r="M25" s="1"/>
      <c r="N25" s="5">
        <f t="shared" ref="N25:N27" si="17">D25*F25</f>
        <v>32</v>
      </c>
      <c r="O25" s="5">
        <f t="shared" ref="O25:O27" si="18">E25*F25</f>
        <v>32</v>
      </c>
    </row>
    <row r="26" spans="2:15" ht="33" customHeight="1" thickBot="1" x14ac:dyDescent="0.3">
      <c r="B26" s="34" t="s">
        <v>93</v>
      </c>
      <c r="C26" s="2">
        <f t="shared" si="15"/>
        <v>14</v>
      </c>
      <c r="D26" s="146">
        <v>14</v>
      </c>
      <c r="E26" s="147">
        <v>14</v>
      </c>
      <c r="F26" s="3">
        <v>1</v>
      </c>
      <c r="G26" s="4">
        <f t="shared" si="16"/>
        <v>14</v>
      </c>
      <c r="H26" s="152">
        <v>14</v>
      </c>
      <c r="I26" s="153">
        <v>14</v>
      </c>
      <c r="J26" s="35" t="s">
        <v>95</v>
      </c>
      <c r="K26" s="2" t="str">
        <f t="shared" ref="K26:K27" si="19">IF(C26&lt;10,"D",IF(C26&lt;12,"C",IF(C26&lt;14,"C+",IF(C26&lt;15,"B",IF(C26&lt;16,"B+",IF(C26&lt;18,"A",IF(C26&lt;20,"A+")))))))</f>
        <v>B</v>
      </c>
      <c r="L26" s="1"/>
      <c r="M26" s="1"/>
      <c r="N26" s="5">
        <f t="shared" si="17"/>
        <v>14</v>
      </c>
      <c r="O26" s="5">
        <f t="shared" si="18"/>
        <v>14</v>
      </c>
    </row>
    <row r="27" spans="2:15" ht="32.25" thickBot="1" x14ac:dyDescent="0.3">
      <c r="B27" s="102" t="s">
        <v>94</v>
      </c>
      <c r="C27" s="2">
        <f t="shared" si="15"/>
        <v>17</v>
      </c>
      <c r="D27" s="146">
        <v>17</v>
      </c>
      <c r="E27" s="147">
        <v>17</v>
      </c>
      <c r="F27" s="3">
        <v>1</v>
      </c>
      <c r="G27" s="4">
        <f t="shared" si="16"/>
        <v>17</v>
      </c>
      <c r="H27" s="152">
        <v>17</v>
      </c>
      <c r="I27" s="153">
        <v>17</v>
      </c>
      <c r="J27" s="35" t="s">
        <v>95</v>
      </c>
      <c r="K27" s="2" t="str">
        <f t="shared" si="19"/>
        <v>A</v>
      </c>
      <c r="L27" s="1"/>
      <c r="M27" s="1"/>
      <c r="N27" s="5">
        <f t="shared" si="17"/>
        <v>17</v>
      </c>
      <c r="O27" s="5">
        <f t="shared" si="18"/>
        <v>17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265.5</v>
      </c>
      <c r="O28" s="1">
        <f>SUM(O5:O27)</f>
        <v>265.5</v>
      </c>
    </row>
    <row r="29" spans="2:15" ht="16.5" thickBot="1" x14ac:dyDescent="0.3">
      <c r="B29" s="10" t="s">
        <v>12</v>
      </c>
      <c r="C29" s="144">
        <f>(SUM(G25:G27)/SUM(F25:F27))</f>
        <v>15.75</v>
      </c>
      <c r="D29" s="144"/>
      <c r="E29" s="144"/>
      <c r="F29" s="145" t="s">
        <v>9</v>
      </c>
      <c r="G29" s="145"/>
      <c r="H29" s="10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8.85</v>
      </c>
      <c r="O30" s="1">
        <f>O28/O29</f>
        <v>8.85</v>
      </c>
    </row>
    <row r="31" spans="2:15" ht="48" thickBot="1" x14ac:dyDescent="0.3">
      <c r="B31" s="7" t="s">
        <v>17</v>
      </c>
      <c r="C31" s="11" t="s">
        <v>18</v>
      </c>
      <c r="D31" s="10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189"/>
      <c r="C32" s="190" t="s">
        <v>104</v>
      </c>
      <c r="D32" s="190"/>
      <c r="E32" s="191"/>
      <c r="F32" s="191"/>
      <c r="G32" s="192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193" t="s">
        <v>21</v>
      </c>
      <c r="C33" s="194">
        <f>N30</f>
        <v>8.85</v>
      </c>
      <c r="D33" s="194"/>
      <c r="E33" s="195" t="s">
        <v>105</v>
      </c>
      <c r="F33" s="196">
        <f>(G5+G6+G7+G8+G12+G13+G14+G15+G19+G20+G21+G25+G26+G27)/30</f>
        <v>8.85</v>
      </c>
      <c r="G33" s="195" t="s">
        <v>22</v>
      </c>
      <c r="H33" s="170" t="s">
        <v>23</v>
      </c>
      <c r="I33" s="171"/>
      <c r="J33" s="15" t="s">
        <v>119</v>
      </c>
      <c r="K33" s="16" t="s">
        <v>112</v>
      </c>
      <c r="L33" s="1"/>
      <c r="M33" s="1"/>
      <c r="N33" s="1"/>
      <c r="O33" s="1"/>
    </row>
    <row r="34" spans="2:15" ht="15.75" x14ac:dyDescent="0.25">
      <c r="B34" s="193"/>
      <c r="C34" s="197"/>
      <c r="D34" s="197"/>
      <c r="E34" s="195"/>
      <c r="F34" s="196"/>
      <c r="G34" s="195"/>
      <c r="H34" s="105"/>
      <c r="I34" s="106"/>
      <c r="J34" s="15"/>
      <c r="K34" s="16"/>
      <c r="L34" s="1"/>
      <c r="M34" s="1"/>
      <c r="N34" s="1"/>
      <c r="O34" s="1"/>
    </row>
    <row r="35" spans="2:15" ht="22.5" customHeight="1" x14ac:dyDescent="0.25">
      <c r="B35" s="198" t="s">
        <v>106</v>
      </c>
      <c r="C35" s="199" t="s">
        <v>107</v>
      </c>
      <c r="D35" s="199" t="s">
        <v>108</v>
      </c>
      <c r="E35" s="200" t="s">
        <v>109</v>
      </c>
      <c r="F35" s="199">
        <f>AVERAGE(B36:C36:D36)</f>
        <v>9.0566666666666666</v>
      </c>
      <c r="G35" s="201" t="s">
        <v>22</v>
      </c>
      <c r="H35" s="172" t="s">
        <v>110</v>
      </c>
      <c r="I35" s="173"/>
      <c r="J35" s="174" t="s">
        <v>121</v>
      </c>
      <c r="K35" s="175"/>
      <c r="L35" s="1"/>
      <c r="M35" s="1"/>
      <c r="N35" s="1"/>
      <c r="O35" s="1"/>
    </row>
    <row r="36" spans="2:15" ht="23.25" thickBot="1" x14ac:dyDescent="0.3">
      <c r="B36" s="207">
        <v>8.92</v>
      </c>
      <c r="C36" s="203">
        <v>9.4</v>
      </c>
      <c r="D36" s="203">
        <f>F33</f>
        <v>8.85</v>
      </c>
      <c r="E36" s="204"/>
      <c r="F36" s="205"/>
      <c r="G36" s="206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107" t="s">
        <v>29</v>
      </c>
      <c r="C40" s="179" t="str">
        <f>IF(F35&lt;10,"CNA",IF(F35&lt;12,"CMA",IF(F35&lt;14,"CA",IF(F35&lt;16,"CBA",IF(F35&lt;20,"CTBA")))))</f>
        <v>CNA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10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D14:E14"/>
    <mergeCell ref="D15:E15"/>
    <mergeCell ref="D19:E19"/>
    <mergeCell ref="J46:K46"/>
    <mergeCell ref="J47:K47"/>
    <mergeCell ref="D27:E27"/>
    <mergeCell ref="C32:D32"/>
    <mergeCell ref="C33:D33"/>
    <mergeCell ref="H35:I35"/>
    <mergeCell ref="J35:K35"/>
    <mergeCell ref="J43:K43"/>
    <mergeCell ref="F41:I41"/>
    <mergeCell ref="J41:K41"/>
    <mergeCell ref="F42:I42"/>
    <mergeCell ref="J42:K42"/>
    <mergeCell ref="C40:E42"/>
    <mergeCell ref="D6:E6"/>
    <mergeCell ref="D7:E7"/>
    <mergeCell ref="D8:E8"/>
    <mergeCell ref="D12:E12"/>
    <mergeCell ref="D13:E13"/>
    <mergeCell ref="F44:I44"/>
    <mergeCell ref="J44:K44"/>
    <mergeCell ref="C45:E48"/>
    <mergeCell ref="F45:I48"/>
    <mergeCell ref="J45:K45"/>
    <mergeCell ref="J48:K48"/>
    <mergeCell ref="C43:E44"/>
    <mergeCell ref="F43:I43"/>
    <mergeCell ref="B37:K37"/>
    <mergeCell ref="B38:K38"/>
    <mergeCell ref="C39:E39"/>
    <mergeCell ref="F39:K40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D25:E25"/>
    <mergeCell ref="D26:E26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20:E20"/>
    <mergeCell ref="D21:E21"/>
    <mergeCell ref="C23:E23"/>
    <mergeCell ref="F23:G23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4:E4"/>
    <mergeCell ref="D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topLeftCell="A21" zoomScale="90" zoomScaleNormal="90" workbookViewId="0">
      <selection activeCell="B32" sqref="B32:G36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100" t="s">
        <v>0</v>
      </c>
      <c r="C4" s="101" t="s">
        <v>103</v>
      </c>
      <c r="D4" s="165" t="s">
        <v>104</v>
      </c>
      <c r="E4" s="166"/>
      <c r="F4" s="101" t="s">
        <v>1</v>
      </c>
      <c r="G4" s="100" t="s">
        <v>2</v>
      </c>
      <c r="H4" s="165" t="s">
        <v>3</v>
      </c>
      <c r="I4" s="166"/>
      <c r="J4" s="101" t="s">
        <v>4</v>
      </c>
      <c r="K4" s="101" t="s">
        <v>5</v>
      </c>
      <c r="L4" s="1"/>
      <c r="M4" s="1"/>
      <c r="N4" s="1"/>
      <c r="O4" s="1"/>
    </row>
    <row r="5" spans="2:15" ht="32.25" thickBot="1" x14ac:dyDescent="0.3">
      <c r="B5" s="102" t="s">
        <v>65</v>
      </c>
      <c r="C5" s="2">
        <f>D5</f>
        <v>17</v>
      </c>
      <c r="D5" s="146">
        <v>17</v>
      </c>
      <c r="E5" s="147">
        <v>17</v>
      </c>
      <c r="F5" s="3">
        <v>4</v>
      </c>
      <c r="G5" s="4">
        <f>C5*F5</f>
        <v>68</v>
      </c>
      <c r="H5" s="152">
        <v>13.5</v>
      </c>
      <c r="I5" s="153">
        <v>13.5</v>
      </c>
      <c r="J5" s="35" t="s">
        <v>95</v>
      </c>
      <c r="K5" s="2" t="str">
        <f>IF(C5&lt;10,"D",IF(C5&lt;12,"C",IF(C5&lt;14,"C+",IF(C5&lt;15,"B",IF(C5&lt;16,"B+",IF(C5&lt;18,"A",IF(C5&lt;20,"A+")))))))</f>
        <v>A</v>
      </c>
      <c r="L5" s="1"/>
      <c r="M5" s="1"/>
      <c r="N5" s="5">
        <f>D5*F5</f>
        <v>68</v>
      </c>
      <c r="O5" s="5">
        <f>E5*F5</f>
        <v>68</v>
      </c>
    </row>
    <row r="6" spans="2:15" ht="32.25" thickBot="1" x14ac:dyDescent="0.3">
      <c r="B6" s="102" t="s">
        <v>84</v>
      </c>
      <c r="C6" s="2">
        <f t="shared" ref="C6:C8" si="0">D6</f>
        <v>14</v>
      </c>
      <c r="D6" s="146">
        <v>14</v>
      </c>
      <c r="E6" s="147">
        <v>14</v>
      </c>
      <c r="F6" s="3">
        <v>2</v>
      </c>
      <c r="G6" s="4">
        <f t="shared" ref="G6:G8" si="1">C6*F6</f>
        <v>28</v>
      </c>
      <c r="H6" s="152">
        <v>10.25</v>
      </c>
      <c r="I6" s="153">
        <v>10.25</v>
      </c>
      <c r="J6" s="35" t="s">
        <v>95</v>
      </c>
      <c r="K6" s="2" t="str">
        <f t="shared" ref="K6:K8" si="2">IF(C6&lt;10,"D",IF(C6&lt;12,"C",IF(C6&lt;14,"C+",IF(C6&lt;15,"B",IF(C6&lt;16,"B+",IF(C6&lt;18,"A",IF(C6&lt;20,"A+")))))))</f>
        <v>B</v>
      </c>
      <c r="L6" s="1"/>
      <c r="M6" s="1"/>
      <c r="N6" s="5">
        <f t="shared" ref="N6:N8" si="3">D6*F6</f>
        <v>28</v>
      </c>
      <c r="O6" s="5">
        <f t="shared" ref="O6:O8" si="4">E6*F6</f>
        <v>28</v>
      </c>
    </row>
    <row r="7" spans="2:15" ht="32.25" thickBot="1" x14ac:dyDescent="0.3">
      <c r="B7" s="102" t="s">
        <v>85</v>
      </c>
      <c r="C7" s="2">
        <f t="shared" si="0"/>
        <v>15</v>
      </c>
      <c r="D7" s="146">
        <v>15</v>
      </c>
      <c r="E7" s="147">
        <v>15</v>
      </c>
      <c r="F7" s="3">
        <v>3</v>
      </c>
      <c r="G7" s="4">
        <f t="shared" si="1"/>
        <v>45</v>
      </c>
      <c r="H7" s="152">
        <v>11.375</v>
      </c>
      <c r="I7" s="153">
        <v>11.375</v>
      </c>
      <c r="J7" s="35" t="s">
        <v>95</v>
      </c>
      <c r="K7" s="2" t="str">
        <f t="shared" si="2"/>
        <v>B+</v>
      </c>
      <c r="L7" s="1"/>
      <c r="M7" s="1"/>
      <c r="N7" s="5">
        <f t="shared" si="3"/>
        <v>45</v>
      </c>
      <c r="O7" s="5">
        <f t="shared" si="4"/>
        <v>45</v>
      </c>
    </row>
    <row r="8" spans="2:15" ht="48" thickBot="1" x14ac:dyDescent="0.3">
      <c r="B8" s="102" t="s">
        <v>86</v>
      </c>
      <c r="C8" s="2">
        <f t="shared" si="0"/>
        <v>12</v>
      </c>
      <c r="D8" s="146">
        <v>12</v>
      </c>
      <c r="E8" s="147">
        <v>12</v>
      </c>
      <c r="F8" s="3">
        <v>3</v>
      </c>
      <c r="G8" s="4">
        <f t="shared" si="1"/>
        <v>36</v>
      </c>
      <c r="H8" s="152">
        <v>10</v>
      </c>
      <c r="I8" s="153">
        <v>10</v>
      </c>
      <c r="J8" s="35" t="s">
        <v>95</v>
      </c>
      <c r="K8" s="2" t="str">
        <f t="shared" si="2"/>
        <v>C+</v>
      </c>
      <c r="L8" s="1"/>
      <c r="M8" s="1"/>
      <c r="N8" s="5">
        <f t="shared" si="3"/>
        <v>36</v>
      </c>
      <c r="O8" s="5">
        <f t="shared" si="4"/>
        <v>36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14.75</v>
      </c>
      <c r="D10" s="144"/>
      <c r="E10" s="144"/>
      <c r="F10" s="154" t="s">
        <v>9</v>
      </c>
      <c r="G10" s="154"/>
      <c r="H10" s="10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102" t="s">
        <v>66</v>
      </c>
      <c r="C12" s="2">
        <f t="shared" ref="C12:C15" si="5">D12</f>
        <v>11</v>
      </c>
      <c r="D12" s="146">
        <v>11</v>
      </c>
      <c r="E12" s="147">
        <v>11</v>
      </c>
      <c r="F12" s="3">
        <v>2</v>
      </c>
      <c r="G12" s="4">
        <f t="shared" ref="G12:G15" si="6">C12*F12</f>
        <v>22</v>
      </c>
      <c r="H12" s="152">
        <v>9.375</v>
      </c>
      <c r="I12" s="153">
        <v>9.375</v>
      </c>
      <c r="J12" s="35" t="s">
        <v>102</v>
      </c>
      <c r="K12" s="2" t="str">
        <f>IF(C12&lt;10,"D",IF(C12&lt;12,"C",IF(C12&lt;14,"C+",IF(C12&lt;15,"B",IF(C12&lt;16,"B+",IF(C12&lt;18,"A",IF(C12&lt;20,"A+")))))))</f>
        <v>C</v>
      </c>
      <c r="L12" s="1"/>
      <c r="M12" s="1"/>
      <c r="N12" s="5">
        <f t="shared" ref="N12:N15" si="7">D12*F12</f>
        <v>22</v>
      </c>
      <c r="O12" s="5">
        <f t="shared" ref="O12:O15" si="8">E12*F12</f>
        <v>22</v>
      </c>
    </row>
    <row r="13" spans="2:15" ht="30.75" customHeight="1" thickBot="1" x14ac:dyDescent="0.3">
      <c r="B13" s="102" t="s">
        <v>67</v>
      </c>
      <c r="C13" s="2">
        <f t="shared" si="5"/>
        <v>13.5</v>
      </c>
      <c r="D13" s="146">
        <v>13.5</v>
      </c>
      <c r="E13" s="147">
        <v>13.5</v>
      </c>
      <c r="F13" s="3">
        <v>2</v>
      </c>
      <c r="G13" s="4">
        <f t="shared" si="6"/>
        <v>27</v>
      </c>
      <c r="H13" s="152">
        <v>9</v>
      </c>
      <c r="I13" s="153">
        <v>9</v>
      </c>
      <c r="J13" s="35" t="s">
        <v>95</v>
      </c>
      <c r="K13" s="2" t="str">
        <f t="shared" ref="K13:K15" si="9">IF(C13&lt;10,"D",IF(C13&lt;12,"C",IF(C13&lt;14,"C+",IF(C13&lt;15,"B",IF(C13&lt;16,"B+",IF(C13&lt;18,"A",IF(C13&lt;20,"A+")))))))</f>
        <v>C+</v>
      </c>
      <c r="L13" s="1"/>
      <c r="M13" s="1"/>
      <c r="N13" s="5">
        <f t="shared" si="7"/>
        <v>27</v>
      </c>
      <c r="O13" s="5">
        <f t="shared" si="8"/>
        <v>27</v>
      </c>
    </row>
    <row r="14" spans="2:15" ht="32.25" thickBot="1" x14ac:dyDescent="0.3">
      <c r="B14" s="102" t="s">
        <v>87</v>
      </c>
      <c r="C14" s="2">
        <f t="shared" si="5"/>
        <v>12</v>
      </c>
      <c r="D14" s="146">
        <v>12</v>
      </c>
      <c r="E14" s="147">
        <v>12</v>
      </c>
      <c r="F14" s="3">
        <v>2</v>
      </c>
      <c r="G14" s="4">
        <f t="shared" si="6"/>
        <v>24</v>
      </c>
      <c r="H14" s="152">
        <v>9.5</v>
      </c>
      <c r="I14" s="153">
        <v>9.5</v>
      </c>
      <c r="J14" s="35" t="s">
        <v>95</v>
      </c>
      <c r="K14" s="2" t="str">
        <f t="shared" si="9"/>
        <v>C+</v>
      </c>
      <c r="L14" s="1"/>
      <c r="M14" s="1"/>
      <c r="N14" s="5">
        <f t="shared" si="7"/>
        <v>24</v>
      </c>
      <c r="O14" s="5">
        <f t="shared" si="8"/>
        <v>24</v>
      </c>
    </row>
    <row r="15" spans="2:15" ht="32.25" thickBot="1" x14ac:dyDescent="0.3">
      <c r="B15" s="102" t="s">
        <v>88</v>
      </c>
      <c r="C15" s="2">
        <f t="shared" si="5"/>
        <v>11.5</v>
      </c>
      <c r="D15" s="146">
        <v>11.5</v>
      </c>
      <c r="E15" s="147">
        <v>11.5</v>
      </c>
      <c r="F15" s="3">
        <v>3</v>
      </c>
      <c r="G15" s="4">
        <f t="shared" si="6"/>
        <v>34.5</v>
      </c>
      <c r="H15" s="152">
        <v>10.375</v>
      </c>
      <c r="I15" s="153">
        <v>10.375</v>
      </c>
      <c r="J15" s="35" t="s">
        <v>95</v>
      </c>
      <c r="K15" s="2" t="str">
        <f t="shared" si="9"/>
        <v>C</v>
      </c>
      <c r="L15" s="1"/>
      <c r="M15" s="1"/>
      <c r="N15" s="5">
        <f t="shared" si="7"/>
        <v>34.5</v>
      </c>
      <c r="O15" s="5">
        <f t="shared" si="8"/>
        <v>34.5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11.944444444444445</v>
      </c>
      <c r="D17" s="144"/>
      <c r="E17" s="144"/>
      <c r="F17" s="154" t="s">
        <v>9</v>
      </c>
      <c r="G17" s="154"/>
      <c r="H17" s="10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102" t="s">
        <v>89</v>
      </c>
      <c r="C19" s="2">
        <f t="shared" ref="C19:C21" si="10">D19</f>
        <v>13</v>
      </c>
      <c r="D19" s="146">
        <v>13</v>
      </c>
      <c r="E19" s="147">
        <v>13</v>
      </c>
      <c r="F19" s="3">
        <v>2</v>
      </c>
      <c r="G19" s="4">
        <f t="shared" ref="G19:G21" si="11">C19*F19</f>
        <v>26</v>
      </c>
      <c r="H19" s="152">
        <v>10.75</v>
      </c>
      <c r="I19" s="153">
        <v>10.75</v>
      </c>
      <c r="J19" s="35" t="s">
        <v>95</v>
      </c>
      <c r="K19" s="2" t="str">
        <f>IF(C19&lt;10,"D",IF(C19&lt;12,"C",IF(C19&lt;14,"C+",IF(C19&lt;15,"B",IF(C19&lt;16,"B+",IF(C19&lt;18,"A",IF(C19&lt;20,"A+")))))))</f>
        <v>C+</v>
      </c>
      <c r="L19" s="1"/>
      <c r="M19" s="1"/>
      <c r="N19" s="5">
        <f t="shared" ref="N19:N21" si="12">D19*F19</f>
        <v>26</v>
      </c>
      <c r="O19" s="5">
        <f t="shared" ref="O19:O21" si="13">E19*F19</f>
        <v>26</v>
      </c>
    </row>
    <row r="20" spans="2:15" ht="32.25" thickBot="1" x14ac:dyDescent="0.3">
      <c r="B20" s="102" t="s">
        <v>90</v>
      </c>
      <c r="C20" s="2">
        <f t="shared" si="10"/>
        <v>11.5</v>
      </c>
      <c r="D20" s="146">
        <v>11.5</v>
      </c>
      <c r="E20" s="147">
        <v>11.5</v>
      </c>
      <c r="F20" s="3">
        <v>2</v>
      </c>
      <c r="G20" s="4">
        <f t="shared" si="11"/>
        <v>23</v>
      </c>
      <c r="H20" s="152">
        <v>9.875</v>
      </c>
      <c r="I20" s="153">
        <v>9.875</v>
      </c>
      <c r="J20" s="35" t="s">
        <v>117</v>
      </c>
      <c r="K20" s="2" t="str">
        <f t="shared" ref="K20:K21" si="14">IF(C20&lt;10,"D",IF(C20&lt;12,"C",IF(C20&lt;14,"C+",IF(C20&lt;15,"B",IF(C20&lt;16,"B+",IF(C20&lt;18,"A",IF(C20&lt;20,"A+")))))))</f>
        <v>C</v>
      </c>
      <c r="L20" s="1"/>
      <c r="M20" s="1"/>
      <c r="N20" s="5">
        <f t="shared" si="12"/>
        <v>23</v>
      </c>
      <c r="O20" s="5">
        <f t="shared" si="13"/>
        <v>23</v>
      </c>
    </row>
    <row r="21" spans="2:15" ht="32.25" thickBot="1" x14ac:dyDescent="0.3">
      <c r="B21" s="102" t="s">
        <v>91</v>
      </c>
      <c r="C21" s="2">
        <f t="shared" si="10"/>
        <v>13</v>
      </c>
      <c r="D21" s="146">
        <v>13</v>
      </c>
      <c r="E21" s="147">
        <v>13</v>
      </c>
      <c r="F21" s="3">
        <v>1</v>
      </c>
      <c r="G21" s="4">
        <f t="shared" si="11"/>
        <v>13</v>
      </c>
      <c r="H21" s="152">
        <v>9.75</v>
      </c>
      <c r="I21" s="153">
        <v>9.75</v>
      </c>
      <c r="J21" s="35" t="s">
        <v>95</v>
      </c>
      <c r="K21" s="2" t="str">
        <f t="shared" si="14"/>
        <v>C+</v>
      </c>
      <c r="L21" s="1"/>
      <c r="M21" s="1"/>
      <c r="N21" s="5">
        <f t="shared" si="12"/>
        <v>13</v>
      </c>
      <c r="O21" s="5">
        <f t="shared" si="13"/>
        <v>13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12.4</v>
      </c>
      <c r="D23" s="144"/>
      <c r="E23" s="144"/>
      <c r="F23" s="154" t="s">
        <v>9</v>
      </c>
      <c r="G23" s="154"/>
      <c r="H23" s="10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102" t="s">
        <v>92</v>
      </c>
      <c r="C25" s="2">
        <f t="shared" ref="C25:C27" si="15">D25</f>
        <v>16</v>
      </c>
      <c r="D25" s="146">
        <v>16</v>
      </c>
      <c r="E25" s="147">
        <v>16</v>
      </c>
      <c r="F25" s="3">
        <v>2</v>
      </c>
      <c r="G25" s="4">
        <f t="shared" ref="G25:G27" si="16">C25*F25</f>
        <v>32</v>
      </c>
      <c r="H25" s="152">
        <v>15.75</v>
      </c>
      <c r="I25" s="153">
        <v>15.75</v>
      </c>
      <c r="J25" s="35" t="s">
        <v>95</v>
      </c>
      <c r="K25" s="2" t="str">
        <f>IF(C25&lt;10,"D",IF(C25&lt;12,"C",IF(C25&lt;14,"C+",IF(C25&lt;15,"B",IF(C25&lt;16,"B+",IF(C25&lt;18,"A",IF(C25&lt;20,"A+")))))))</f>
        <v>A</v>
      </c>
      <c r="L25" s="1"/>
      <c r="M25" s="1"/>
      <c r="N25" s="5">
        <f t="shared" ref="N25:N27" si="17">D25*F25</f>
        <v>32</v>
      </c>
      <c r="O25" s="5">
        <f t="shared" ref="O25:O27" si="18">E25*F25</f>
        <v>32</v>
      </c>
    </row>
    <row r="26" spans="2:15" ht="33" customHeight="1" thickBot="1" x14ac:dyDescent="0.3">
      <c r="B26" s="34" t="s">
        <v>93</v>
      </c>
      <c r="C26" s="2">
        <f t="shared" si="15"/>
        <v>14</v>
      </c>
      <c r="D26" s="146">
        <v>14</v>
      </c>
      <c r="E26" s="147">
        <v>14</v>
      </c>
      <c r="F26" s="3">
        <v>1</v>
      </c>
      <c r="G26" s="4">
        <f t="shared" si="16"/>
        <v>14</v>
      </c>
      <c r="H26" s="152">
        <v>14</v>
      </c>
      <c r="I26" s="153">
        <v>14</v>
      </c>
      <c r="J26" s="35" t="s">
        <v>117</v>
      </c>
      <c r="K26" s="2" t="str">
        <f t="shared" ref="K26:K27" si="19">IF(C26&lt;10,"D",IF(C26&lt;12,"C",IF(C26&lt;14,"C+",IF(C26&lt;15,"B",IF(C26&lt;16,"B+",IF(C26&lt;18,"A",IF(C26&lt;20,"A+")))))))</f>
        <v>B</v>
      </c>
      <c r="L26" s="1"/>
      <c r="M26" s="1"/>
      <c r="N26" s="5">
        <f t="shared" si="17"/>
        <v>14</v>
      </c>
      <c r="O26" s="5">
        <f t="shared" si="18"/>
        <v>14</v>
      </c>
    </row>
    <row r="27" spans="2:15" ht="32.25" thickBot="1" x14ac:dyDescent="0.3">
      <c r="B27" s="102" t="s">
        <v>94</v>
      </c>
      <c r="C27" s="2">
        <f t="shared" si="15"/>
        <v>17</v>
      </c>
      <c r="D27" s="146">
        <v>17</v>
      </c>
      <c r="E27" s="147">
        <v>17</v>
      </c>
      <c r="F27" s="3">
        <v>1</v>
      </c>
      <c r="G27" s="4">
        <f t="shared" si="16"/>
        <v>17</v>
      </c>
      <c r="H27" s="152">
        <v>17</v>
      </c>
      <c r="I27" s="153">
        <v>17</v>
      </c>
      <c r="J27" s="35" t="s">
        <v>95</v>
      </c>
      <c r="K27" s="2" t="str">
        <f t="shared" si="19"/>
        <v>A</v>
      </c>
      <c r="L27" s="1"/>
      <c r="M27" s="1"/>
      <c r="N27" s="5">
        <f t="shared" si="17"/>
        <v>17</v>
      </c>
      <c r="O27" s="5">
        <f t="shared" si="18"/>
        <v>17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409.5</v>
      </c>
      <c r="O28" s="1">
        <f>SUM(O5:O27)</f>
        <v>409.5</v>
      </c>
    </row>
    <row r="29" spans="2:15" ht="16.5" thickBot="1" x14ac:dyDescent="0.3">
      <c r="B29" s="10" t="s">
        <v>12</v>
      </c>
      <c r="C29" s="144">
        <f>(SUM(G25:G27)/SUM(F25:F27))</f>
        <v>15.75</v>
      </c>
      <c r="D29" s="144"/>
      <c r="E29" s="144"/>
      <c r="F29" s="145" t="s">
        <v>9</v>
      </c>
      <c r="G29" s="145"/>
      <c r="H29" s="10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13.65</v>
      </c>
      <c r="O30" s="1">
        <f>O28/O29</f>
        <v>13.65</v>
      </c>
    </row>
    <row r="31" spans="2:15" ht="48" thickBot="1" x14ac:dyDescent="0.3">
      <c r="B31" s="7" t="s">
        <v>17</v>
      </c>
      <c r="C31" s="11" t="s">
        <v>18</v>
      </c>
      <c r="D31" s="10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189"/>
      <c r="C32" s="190" t="s">
        <v>104</v>
      </c>
      <c r="D32" s="190"/>
      <c r="E32" s="191"/>
      <c r="F32" s="191"/>
      <c r="G32" s="192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193" t="s">
        <v>21</v>
      </c>
      <c r="C33" s="194">
        <f>N30</f>
        <v>13.65</v>
      </c>
      <c r="D33" s="194"/>
      <c r="E33" s="195" t="s">
        <v>105</v>
      </c>
      <c r="F33" s="196">
        <f>(G5+G6+G7+G8+G12+G13+G14+G15+G19+G20+G21+G25+G26+G27)/30</f>
        <v>13.65</v>
      </c>
      <c r="G33" s="195" t="s">
        <v>22</v>
      </c>
      <c r="H33" s="170" t="s">
        <v>23</v>
      </c>
      <c r="I33" s="171"/>
      <c r="J33" s="15" t="s">
        <v>95</v>
      </c>
      <c r="K33" s="16" t="s">
        <v>112</v>
      </c>
      <c r="L33" s="1"/>
      <c r="M33" s="1"/>
      <c r="N33" s="1"/>
      <c r="O33" s="1"/>
    </row>
    <row r="34" spans="2:15" ht="15.75" x14ac:dyDescent="0.25">
      <c r="B34" s="193"/>
      <c r="C34" s="197"/>
      <c r="D34" s="197"/>
      <c r="E34" s="195"/>
      <c r="F34" s="196"/>
      <c r="G34" s="195"/>
      <c r="H34" s="105"/>
      <c r="I34" s="106"/>
      <c r="J34" s="15"/>
      <c r="K34" s="16"/>
      <c r="L34" s="1"/>
      <c r="M34" s="1"/>
      <c r="N34" s="1"/>
      <c r="O34" s="1"/>
    </row>
    <row r="35" spans="2:15" ht="22.5" customHeight="1" x14ac:dyDescent="0.25">
      <c r="B35" s="198" t="s">
        <v>106</v>
      </c>
      <c r="C35" s="199" t="s">
        <v>107</v>
      </c>
      <c r="D35" s="199" t="s">
        <v>108</v>
      </c>
      <c r="E35" s="200" t="s">
        <v>109</v>
      </c>
      <c r="F35" s="199">
        <f>AVERAGE(B36:C36:D36)</f>
        <v>13.093333333333334</v>
      </c>
      <c r="G35" s="201" t="s">
        <v>22</v>
      </c>
      <c r="H35" s="172" t="s">
        <v>110</v>
      </c>
      <c r="I35" s="173"/>
      <c r="J35" s="174" t="s">
        <v>115</v>
      </c>
      <c r="K35" s="175"/>
      <c r="L35" s="1"/>
      <c r="M35" s="1"/>
      <c r="N35" s="1"/>
      <c r="O35" s="1"/>
    </row>
    <row r="36" spans="2:15" ht="23.25" thickBot="1" x14ac:dyDescent="0.3">
      <c r="B36" s="207">
        <v>12.75</v>
      </c>
      <c r="C36" s="203">
        <v>12.88</v>
      </c>
      <c r="D36" s="203">
        <f>F33</f>
        <v>13.65</v>
      </c>
      <c r="E36" s="204"/>
      <c r="F36" s="205"/>
      <c r="G36" s="206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107" t="s">
        <v>29</v>
      </c>
      <c r="C40" s="179" t="str">
        <f>IF(F35&lt;10,"CNA",IF(F35&lt;12,"CMA",IF(F35&lt;14,"CA",IF(F35&lt;16,"CBA",IF(F35&lt;20,"CTBA")))))</f>
        <v>CA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10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D14:E14"/>
    <mergeCell ref="D15:E15"/>
    <mergeCell ref="D19:E19"/>
    <mergeCell ref="J46:K46"/>
    <mergeCell ref="J47:K47"/>
    <mergeCell ref="D27:E27"/>
    <mergeCell ref="C32:D32"/>
    <mergeCell ref="C33:D33"/>
    <mergeCell ref="H35:I35"/>
    <mergeCell ref="J35:K35"/>
    <mergeCell ref="J43:K43"/>
    <mergeCell ref="F41:I41"/>
    <mergeCell ref="J41:K41"/>
    <mergeCell ref="F42:I42"/>
    <mergeCell ref="J42:K42"/>
    <mergeCell ref="C40:E42"/>
    <mergeCell ref="D6:E6"/>
    <mergeCell ref="D7:E7"/>
    <mergeCell ref="D8:E8"/>
    <mergeCell ref="D12:E12"/>
    <mergeCell ref="D13:E13"/>
    <mergeCell ref="F44:I44"/>
    <mergeCell ref="J44:K44"/>
    <mergeCell ref="C45:E48"/>
    <mergeCell ref="F45:I48"/>
    <mergeCell ref="J45:K45"/>
    <mergeCell ref="J48:K48"/>
    <mergeCell ref="C43:E44"/>
    <mergeCell ref="F43:I43"/>
    <mergeCell ref="B37:K37"/>
    <mergeCell ref="B38:K38"/>
    <mergeCell ref="C39:E39"/>
    <mergeCell ref="F39:K40"/>
    <mergeCell ref="B24:K24"/>
    <mergeCell ref="H25:I25"/>
    <mergeCell ref="H26:I26"/>
    <mergeCell ref="H27:I27"/>
    <mergeCell ref="C29:E29"/>
    <mergeCell ref="F29:G29"/>
    <mergeCell ref="I29:K29"/>
    <mergeCell ref="B30:K30"/>
    <mergeCell ref="F31:G31"/>
    <mergeCell ref="I31:J31"/>
    <mergeCell ref="H32:K32"/>
    <mergeCell ref="H33:I33"/>
    <mergeCell ref="D25:E25"/>
    <mergeCell ref="D26:E26"/>
    <mergeCell ref="I23:K23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20:E20"/>
    <mergeCell ref="D21:E21"/>
    <mergeCell ref="C23:E23"/>
    <mergeCell ref="F23:G23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4:E4"/>
    <mergeCell ref="D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topLeftCell="A24" zoomScale="90" zoomScaleNormal="90" workbookViewId="0">
      <selection activeCell="B32" sqref="B32:G36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100" t="s">
        <v>0</v>
      </c>
      <c r="C4" s="101" t="s">
        <v>103</v>
      </c>
      <c r="D4" s="165" t="s">
        <v>104</v>
      </c>
      <c r="E4" s="166"/>
      <c r="F4" s="101" t="s">
        <v>1</v>
      </c>
      <c r="G4" s="100" t="s">
        <v>2</v>
      </c>
      <c r="H4" s="165" t="s">
        <v>3</v>
      </c>
      <c r="I4" s="166"/>
      <c r="J4" s="101" t="s">
        <v>4</v>
      </c>
      <c r="K4" s="101" t="s">
        <v>5</v>
      </c>
      <c r="L4" s="1"/>
      <c r="M4" s="1"/>
      <c r="N4" s="1"/>
      <c r="O4" s="1"/>
    </row>
    <row r="5" spans="2:15" ht="32.25" thickBot="1" x14ac:dyDescent="0.3">
      <c r="B5" s="102" t="s">
        <v>65</v>
      </c>
      <c r="C5" s="2">
        <f>D5</f>
        <v>0</v>
      </c>
      <c r="D5" s="146"/>
      <c r="E5" s="147"/>
      <c r="F5" s="3">
        <v>4</v>
      </c>
      <c r="G5" s="4">
        <f>C5*F5</f>
        <v>0</v>
      </c>
      <c r="H5" s="152">
        <v>13.5</v>
      </c>
      <c r="I5" s="153">
        <v>13.5</v>
      </c>
      <c r="J5" s="35" t="s">
        <v>102</v>
      </c>
      <c r="K5" s="2" t="str">
        <f>IF(C5&lt;10,"D",IF(C5&lt;12,"C",IF(C5&lt;14,"C+",IF(C5&lt;15,"B",IF(C5&lt;16,"B+",IF(C5&lt;18,"A",IF(C5&lt;20,"A+")))))))</f>
        <v>D</v>
      </c>
      <c r="L5" s="1"/>
      <c r="M5" s="1"/>
      <c r="N5" s="5">
        <f>D5*F5</f>
        <v>0</v>
      </c>
      <c r="O5" s="5">
        <f>E5*F5</f>
        <v>0</v>
      </c>
    </row>
    <row r="6" spans="2:15" ht="32.25" thickBot="1" x14ac:dyDescent="0.3">
      <c r="B6" s="102" t="s">
        <v>84</v>
      </c>
      <c r="C6" s="2">
        <f t="shared" ref="C6:C8" si="0">D6</f>
        <v>0</v>
      </c>
      <c r="D6" s="146"/>
      <c r="E6" s="147"/>
      <c r="F6" s="3">
        <v>2</v>
      </c>
      <c r="G6" s="4">
        <f t="shared" ref="G6:G8" si="1">C6*F6</f>
        <v>0</v>
      </c>
      <c r="H6" s="152">
        <v>10.25</v>
      </c>
      <c r="I6" s="153">
        <v>10.25</v>
      </c>
      <c r="J6" s="35" t="s">
        <v>102</v>
      </c>
      <c r="K6" s="2" t="str">
        <f t="shared" ref="K6:K8" si="2">IF(C6&lt;10,"D",IF(C6&lt;12,"C",IF(C6&lt;14,"C+",IF(C6&lt;15,"B",IF(C6&lt;16,"B+",IF(C6&lt;18,"A",IF(C6&lt;20,"A+")))))))</f>
        <v>D</v>
      </c>
      <c r="L6" s="1"/>
      <c r="M6" s="1"/>
      <c r="N6" s="5">
        <f t="shared" ref="N6:N8" si="3">D6*F6</f>
        <v>0</v>
      </c>
      <c r="O6" s="5">
        <f t="shared" ref="O6:O8" si="4">E6*F6</f>
        <v>0</v>
      </c>
    </row>
    <row r="7" spans="2:15" ht="32.25" thickBot="1" x14ac:dyDescent="0.3">
      <c r="B7" s="102" t="s">
        <v>85</v>
      </c>
      <c r="C7" s="2">
        <f t="shared" si="0"/>
        <v>0</v>
      </c>
      <c r="D7" s="146"/>
      <c r="E7" s="147"/>
      <c r="F7" s="3">
        <v>3</v>
      </c>
      <c r="G7" s="4">
        <f t="shared" si="1"/>
        <v>0</v>
      </c>
      <c r="H7" s="152">
        <v>11.375</v>
      </c>
      <c r="I7" s="153">
        <v>11.375</v>
      </c>
      <c r="J7" s="35" t="s">
        <v>102</v>
      </c>
      <c r="K7" s="2" t="str">
        <f t="shared" si="2"/>
        <v>D</v>
      </c>
      <c r="L7" s="1"/>
      <c r="M7" s="1"/>
      <c r="N7" s="5">
        <f t="shared" si="3"/>
        <v>0</v>
      </c>
      <c r="O7" s="5">
        <f t="shared" si="4"/>
        <v>0</v>
      </c>
    </row>
    <row r="8" spans="2:15" ht="48" thickBot="1" x14ac:dyDescent="0.3">
      <c r="B8" s="102" t="s">
        <v>86</v>
      </c>
      <c r="C8" s="2">
        <f t="shared" si="0"/>
        <v>0</v>
      </c>
      <c r="D8" s="146"/>
      <c r="E8" s="147"/>
      <c r="F8" s="3">
        <v>3</v>
      </c>
      <c r="G8" s="4">
        <f t="shared" si="1"/>
        <v>0</v>
      </c>
      <c r="H8" s="152">
        <v>10</v>
      </c>
      <c r="I8" s="153">
        <v>10</v>
      </c>
      <c r="J8" s="35" t="s">
        <v>102</v>
      </c>
      <c r="K8" s="2" t="str">
        <f t="shared" si="2"/>
        <v>D</v>
      </c>
      <c r="L8" s="1"/>
      <c r="M8" s="1"/>
      <c r="N8" s="5">
        <f t="shared" si="3"/>
        <v>0</v>
      </c>
      <c r="O8" s="5">
        <f t="shared" si="4"/>
        <v>0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0</v>
      </c>
      <c r="D10" s="144"/>
      <c r="E10" s="144"/>
      <c r="F10" s="154" t="s">
        <v>9</v>
      </c>
      <c r="G10" s="154"/>
      <c r="H10" s="10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102" t="s">
        <v>66</v>
      </c>
      <c r="C12" s="2">
        <f t="shared" ref="C12:C15" si="5">D12</f>
        <v>0</v>
      </c>
      <c r="D12" s="146"/>
      <c r="E12" s="147"/>
      <c r="F12" s="3">
        <v>2</v>
      </c>
      <c r="G12" s="4">
        <f t="shared" ref="G12:G15" si="6">C12*F12</f>
        <v>0</v>
      </c>
      <c r="H12" s="152">
        <v>9.375</v>
      </c>
      <c r="I12" s="153">
        <v>9.375</v>
      </c>
      <c r="J12" s="35" t="s">
        <v>102</v>
      </c>
      <c r="K12" s="2" t="str">
        <f>IF(C12&lt;10,"D",IF(C12&lt;12,"C",IF(C12&lt;14,"C+",IF(C12&lt;15,"B",IF(C12&lt;16,"B+",IF(C12&lt;18,"A",IF(C12&lt;20,"A+")))))))</f>
        <v>D</v>
      </c>
      <c r="L12" s="1"/>
      <c r="M12" s="1"/>
      <c r="N12" s="5">
        <f t="shared" ref="N12:N15" si="7">D12*F12</f>
        <v>0</v>
      </c>
      <c r="O12" s="5">
        <f t="shared" ref="O12:O15" si="8">E12*F12</f>
        <v>0</v>
      </c>
    </row>
    <row r="13" spans="2:15" ht="30.75" customHeight="1" thickBot="1" x14ac:dyDescent="0.3">
      <c r="B13" s="102" t="s">
        <v>67</v>
      </c>
      <c r="C13" s="2">
        <f t="shared" si="5"/>
        <v>0</v>
      </c>
      <c r="D13" s="146"/>
      <c r="E13" s="147"/>
      <c r="F13" s="3">
        <v>2</v>
      </c>
      <c r="G13" s="4">
        <f t="shared" si="6"/>
        <v>0</v>
      </c>
      <c r="H13" s="152">
        <v>9</v>
      </c>
      <c r="I13" s="153">
        <v>9</v>
      </c>
      <c r="J13" s="35" t="s">
        <v>102</v>
      </c>
      <c r="K13" s="2" t="str">
        <f t="shared" ref="K13:K15" si="9">IF(C13&lt;10,"D",IF(C13&lt;12,"C",IF(C13&lt;14,"C+",IF(C13&lt;15,"B",IF(C13&lt;16,"B+",IF(C13&lt;18,"A",IF(C13&lt;20,"A+")))))))</f>
        <v>D</v>
      </c>
      <c r="L13" s="1"/>
      <c r="M13" s="1"/>
      <c r="N13" s="5">
        <f t="shared" si="7"/>
        <v>0</v>
      </c>
      <c r="O13" s="5">
        <f t="shared" si="8"/>
        <v>0</v>
      </c>
    </row>
    <row r="14" spans="2:15" ht="32.25" thickBot="1" x14ac:dyDescent="0.3">
      <c r="B14" s="102" t="s">
        <v>87</v>
      </c>
      <c r="C14" s="2">
        <f t="shared" si="5"/>
        <v>0</v>
      </c>
      <c r="D14" s="146"/>
      <c r="E14" s="147"/>
      <c r="F14" s="3">
        <v>2</v>
      </c>
      <c r="G14" s="4">
        <f t="shared" si="6"/>
        <v>0</v>
      </c>
      <c r="H14" s="152">
        <v>9.5</v>
      </c>
      <c r="I14" s="153">
        <v>9.5</v>
      </c>
      <c r="J14" s="35" t="s">
        <v>102</v>
      </c>
      <c r="K14" s="2" t="str">
        <f t="shared" si="9"/>
        <v>D</v>
      </c>
      <c r="L14" s="1"/>
      <c r="M14" s="1"/>
      <c r="N14" s="5">
        <f t="shared" si="7"/>
        <v>0</v>
      </c>
      <c r="O14" s="5">
        <f t="shared" si="8"/>
        <v>0</v>
      </c>
    </row>
    <row r="15" spans="2:15" ht="32.25" thickBot="1" x14ac:dyDescent="0.3">
      <c r="B15" s="102" t="s">
        <v>88</v>
      </c>
      <c r="C15" s="2">
        <f t="shared" si="5"/>
        <v>0</v>
      </c>
      <c r="D15" s="146"/>
      <c r="E15" s="147"/>
      <c r="F15" s="3">
        <v>3</v>
      </c>
      <c r="G15" s="4">
        <f t="shared" si="6"/>
        <v>0</v>
      </c>
      <c r="H15" s="152">
        <v>10.375</v>
      </c>
      <c r="I15" s="153">
        <v>10.375</v>
      </c>
      <c r="J15" s="35" t="s">
        <v>102</v>
      </c>
      <c r="K15" s="2" t="str">
        <f t="shared" si="9"/>
        <v>D</v>
      </c>
      <c r="L15" s="1"/>
      <c r="M15" s="1"/>
      <c r="N15" s="5">
        <f t="shared" si="7"/>
        <v>0</v>
      </c>
      <c r="O15" s="5">
        <f t="shared" si="8"/>
        <v>0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0</v>
      </c>
      <c r="D17" s="144"/>
      <c r="E17" s="144"/>
      <c r="F17" s="154" t="s">
        <v>9</v>
      </c>
      <c r="G17" s="154"/>
      <c r="H17" s="10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102" t="s">
        <v>89</v>
      </c>
      <c r="C19" s="2">
        <f t="shared" ref="C19:C21" si="10">D19</f>
        <v>0</v>
      </c>
      <c r="D19" s="146"/>
      <c r="E19" s="147"/>
      <c r="F19" s="3">
        <v>2</v>
      </c>
      <c r="G19" s="4">
        <f t="shared" ref="G19:G21" si="11">C19*F19</f>
        <v>0</v>
      </c>
      <c r="H19" s="152">
        <v>10.75</v>
      </c>
      <c r="I19" s="153">
        <v>10.75</v>
      </c>
      <c r="J19" s="35" t="s">
        <v>102</v>
      </c>
      <c r="K19" s="2" t="str">
        <f>IF(C19&lt;10,"D",IF(C19&lt;12,"C",IF(C19&lt;14,"C+",IF(C19&lt;15,"B",IF(C19&lt;16,"B+",IF(C19&lt;18,"A",IF(C19&lt;20,"A+")))))))</f>
        <v>D</v>
      </c>
      <c r="L19" s="1"/>
      <c r="M19" s="1"/>
      <c r="N19" s="5">
        <f t="shared" ref="N19:N21" si="12">D19*F19</f>
        <v>0</v>
      </c>
      <c r="O19" s="5">
        <f t="shared" ref="O19:O21" si="13">E19*F19</f>
        <v>0</v>
      </c>
    </row>
    <row r="20" spans="2:15" ht="32.25" thickBot="1" x14ac:dyDescent="0.3">
      <c r="B20" s="102" t="s">
        <v>90</v>
      </c>
      <c r="C20" s="2">
        <f t="shared" si="10"/>
        <v>0</v>
      </c>
      <c r="D20" s="146"/>
      <c r="E20" s="147"/>
      <c r="F20" s="3">
        <v>2</v>
      </c>
      <c r="G20" s="4">
        <f t="shared" si="11"/>
        <v>0</v>
      </c>
      <c r="H20" s="152">
        <v>9.875</v>
      </c>
      <c r="I20" s="153">
        <v>9.875</v>
      </c>
      <c r="J20" s="35" t="s">
        <v>102</v>
      </c>
      <c r="K20" s="2" t="str">
        <f t="shared" ref="K20:K21" si="14">IF(C20&lt;10,"D",IF(C20&lt;12,"C",IF(C20&lt;14,"C+",IF(C20&lt;15,"B",IF(C20&lt;16,"B+",IF(C20&lt;18,"A",IF(C20&lt;20,"A+")))))))</f>
        <v>D</v>
      </c>
      <c r="L20" s="1"/>
      <c r="M20" s="1"/>
      <c r="N20" s="5">
        <f t="shared" si="12"/>
        <v>0</v>
      </c>
      <c r="O20" s="5">
        <f t="shared" si="13"/>
        <v>0</v>
      </c>
    </row>
    <row r="21" spans="2:15" ht="32.25" thickBot="1" x14ac:dyDescent="0.3">
      <c r="B21" s="102" t="s">
        <v>91</v>
      </c>
      <c r="C21" s="2">
        <f t="shared" si="10"/>
        <v>0</v>
      </c>
      <c r="D21" s="146"/>
      <c r="E21" s="147"/>
      <c r="F21" s="3">
        <v>1</v>
      </c>
      <c r="G21" s="4">
        <f t="shared" si="11"/>
        <v>0</v>
      </c>
      <c r="H21" s="152">
        <v>9.75</v>
      </c>
      <c r="I21" s="153">
        <v>9.75</v>
      </c>
      <c r="J21" s="35" t="s">
        <v>102</v>
      </c>
      <c r="K21" s="2" t="str">
        <f t="shared" si="14"/>
        <v>D</v>
      </c>
      <c r="L21" s="1"/>
      <c r="M21" s="1"/>
      <c r="N21" s="5">
        <f t="shared" si="12"/>
        <v>0</v>
      </c>
      <c r="O21" s="5">
        <f t="shared" si="13"/>
        <v>0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0</v>
      </c>
      <c r="D23" s="144"/>
      <c r="E23" s="144"/>
      <c r="F23" s="154" t="s">
        <v>9</v>
      </c>
      <c r="G23" s="154"/>
      <c r="H23" s="10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102" t="s">
        <v>92</v>
      </c>
      <c r="C25" s="2">
        <f t="shared" ref="C25:C27" si="15">D25</f>
        <v>0</v>
      </c>
      <c r="D25" s="146"/>
      <c r="E25" s="147"/>
      <c r="F25" s="3">
        <v>2</v>
      </c>
      <c r="G25" s="4">
        <f t="shared" ref="G25:G27" si="16">C25*F25</f>
        <v>0</v>
      </c>
      <c r="H25" s="152">
        <v>15.75</v>
      </c>
      <c r="I25" s="153">
        <v>15.75</v>
      </c>
      <c r="J25" s="35" t="s">
        <v>102</v>
      </c>
      <c r="K25" s="2" t="str">
        <f>IF(C25&lt;10,"D",IF(C25&lt;12,"C",IF(C25&lt;14,"C+",IF(C25&lt;15,"B",IF(C25&lt;16,"B+",IF(C25&lt;18,"A",IF(C25&lt;20,"A+")))))))</f>
        <v>D</v>
      </c>
      <c r="L25" s="1"/>
      <c r="M25" s="1"/>
      <c r="N25" s="5">
        <f t="shared" ref="N25:N27" si="17">D25*F25</f>
        <v>0</v>
      </c>
      <c r="O25" s="5">
        <f t="shared" ref="O25:O27" si="18">E25*F25</f>
        <v>0</v>
      </c>
    </row>
    <row r="26" spans="2:15" ht="33" customHeight="1" thickBot="1" x14ac:dyDescent="0.3">
      <c r="B26" s="34" t="s">
        <v>93</v>
      </c>
      <c r="C26" s="2">
        <f t="shared" si="15"/>
        <v>0</v>
      </c>
      <c r="D26" s="146"/>
      <c r="E26" s="147"/>
      <c r="F26" s="3">
        <v>1</v>
      </c>
      <c r="G26" s="4">
        <f t="shared" si="16"/>
        <v>0</v>
      </c>
      <c r="H26" s="152">
        <v>14</v>
      </c>
      <c r="I26" s="153">
        <v>14</v>
      </c>
      <c r="J26" s="35" t="s">
        <v>102</v>
      </c>
      <c r="K26" s="2" t="str">
        <f t="shared" ref="K26:K27" si="19">IF(C26&lt;10,"D",IF(C26&lt;12,"C",IF(C26&lt;14,"C+",IF(C26&lt;15,"B",IF(C26&lt;16,"B+",IF(C26&lt;18,"A",IF(C26&lt;20,"A+")))))))</f>
        <v>D</v>
      </c>
      <c r="L26" s="1"/>
      <c r="M26" s="1"/>
      <c r="N26" s="5">
        <f t="shared" si="17"/>
        <v>0</v>
      </c>
      <c r="O26" s="5">
        <f t="shared" si="18"/>
        <v>0</v>
      </c>
    </row>
    <row r="27" spans="2:15" ht="32.25" thickBot="1" x14ac:dyDescent="0.3">
      <c r="B27" s="102" t="s">
        <v>94</v>
      </c>
      <c r="C27" s="2">
        <f t="shared" si="15"/>
        <v>0</v>
      </c>
      <c r="D27" s="146"/>
      <c r="E27" s="147"/>
      <c r="F27" s="3">
        <v>1</v>
      </c>
      <c r="G27" s="4">
        <f t="shared" si="16"/>
        <v>0</v>
      </c>
      <c r="H27" s="152">
        <v>17</v>
      </c>
      <c r="I27" s="153">
        <v>17</v>
      </c>
      <c r="J27" s="35" t="s">
        <v>95</v>
      </c>
      <c r="K27" s="2" t="str">
        <f t="shared" si="19"/>
        <v>D</v>
      </c>
      <c r="L27" s="1"/>
      <c r="M27" s="1"/>
      <c r="N27" s="5">
        <f t="shared" si="17"/>
        <v>0</v>
      </c>
      <c r="O27" s="5">
        <f t="shared" si="18"/>
        <v>0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0</v>
      </c>
      <c r="O28" s="1">
        <f>SUM(O5:O27)</f>
        <v>0</v>
      </c>
    </row>
    <row r="29" spans="2:15" ht="16.5" thickBot="1" x14ac:dyDescent="0.3">
      <c r="B29" s="10" t="s">
        <v>12</v>
      </c>
      <c r="C29" s="144">
        <f>(SUM(G25:G27)/SUM(F25:F27))</f>
        <v>0</v>
      </c>
      <c r="D29" s="144"/>
      <c r="E29" s="144"/>
      <c r="F29" s="145" t="s">
        <v>9</v>
      </c>
      <c r="G29" s="145"/>
      <c r="H29" s="10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0</v>
      </c>
      <c r="O30" s="1">
        <f>O28/O29</f>
        <v>0</v>
      </c>
    </row>
    <row r="31" spans="2:15" ht="48" thickBot="1" x14ac:dyDescent="0.3">
      <c r="B31" s="7" t="s">
        <v>17</v>
      </c>
      <c r="C31" s="11" t="s">
        <v>18</v>
      </c>
      <c r="D31" s="10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189"/>
      <c r="C32" s="190" t="s">
        <v>104</v>
      </c>
      <c r="D32" s="190"/>
      <c r="E32" s="191"/>
      <c r="F32" s="191"/>
      <c r="G32" s="192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193" t="s">
        <v>21</v>
      </c>
      <c r="C33" s="194"/>
      <c r="D33" s="194"/>
      <c r="E33" s="195" t="s">
        <v>105</v>
      </c>
      <c r="F33" s="196" t="s">
        <v>113</v>
      </c>
      <c r="G33" s="195" t="s">
        <v>22</v>
      </c>
      <c r="H33" s="170" t="s">
        <v>23</v>
      </c>
      <c r="I33" s="171"/>
      <c r="J33" s="15" t="s">
        <v>102</v>
      </c>
      <c r="K33" s="16" t="s">
        <v>112</v>
      </c>
      <c r="L33" s="1"/>
      <c r="M33" s="1"/>
      <c r="N33" s="1"/>
      <c r="O33" s="1"/>
    </row>
    <row r="34" spans="2:15" ht="15.75" x14ac:dyDescent="0.25">
      <c r="B34" s="193"/>
      <c r="C34" s="197"/>
      <c r="D34" s="197"/>
      <c r="E34" s="195"/>
      <c r="F34" s="196"/>
      <c r="G34" s="195"/>
      <c r="H34" s="105"/>
      <c r="I34" s="106"/>
      <c r="J34" s="15"/>
      <c r="K34" s="16"/>
      <c r="L34" s="1"/>
      <c r="M34" s="1"/>
      <c r="N34" s="1"/>
      <c r="O34" s="1"/>
    </row>
    <row r="35" spans="2:15" ht="22.5" customHeight="1" x14ac:dyDescent="0.25">
      <c r="B35" s="198" t="s">
        <v>106</v>
      </c>
      <c r="C35" s="199" t="s">
        <v>107</v>
      </c>
      <c r="D35" s="199" t="s">
        <v>108</v>
      </c>
      <c r="E35" s="200" t="s">
        <v>109</v>
      </c>
      <c r="F35" s="199">
        <f>AVERAGE(B36:C36:D36)</f>
        <v>6.7450000000000001</v>
      </c>
      <c r="G35" s="201" t="s">
        <v>22</v>
      </c>
      <c r="H35" s="172" t="s">
        <v>110</v>
      </c>
      <c r="I35" s="173"/>
      <c r="J35" s="174" t="s">
        <v>114</v>
      </c>
      <c r="K35" s="175"/>
      <c r="L35" s="1"/>
      <c r="M35" s="1"/>
      <c r="N35" s="1"/>
      <c r="O35" s="1"/>
    </row>
    <row r="36" spans="2:15" ht="23.25" thickBot="1" x14ac:dyDescent="0.3">
      <c r="B36" s="207">
        <v>7.24</v>
      </c>
      <c r="C36" s="203">
        <v>6.25</v>
      </c>
      <c r="D36" s="203" t="s">
        <v>113</v>
      </c>
      <c r="E36" s="204"/>
      <c r="F36" s="205"/>
      <c r="G36" s="206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107" t="s">
        <v>29</v>
      </c>
      <c r="C40" s="179" t="str">
        <f>IF(F35&lt;10,"CNA",IF(F35&lt;12,"CMA",IF(F35&lt;14,"CA",IF(F35&lt;16,"CBA",IF(F35&lt;20,"CTBA")))))</f>
        <v>CNA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10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H27:I27"/>
    <mergeCell ref="F23:G23"/>
    <mergeCell ref="I23:K23"/>
    <mergeCell ref="B24:K24"/>
    <mergeCell ref="H25:I25"/>
    <mergeCell ref="H26:I26"/>
    <mergeCell ref="D25:E25"/>
    <mergeCell ref="D26:E26"/>
    <mergeCell ref="D27:E27"/>
    <mergeCell ref="C32:D32"/>
    <mergeCell ref="C23:E23"/>
    <mergeCell ref="D8:E8"/>
    <mergeCell ref="D12:E12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4:E4"/>
    <mergeCell ref="D5:E5"/>
    <mergeCell ref="D6:E6"/>
    <mergeCell ref="D7:E7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19:E19"/>
    <mergeCell ref="D20:E20"/>
    <mergeCell ref="D21:E21"/>
    <mergeCell ref="C29:E29"/>
    <mergeCell ref="F29:G29"/>
    <mergeCell ref="I29:K29"/>
    <mergeCell ref="B30:K30"/>
    <mergeCell ref="F31:G31"/>
    <mergeCell ref="I31:J31"/>
    <mergeCell ref="H32:K32"/>
    <mergeCell ref="H33:I33"/>
    <mergeCell ref="C33:D33"/>
    <mergeCell ref="H35:I35"/>
    <mergeCell ref="J35:K35"/>
    <mergeCell ref="B37:K37"/>
    <mergeCell ref="B38:K38"/>
    <mergeCell ref="C39:E39"/>
    <mergeCell ref="F39:K40"/>
    <mergeCell ref="C40:E42"/>
    <mergeCell ref="F41:I41"/>
    <mergeCell ref="J41:K41"/>
    <mergeCell ref="F42:I42"/>
    <mergeCell ref="J42:K42"/>
    <mergeCell ref="C45:E48"/>
    <mergeCell ref="F45:I48"/>
    <mergeCell ref="J43:K43"/>
    <mergeCell ref="C43:E44"/>
    <mergeCell ref="F43:I43"/>
    <mergeCell ref="F44:I44"/>
    <mergeCell ref="J44:K44"/>
    <mergeCell ref="J45:K45"/>
    <mergeCell ref="J46:K46"/>
    <mergeCell ref="J47:K47"/>
    <mergeCell ref="J48:K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8"/>
  <sheetViews>
    <sheetView tabSelected="1" zoomScale="90" zoomScaleNormal="90" workbookViewId="0">
      <selection activeCell="T31" sqref="T31"/>
    </sheetView>
  </sheetViews>
  <sheetFormatPr baseColWidth="10" defaultRowHeight="15" x14ac:dyDescent="0.25"/>
  <cols>
    <col min="2" max="2" width="41.7109375" customWidth="1"/>
    <col min="3" max="3" width="12.140625" customWidth="1"/>
    <col min="5" max="5" width="17.5703125" customWidth="1"/>
    <col min="7" max="7" width="12.42578125" customWidth="1"/>
    <col min="11" max="11" width="16.42578125" customWidth="1"/>
  </cols>
  <sheetData>
    <row r="3" spans="2:15" ht="15.75" thickBot="1" x14ac:dyDescent="0.3"/>
    <row r="4" spans="2:15" ht="16.5" thickBot="1" x14ac:dyDescent="0.3">
      <c r="B4" s="100" t="s">
        <v>0</v>
      </c>
      <c r="C4" s="101" t="s">
        <v>103</v>
      </c>
      <c r="D4" s="165" t="s">
        <v>104</v>
      </c>
      <c r="E4" s="166"/>
      <c r="F4" s="101" t="s">
        <v>1</v>
      </c>
      <c r="G4" s="100" t="s">
        <v>2</v>
      </c>
      <c r="H4" s="165" t="s">
        <v>3</v>
      </c>
      <c r="I4" s="166"/>
      <c r="J4" s="101" t="s">
        <v>4</v>
      </c>
      <c r="K4" s="101" t="s">
        <v>5</v>
      </c>
      <c r="L4" s="1"/>
      <c r="M4" s="1"/>
      <c r="N4" s="1"/>
      <c r="O4" s="1"/>
    </row>
    <row r="5" spans="2:15" ht="32.25" thickBot="1" x14ac:dyDescent="0.3">
      <c r="B5" s="102" t="s">
        <v>65</v>
      </c>
      <c r="C5" s="2">
        <f>D5</f>
        <v>14</v>
      </c>
      <c r="D5" s="146">
        <v>14</v>
      </c>
      <c r="E5" s="147">
        <v>14</v>
      </c>
      <c r="F5" s="3">
        <v>4</v>
      </c>
      <c r="G5" s="4">
        <f>C5*F5</f>
        <v>56</v>
      </c>
      <c r="H5" s="152">
        <v>13.5</v>
      </c>
      <c r="I5" s="153">
        <v>13.5</v>
      </c>
      <c r="J5" s="35" t="s">
        <v>117</v>
      </c>
      <c r="K5" s="2" t="str">
        <f>IF(C5&lt;10,"D",IF(C5&lt;12,"C",IF(C5&lt;14,"C+",IF(C5&lt;15,"B",IF(C5&lt;16,"B+",IF(C5&lt;18,"A",IF(C5&lt;20,"A+")))))))</f>
        <v>B</v>
      </c>
      <c r="L5" s="1"/>
      <c r="M5" s="1"/>
      <c r="N5" s="5">
        <f>D5*F5</f>
        <v>56</v>
      </c>
      <c r="O5" s="5">
        <f>E5*F5</f>
        <v>56</v>
      </c>
    </row>
    <row r="6" spans="2:15" ht="32.25" thickBot="1" x14ac:dyDescent="0.3">
      <c r="B6" s="102" t="s">
        <v>84</v>
      </c>
      <c r="C6" s="2">
        <f t="shared" ref="C6:C8" si="0">D6</f>
        <v>13</v>
      </c>
      <c r="D6" s="146">
        <v>13</v>
      </c>
      <c r="E6" s="147">
        <v>13</v>
      </c>
      <c r="F6" s="3">
        <v>2</v>
      </c>
      <c r="G6" s="4">
        <f t="shared" ref="G6:G8" si="1">C6*F6</f>
        <v>26</v>
      </c>
      <c r="H6" s="152">
        <v>10.25</v>
      </c>
      <c r="I6" s="153">
        <v>10.25</v>
      </c>
      <c r="J6" s="35" t="s">
        <v>117</v>
      </c>
      <c r="K6" s="2" t="str">
        <f t="shared" ref="K6:K8" si="2">IF(C6&lt;10,"D",IF(C6&lt;12,"C",IF(C6&lt;14,"C+",IF(C6&lt;15,"B",IF(C6&lt;16,"B+",IF(C6&lt;18,"A",IF(C6&lt;20,"A+")))))))</f>
        <v>C+</v>
      </c>
      <c r="L6" s="1"/>
      <c r="M6" s="1"/>
      <c r="N6" s="5">
        <f t="shared" ref="N6:N8" si="3">D6*F6</f>
        <v>26</v>
      </c>
      <c r="O6" s="5">
        <f t="shared" ref="O6:O8" si="4">E6*F6</f>
        <v>26</v>
      </c>
    </row>
    <row r="7" spans="2:15" ht="32.25" thickBot="1" x14ac:dyDescent="0.3">
      <c r="B7" s="102" t="s">
        <v>85</v>
      </c>
      <c r="C7" s="2">
        <f t="shared" si="0"/>
        <v>13</v>
      </c>
      <c r="D7" s="146">
        <v>13</v>
      </c>
      <c r="E7" s="147">
        <v>13</v>
      </c>
      <c r="F7" s="3">
        <v>3</v>
      </c>
      <c r="G7" s="4">
        <f t="shared" si="1"/>
        <v>39</v>
      </c>
      <c r="H7" s="152">
        <v>11.375</v>
      </c>
      <c r="I7" s="153">
        <v>11.375</v>
      </c>
      <c r="J7" s="35" t="s">
        <v>95</v>
      </c>
      <c r="K7" s="2" t="str">
        <f t="shared" si="2"/>
        <v>C+</v>
      </c>
      <c r="L7" s="1"/>
      <c r="M7" s="1"/>
      <c r="N7" s="5">
        <f t="shared" si="3"/>
        <v>39</v>
      </c>
      <c r="O7" s="5">
        <f t="shared" si="4"/>
        <v>39</v>
      </c>
    </row>
    <row r="8" spans="2:15" ht="48" thickBot="1" x14ac:dyDescent="0.3">
      <c r="B8" s="102" t="s">
        <v>86</v>
      </c>
      <c r="C8" s="2">
        <f t="shared" si="0"/>
        <v>11</v>
      </c>
      <c r="D8" s="146">
        <v>11</v>
      </c>
      <c r="E8" s="147">
        <v>11</v>
      </c>
      <c r="F8" s="3">
        <v>3</v>
      </c>
      <c r="G8" s="4">
        <f t="shared" si="1"/>
        <v>33</v>
      </c>
      <c r="H8" s="152">
        <v>10</v>
      </c>
      <c r="I8" s="153">
        <v>10</v>
      </c>
      <c r="J8" s="35" t="s">
        <v>117</v>
      </c>
      <c r="K8" s="2" t="str">
        <f t="shared" si="2"/>
        <v>C</v>
      </c>
      <c r="L8" s="1"/>
      <c r="M8" s="1"/>
      <c r="N8" s="5">
        <f t="shared" si="3"/>
        <v>33</v>
      </c>
      <c r="O8" s="5">
        <f t="shared" si="4"/>
        <v>33</v>
      </c>
    </row>
    <row r="9" spans="2:15" ht="16.5" thickBot="1" x14ac:dyDescent="0.3">
      <c r="B9" s="157" t="s">
        <v>7</v>
      </c>
      <c r="C9" s="158"/>
      <c r="D9" s="158"/>
      <c r="E9" s="158"/>
      <c r="F9" s="158"/>
      <c r="G9" s="158"/>
      <c r="H9" s="158"/>
      <c r="I9" s="158"/>
      <c r="J9" s="158"/>
      <c r="K9" s="159"/>
      <c r="L9" s="1"/>
      <c r="M9" s="1"/>
      <c r="N9" s="1"/>
      <c r="O9" s="1"/>
    </row>
    <row r="10" spans="2:15" ht="16.5" thickBot="1" x14ac:dyDescent="0.3">
      <c r="B10" s="6" t="s">
        <v>8</v>
      </c>
      <c r="C10" s="144">
        <f>(SUM(G5:G8)/SUM(F5:F8))</f>
        <v>12.833333333333334</v>
      </c>
      <c r="D10" s="144"/>
      <c r="E10" s="144"/>
      <c r="F10" s="154" t="s">
        <v>9</v>
      </c>
      <c r="G10" s="154"/>
      <c r="H10" s="103"/>
      <c r="I10" s="155"/>
      <c r="J10" s="155"/>
      <c r="K10" s="156"/>
      <c r="L10" s="1"/>
      <c r="M10" s="1"/>
      <c r="N10" s="1"/>
      <c r="O10" s="1"/>
    </row>
    <row r="11" spans="2:15" ht="16.5" thickBot="1" x14ac:dyDescent="0.3">
      <c r="B11" s="148"/>
      <c r="C11" s="149"/>
      <c r="D11" s="149"/>
      <c r="E11" s="149"/>
      <c r="F11" s="149"/>
      <c r="G11" s="149"/>
      <c r="H11" s="149"/>
      <c r="I11" s="149"/>
      <c r="J11" s="149"/>
      <c r="K11" s="151"/>
      <c r="L11" s="1"/>
      <c r="M11" s="1"/>
      <c r="N11" s="1"/>
      <c r="O11" s="1"/>
    </row>
    <row r="12" spans="2:15" ht="32.25" thickBot="1" x14ac:dyDescent="0.3">
      <c r="B12" s="102" t="s">
        <v>66</v>
      </c>
      <c r="C12" s="2">
        <f t="shared" ref="C12:C15" si="5">D12</f>
        <v>9</v>
      </c>
      <c r="D12" s="146">
        <v>9</v>
      </c>
      <c r="E12" s="147">
        <v>9</v>
      </c>
      <c r="F12" s="3">
        <v>2</v>
      </c>
      <c r="G12" s="4">
        <f t="shared" ref="G12:G15" si="6">C12*F12</f>
        <v>18</v>
      </c>
      <c r="H12" s="152">
        <v>9.375</v>
      </c>
      <c r="I12" s="153">
        <v>9.375</v>
      </c>
      <c r="J12" s="35" t="s">
        <v>118</v>
      </c>
      <c r="K12" s="2" t="str">
        <f>IF(C12&lt;10,"D",IF(C12&lt;12,"C",IF(C12&lt;14,"C+",IF(C12&lt;15,"B",IF(C12&lt;16,"B+",IF(C12&lt;18,"A",IF(C12&lt;20,"A+")))))))</f>
        <v>D</v>
      </c>
      <c r="L12" s="1"/>
      <c r="M12" s="1"/>
      <c r="N12" s="5">
        <f t="shared" ref="N12:N15" si="7">D12*F12</f>
        <v>18</v>
      </c>
      <c r="O12" s="5">
        <f t="shared" ref="O12:O15" si="8">E12*F12</f>
        <v>18</v>
      </c>
    </row>
    <row r="13" spans="2:15" ht="30.75" customHeight="1" thickBot="1" x14ac:dyDescent="0.3">
      <c r="B13" s="102" t="s">
        <v>67</v>
      </c>
      <c r="C13" s="2">
        <f t="shared" si="5"/>
        <v>6</v>
      </c>
      <c r="D13" s="146">
        <v>6</v>
      </c>
      <c r="E13" s="147">
        <v>6</v>
      </c>
      <c r="F13" s="3">
        <v>2</v>
      </c>
      <c r="G13" s="4">
        <f t="shared" si="6"/>
        <v>12</v>
      </c>
      <c r="H13" s="152">
        <v>9</v>
      </c>
      <c r="I13" s="153">
        <v>9</v>
      </c>
      <c r="J13" s="35" t="s">
        <v>119</v>
      </c>
      <c r="K13" s="2" t="str">
        <f t="shared" ref="K13:K15" si="9">IF(C13&lt;10,"D",IF(C13&lt;12,"C",IF(C13&lt;14,"C+",IF(C13&lt;15,"B",IF(C13&lt;16,"B+",IF(C13&lt;18,"A",IF(C13&lt;20,"A+")))))))</f>
        <v>D</v>
      </c>
      <c r="L13" s="1"/>
      <c r="M13" s="1"/>
      <c r="N13" s="5">
        <f t="shared" si="7"/>
        <v>12</v>
      </c>
      <c r="O13" s="5">
        <f t="shared" si="8"/>
        <v>12</v>
      </c>
    </row>
    <row r="14" spans="2:15" ht="32.25" thickBot="1" x14ac:dyDescent="0.3">
      <c r="B14" s="102" t="s">
        <v>87</v>
      </c>
      <c r="C14" s="2">
        <f t="shared" si="5"/>
        <v>13</v>
      </c>
      <c r="D14" s="146">
        <v>13</v>
      </c>
      <c r="E14" s="147">
        <v>13</v>
      </c>
      <c r="F14" s="3">
        <v>2</v>
      </c>
      <c r="G14" s="4">
        <f t="shared" si="6"/>
        <v>26</v>
      </c>
      <c r="H14" s="152">
        <v>9.5</v>
      </c>
      <c r="I14" s="153">
        <v>9.5</v>
      </c>
      <c r="J14" s="35" t="s">
        <v>120</v>
      </c>
      <c r="K14" s="2" t="str">
        <f t="shared" si="9"/>
        <v>C+</v>
      </c>
      <c r="L14" s="1"/>
      <c r="M14" s="1"/>
      <c r="N14" s="5">
        <f t="shared" si="7"/>
        <v>26</v>
      </c>
      <c r="O14" s="5">
        <f t="shared" si="8"/>
        <v>26</v>
      </c>
    </row>
    <row r="15" spans="2:15" ht="32.25" thickBot="1" x14ac:dyDescent="0.3">
      <c r="B15" s="102" t="s">
        <v>88</v>
      </c>
      <c r="C15" s="2">
        <f t="shared" si="5"/>
        <v>11</v>
      </c>
      <c r="D15" s="146">
        <v>11</v>
      </c>
      <c r="E15" s="147">
        <v>11</v>
      </c>
      <c r="F15" s="3">
        <v>3</v>
      </c>
      <c r="G15" s="4">
        <f t="shared" si="6"/>
        <v>33</v>
      </c>
      <c r="H15" s="152">
        <v>10.375</v>
      </c>
      <c r="I15" s="153">
        <v>10.375</v>
      </c>
      <c r="J15" s="35" t="s">
        <v>117</v>
      </c>
      <c r="K15" s="2" t="str">
        <f t="shared" si="9"/>
        <v>C</v>
      </c>
      <c r="L15" s="1"/>
      <c r="M15" s="1"/>
      <c r="N15" s="5">
        <f t="shared" si="7"/>
        <v>33</v>
      </c>
      <c r="O15" s="5">
        <f t="shared" si="8"/>
        <v>33</v>
      </c>
    </row>
    <row r="16" spans="2:15" ht="16.5" thickBot="1" x14ac:dyDescent="0.3">
      <c r="B16" s="157" t="s">
        <v>11</v>
      </c>
      <c r="C16" s="158"/>
      <c r="D16" s="158"/>
      <c r="E16" s="158"/>
      <c r="F16" s="158"/>
      <c r="G16" s="158"/>
      <c r="H16" s="158"/>
      <c r="I16" s="158"/>
      <c r="J16" s="158"/>
      <c r="K16" s="159"/>
      <c r="L16" s="1"/>
      <c r="M16" s="1"/>
      <c r="N16" s="1"/>
      <c r="O16" s="1"/>
    </row>
    <row r="17" spans="2:15" ht="16.5" thickBot="1" x14ac:dyDescent="0.3">
      <c r="B17" s="6" t="s">
        <v>12</v>
      </c>
      <c r="C17" s="144">
        <f>(SUM(G12:G15)/SUM(F12:F15))</f>
        <v>9.8888888888888893</v>
      </c>
      <c r="D17" s="144"/>
      <c r="E17" s="144"/>
      <c r="F17" s="154" t="s">
        <v>9</v>
      </c>
      <c r="G17" s="154"/>
      <c r="H17" s="103"/>
      <c r="I17" s="155"/>
      <c r="J17" s="155"/>
      <c r="K17" s="156"/>
      <c r="L17" s="1"/>
      <c r="M17" s="1"/>
      <c r="N17" s="1"/>
      <c r="O17" s="1"/>
    </row>
    <row r="18" spans="2:15" ht="16.5" thickBot="1" x14ac:dyDescent="0.3">
      <c r="B18" s="160"/>
      <c r="C18" s="161"/>
      <c r="D18" s="161"/>
      <c r="E18" s="161"/>
      <c r="F18" s="161"/>
      <c r="G18" s="161"/>
      <c r="H18" s="161"/>
      <c r="I18" s="161"/>
      <c r="J18" s="161"/>
      <c r="K18" s="162"/>
      <c r="L18" s="1"/>
      <c r="M18" s="1"/>
      <c r="N18" s="1"/>
      <c r="O18" s="1"/>
    </row>
    <row r="19" spans="2:15" ht="32.25" thickBot="1" x14ac:dyDescent="0.3">
      <c r="B19" s="102" t="s">
        <v>89</v>
      </c>
      <c r="C19" s="2">
        <f t="shared" ref="C19:C21" si="10">D19</f>
        <v>13</v>
      </c>
      <c r="D19" s="146">
        <v>13</v>
      </c>
      <c r="E19" s="147">
        <v>13</v>
      </c>
      <c r="F19" s="3">
        <v>2</v>
      </c>
      <c r="G19" s="4">
        <f t="shared" ref="G19:G21" si="11">C19*F19</f>
        <v>26</v>
      </c>
      <c r="H19" s="152">
        <v>10.75</v>
      </c>
      <c r="I19" s="153">
        <v>10.75</v>
      </c>
      <c r="J19" s="35" t="s">
        <v>95</v>
      </c>
      <c r="K19" s="2" t="str">
        <f>IF(C19&lt;10,"D",IF(C19&lt;12,"C",IF(C19&lt;14,"C+",IF(C19&lt;15,"B",IF(C19&lt;16,"B+",IF(C19&lt;18,"A",IF(C19&lt;20,"A+")))))))</f>
        <v>C+</v>
      </c>
      <c r="L19" s="1"/>
      <c r="M19" s="1"/>
      <c r="N19" s="5">
        <f t="shared" ref="N19:N21" si="12">D19*F19</f>
        <v>26</v>
      </c>
      <c r="O19" s="5">
        <f t="shared" ref="O19:O21" si="13">E19*F19</f>
        <v>26</v>
      </c>
    </row>
    <row r="20" spans="2:15" ht="32.25" thickBot="1" x14ac:dyDescent="0.3">
      <c r="B20" s="102" t="s">
        <v>90</v>
      </c>
      <c r="C20" s="2">
        <f t="shared" si="10"/>
        <v>9.5</v>
      </c>
      <c r="D20" s="146">
        <v>9.5</v>
      </c>
      <c r="E20" s="147">
        <v>9.5</v>
      </c>
      <c r="F20" s="3">
        <v>2</v>
      </c>
      <c r="G20" s="4">
        <f t="shared" si="11"/>
        <v>19</v>
      </c>
      <c r="H20" s="152">
        <v>9.875</v>
      </c>
      <c r="I20" s="153">
        <v>9.875</v>
      </c>
      <c r="J20" s="35" t="s">
        <v>117</v>
      </c>
      <c r="K20" s="2" t="str">
        <f t="shared" ref="K20:K21" si="14">IF(C20&lt;10,"D",IF(C20&lt;12,"C",IF(C20&lt;14,"C+",IF(C20&lt;15,"B",IF(C20&lt;16,"B+",IF(C20&lt;18,"A",IF(C20&lt;20,"A+")))))))</f>
        <v>D</v>
      </c>
      <c r="L20" s="1"/>
      <c r="M20" s="1"/>
      <c r="N20" s="5">
        <f t="shared" si="12"/>
        <v>19</v>
      </c>
      <c r="O20" s="5">
        <f t="shared" si="13"/>
        <v>19</v>
      </c>
    </row>
    <row r="21" spans="2:15" ht="32.25" thickBot="1" x14ac:dyDescent="0.3">
      <c r="B21" s="102" t="s">
        <v>91</v>
      </c>
      <c r="C21" s="2">
        <f t="shared" si="10"/>
        <v>10</v>
      </c>
      <c r="D21" s="146">
        <v>10</v>
      </c>
      <c r="E21" s="147">
        <v>10</v>
      </c>
      <c r="F21" s="3">
        <v>1</v>
      </c>
      <c r="G21" s="4">
        <f t="shared" si="11"/>
        <v>10</v>
      </c>
      <c r="H21" s="152">
        <v>9.75</v>
      </c>
      <c r="I21" s="153">
        <v>9.75</v>
      </c>
      <c r="J21" s="35" t="s">
        <v>118</v>
      </c>
      <c r="K21" s="2" t="str">
        <f t="shared" si="14"/>
        <v>C</v>
      </c>
      <c r="L21" s="1"/>
      <c r="M21" s="1"/>
      <c r="N21" s="5">
        <f t="shared" si="12"/>
        <v>10</v>
      </c>
      <c r="O21" s="5">
        <f t="shared" si="13"/>
        <v>10</v>
      </c>
    </row>
    <row r="22" spans="2:15" ht="16.5" thickBot="1" x14ac:dyDescent="0.3">
      <c r="B22" s="157" t="s">
        <v>13</v>
      </c>
      <c r="C22" s="158"/>
      <c r="D22" s="158"/>
      <c r="E22" s="158"/>
      <c r="F22" s="158"/>
      <c r="G22" s="158"/>
      <c r="H22" s="158"/>
      <c r="I22" s="158"/>
      <c r="J22" s="158"/>
      <c r="K22" s="159"/>
      <c r="L22" s="1"/>
      <c r="M22" s="1"/>
      <c r="N22" s="1"/>
      <c r="O22" s="1"/>
    </row>
    <row r="23" spans="2:15" ht="16.5" thickBot="1" x14ac:dyDescent="0.3">
      <c r="B23" s="6" t="s">
        <v>8</v>
      </c>
      <c r="C23" s="144">
        <f>(SUM(G19:G21)/SUM(F19:F21))</f>
        <v>11</v>
      </c>
      <c r="D23" s="144"/>
      <c r="E23" s="144"/>
      <c r="F23" s="154" t="s">
        <v>9</v>
      </c>
      <c r="G23" s="154"/>
      <c r="H23" s="103"/>
      <c r="I23" s="155"/>
      <c r="J23" s="155"/>
      <c r="K23" s="156"/>
      <c r="L23" s="1"/>
      <c r="M23" s="1"/>
      <c r="N23" s="1"/>
      <c r="O23" s="1"/>
    </row>
    <row r="24" spans="2:15" ht="16.5" thickBot="1" x14ac:dyDescent="0.3">
      <c r="B24" s="148"/>
      <c r="C24" s="149"/>
      <c r="D24" s="149"/>
      <c r="E24" s="149"/>
      <c r="F24" s="149"/>
      <c r="G24" s="149"/>
      <c r="H24" s="150"/>
      <c r="I24" s="150"/>
      <c r="J24" s="150"/>
      <c r="K24" s="151"/>
      <c r="L24" s="1"/>
      <c r="M24" s="1"/>
      <c r="N24" s="1"/>
      <c r="O24" s="1"/>
    </row>
    <row r="25" spans="2:15" ht="32.25" thickBot="1" x14ac:dyDescent="0.3">
      <c r="B25" s="102" t="s">
        <v>92</v>
      </c>
      <c r="C25" s="2">
        <f t="shared" ref="C25:C27" si="15">D25</f>
        <v>15</v>
      </c>
      <c r="D25" s="146">
        <v>15</v>
      </c>
      <c r="E25" s="147">
        <v>15</v>
      </c>
      <c r="F25" s="3">
        <v>2</v>
      </c>
      <c r="G25" s="4">
        <f t="shared" ref="G25:G27" si="16">C25*F25</f>
        <v>30</v>
      </c>
      <c r="H25" s="152">
        <v>15.75</v>
      </c>
      <c r="I25" s="153">
        <v>15.75</v>
      </c>
      <c r="J25" s="35" t="s">
        <v>117</v>
      </c>
      <c r="K25" s="2" t="str">
        <f>IF(C25&lt;10,"D",IF(C25&lt;12,"C",IF(C25&lt;14,"C+",IF(C25&lt;15,"B",IF(C25&lt;16,"B+",IF(C25&lt;18,"A",IF(C25&lt;20,"A+")))))))</f>
        <v>B+</v>
      </c>
      <c r="L25" s="1"/>
      <c r="M25" s="1"/>
      <c r="N25" s="5">
        <f t="shared" ref="N25:N27" si="17">D25*F25</f>
        <v>30</v>
      </c>
      <c r="O25" s="5">
        <f t="shared" ref="O25:O27" si="18">E25*F25</f>
        <v>30</v>
      </c>
    </row>
    <row r="26" spans="2:15" ht="33" customHeight="1" thickBot="1" x14ac:dyDescent="0.3">
      <c r="B26" s="34" t="s">
        <v>93</v>
      </c>
      <c r="C26" s="2">
        <f t="shared" si="15"/>
        <v>14</v>
      </c>
      <c r="D26" s="146">
        <v>14</v>
      </c>
      <c r="E26" s="147">
        <v>14</v>
      </c>
      <c r="F26" s="3">
        <v>1</v>
      </c>
      <c r="G26" s="4">
        <f t="shared" si="16"/>
        <v>14</v>
      </c>
      <c r="H26" s="152">
        <v>14</v>
      </c>
      <c r="I26" s="153">
        <v>14</v>
      </c>
      <c r="J26" s="35" t="s">
        <v>118</v>
      </c>
      <c r="K26" s="2" t="str">
        <f t="shared" ref="K26:K27" si="19">IF(C26&lt;10,"D",IF(C26&lt;12,"C",IF(C26&lt;14,"C+",IF(C26&lt;15,"B",IF(C26&lt;16,"B+",IF(C26&lt;18,"A",IF(C26&lt;20,"A+")))))))</f>
        <v>B</v>
      </c>
      <c r="L26" s="1"/>
      <c r="M26" s="1"/>
      <c r="N26" s="5">
        <f t="shared" si="17"/>
        <v>14</v>
      </c>
      <c r="O26" s="5">
        <f t="shared" si="18"/>
        <v>14</v>
      </c>
    </row>
    <row r="27" spans="2:15" ht="32.25" thickBot="1" x14ac:dyDescent="0.3">
      <c r="B27" s="102" t="s">
        <v>94</v>
      </c>
      <c r="C27" s="2">
        <f t="shared" si="15"/>
        <v>17</v>
      </c>
      <c r="D27" s="146">
        <v>17</v>
      </c>
      <c r="E27" s="147">
        <v>17</v>
      </c>
      <c r="F27" s="3">
        <v>1</v>
      </c>
      <c r="G27" s="4">
        <f t="shared" si="16"/>
        <v>17</v>
      </c>
      <c r="H27" s="152">
        <v>17</v>
      </c>
      <c r="I27" s="153">
        <v>17</v>
      </c>
      <c r="J27" s="35" t="s">
        <v>95</v>
      </c>
      <c r="K27" s="2" t="str">
        <f t="shared" si="19"/>
        <v>A</v>
      </c>
      <c r="L27" s="1"/>
      <c r="M27" s="1"/>
      <c r="N27" s="5">
        <f t="shared" si="17"/>
        <v>17</v>
      </c>
      <c r="O27" s="5">
        <f t="shared" si="18"/>
        <v>17</v>
      </c>
    </row>
    <row r="28" spans="2:15" ht="16.5" thickBot="1" x14ac:dyDescent="0.3">
      <c r="B28" s="7" t="s">
        <v>16</v>
      </c>
      <c r="C28" s="8"/>
      <c r="D28" s="8"/>
      <c r="E28" s="8"/>
      <c r="F28" s="8"/>
      <c r="G28" s="8"/>
      <c r="H28" s="8"/>
      <c r="I28" s="8"/>
      <c r="J28" s="8"/>
      <c r="K28" s="9"/>
      <c r="L28" s="1"/>
      <c r="M28" s="1"/>
      <c r="N28" s="1">
        <f>SUM(N5:N27)</f>
        <v>359</v>
      </c>
      <c r="O28" s="1">
        <f>SUM(O5:O27)</f>
        <v>359</v>
      </c>
    </row>
    <row r="29" spans="2:15" ht="16.5" thickBot="1" x14ac:dyDescent="0.3">
      <c r="B29" s="10" t="s">
        <v>12</v>
      </c>
      <c r="C29" s="144">
        <f>(SUM(G25:G27)/SUM(F25:F27))</f>
        <v>15.25</v>
      </c>
      <c r="D29" s="144"/>
      <c r="E29" s="144"/>
      <c r="F29" s="145" t="s">
        <v>9</v>
      </c>
      <c r="G29" s="145"/>
      <c r="H29" s="104"/>
      <c r="I29" s="136"/>
      <c r="J29" s="136"/>
      <c r="K29" s="137"/>
      <c r="L29" s="1"/>
      <c r="M29" s="1"/>
      <c r="N29" s="1">
        <v>30</v>
      </c>
      <c r="O29" s="1">
        <v>30</v>
      </c>
    </row>
    <row r="30" spans="2:15" ht="16.5" thickBot="1" x14ac:dyDescent="0.3"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"/>
      <c r="M30" s="1"/>
      <c r="N30" s="1">
        <f>N28/N29</f>
        <v>11.966666666666667</v>
      </c>
      <c r="O30" s="1">
        <f>O28/O29</f>
        <v>11.966666666666667</v>
      </c>
    </row>
    <row r="31" spans="2:15" ht="48" thickBot="1" x14ac:dyDescent="0.3">
      <c r="B31" s="7" t="s">
        <v>17</v>
      </c>
      <c r="C31" s="11" t="s">
        <v>18</v>
      </c>
      <c r="D31" s="103">
        <v>11.3</v>
      </c>
      <c r="E31" s="12" t="s">
        <v>19</v>
      </c>
      <c r="F31" s="155">
        <v>13.65</v>
      </c>
      <c r="G31" s="155"/>
      <c r="H31" s="12" t="s">
        <v>20</v>
      </c>
      <c r="I31" s="155">
        <v>8.85</v>
      </c>
      <c r="J31" s="155"/>
      <c r="K31" s="13"/>
      <c r="L31" s="14"/>
      <c r="M31" s="14"/>
      <c r="N31" s="14"/>
      <c r="O31" s="14"/>
    </row>
    <row r="32" spans="2:15" ht="15.75" x14ac:dyDescent="0.25">
      <c r="B32" s="189"/>
      <c r="C32" s="190" t="s">
        <v>104</v>
      </c>
      <c r="D32" s="190"/>
      <c r="E32" s="191"/>
      <c r="F32" s="191"/>
      <c r="G32" s="192"/>
      <c r="H32" s="118"/>
      <c r="I32" s="119"/>
      <c r="J32" s="119"/>
      <c r="K32" s="120"/>
      <c r="L32" s="1"/>
      <c r="M32" s="1"/>
      <c r="N32" s="1"/>
      <c r="O32" s="1"/>
    </row>
    <row r="33" spans="2:15" ht="15.75" x14ac:dyDescent="0.25">
      <c r="B33" s="193" t="s">
        <v>21</v>
      </c>
      <c r="C33" s="194">
        <f>N30</f>
        <v>11.966666666666667</v>
      </c>
      <c r="D33" s="194"/>
      <c r="E33" s="195" t="s">
        <v>105</v>
      </c>
      <c r="F33" s="196">
        <f>(G5+G6+G7+G8+G12+G13+G14+G15+G19+G20+G21+G25+G26+G27)/30</f>
        <v>11.966666666666667</v>
      </c>
      <c r="G33" s="195" t="s">
        <v>22</v>
      </c>
      <c r="H33" s="170" t="s">
        <v>23</v>
      </c>
      <c r="I33" s="171"/>
      <c r="J33" s="15" t="s">
        <v>117</v>
      </c>
      <c r="K33" s="16" t="s">
        <v>112</v>
      </c>
      <c r="L33" s="1"/>
      <c r="M33" s="1"/>
      <c r="N33" s="1"/>
      <c r="O33" s="1"/>
    </row>
    <row r="34" spans="2:15" ht="15.75" x14ac:dyDescent="0.25">
      <c r="B34" s="193"/>
      <c r="C34" s="197"/>
      <c r="D34" s="197"/>
      <c r="E34" s="195"/>
      <c r="F34" s="196"/>
      <c r="G34" s="195"/>
      <c r="H34" s="105"/>
      <c r="I34" s="106"/>
      <c r="J34" s="15"/>
      <c r="K34" s="16"/>
      <c r="L34" s="1"/>
      <c r="M34" s="1"/>
      <c r="N34" s="1"/>
      <c r="O34" s="1"/>
    </row>
    <row r="35" spans="2:15" ht="22.5" customHeight="1" x14ac:dyDescent="0.25">
      <c r="B35" s="198" t="s">
        <v>106</v>
      </c>
      <c r="C35" s="199" t="s">
        <v>107</v>
      </c>
      <c r="D35" s="199" t="s">
        <v>108</v>
      </c>
      <c r="E35" s="200" t="s">
        <v>109</v>
      </c>
      <c r="F35" s="199">
        <f>AVERAGE(C36:D36)</f>
        <v>11.658333333333333</v>
      </c>
      <c r="G35" s="201" t="s">
        <v>22</v>
      </c>
      <c r="H35" s="172" t="s">
        <v>110</v>
      </c>
      <c r="I35" s="173"/>
      <c r="J35" s="174" t="s">
        <v>116</v>
      </c>
      <c r="K35" s="175"/>
      <c r="L35" s="1"/>
      <c r="M35" s="1"/>
      <c r="N35" s="1"/>
      <c r="O35" s="1"/>
    </row>
    <row r="36" spans="2:15" ht="23.25" thickBot="1" x14ac:dyDescent="0.3">
      <c r="B36" s="207" t="s">
        <v>113</v>
      </c>
      <c r="C36" s="203">
        <v>11.35</v>
      </c>
      <c r="D36" s="203">
        <f>F33</f>
        <v>11.966666666666667</v>
      </c>
      <c r="E36" s="204"/>
      <c r="F36" s="205"/>
      <c r="G36" s="206"/>
      <c r="H36" s="94"/>
      <c r="I36" s="95"/>
      <c r="J36" s="96"/>
      <c r="K36" s="97"/>
      <c r="L36" s="1"/>
      <c r="M36" s="1"/>
      <c r="N36" s="1"/>
      <c r="O36" s="1"/>
    </row>
    <row r="37" spans="2:15" ht="16.5" thickBot="1" x14ac:dyDescent="0.3">
      <c r="B37" s="176" t="s">
        <v>24</v>
      </c>
      <c r="C37" s="177"/>
      <c r="D37" s="177"/>
      <c r="E37" s="177"/>
      <c r="F37" s="177"/>
      <c r="G37" s="177"/>
      <c r="H37" s="177"/>
      <c r="I37" s="177"/>
      <c r="J37" s="177"/>
      <c r="K37" s="178"/>
      <c r="L37" s="1"/>
      <c r="M37" s="1"/>
      <c r="N37" s="1"/>
      <c r="O37" s="1"/>
    </row>
    <row r="38" spans="2:15" ht="16.5" thickBot="1" x14ac:dyDescent="0.3">
      <c r="B38" s="135" t="s">
        <v>25</v>
      </c>
      <c r="C38" s="136"/>
      <c r="D38" s="136"/>
      <c r="E38" s="136"/>
      <c r="F38" s="136"/>
      <c r="G38" s="136"/>
      <c r="H38" s="136"/>
      <c r="I38" s="136"/>
      <c r="J38" s="136"/>
      <c r="K38" s="137"/>
      <c r="L38" s="1"/>
      <c r="M38" s="1"/>
      <c r="N38" s="1"/>
      <c r="O38" s="1"/>
    </row>
    <row r="39" spans="2:15" ht="16.5" thickBot="1" x14ac:dyDescent="0.3">
      <c r="B39" s="11" t="s">
        <v>26</v>
      </c>
      <c r="C39" s="167" t="s">
        <v>27</v>
      </c>
      <c r="D39" s="168"/>
      <c r="E39" s="169"/>
      <c r="F39" s="129" t="s">
        <v>28</v>
      </c>
      <c r="G39" s="130"/>
      <c r="H39" s="130"/>
      <c r="I39" s="130"/>
      <c r="J39" s="130"/>
      <c r="K39" s="131"/>
      <c r="L39" s="1"/>
      <c r="M39" s="1"/>
      <c r="N39" s="1"/>
      <c r="O39" s="1"/>
    </row>
    <row r="40" spans="2:15" ht="16.5" thickBot="1" x14ac:dyDescent="0.3">
      <c r="B40" s="107" t="s">
        <v>29</v>
      </c>
      <c r="C40" s="179" t="str">
        <f>IF(F35&lt;10,"CNA",IF(F35&lt;12,"CMA",IF(F35&lt;14,"CA",IF(F35&lt;16,"CBA",IF(F35&lt;20,"CTBA")))))</f>
        <v>CMA</v>
      </c>
      <c r="D40" s="179" t="e">
        <f>IF(#REF!&lt;10,"D",IF(#REF!&lt;12,"C",IF(#REF!&lt;14,"C+",IF(#REF!&lt;15,"B",IF(#REF!&lt;16,"B+",IF(#REF!&lt;18,"A",IF(#REF!&lt;20,"A+")))))))</f>
        <v>#REF!</v>
      </c>
      <c r="E40" s="180" t="e">
        <f>IF(#REF!&lt;10,"D",IF(#REF!&lt;12,"C",IF(#REF!&lt;14,"C+",IF(#REF!&lt;15,"B",IF(#REF!&lt;16,"B+",IF(#REF!&lt;18,"A",IF(#REF!&lt;20,"A+")))))))</f>
        <v>#REF!</v>
      </c>
      <c r="F40" s="132"/>
      <c r="G40" s="133"/>
      <c r="H40" s="133"/>
      <c r="I40" s="133"/>
      <c r="J40" s="133"/>
      <c r="K40" s="134"/>
      <c r="L40" s="1"/>
      <c r="M40" s="1"/>
      <c r="N40" s="1"/>
      <c r="O40" s="1"/>
    </row>
    <row r="41" spans="2:15" ht="16.5" thickBot="1" x14ac:dyDescent="0.3">
      <c r="B41" s="107" t="s">
        <v>30</v>
      </c>
      <c r="C41" s="181" t="e">
        <f>IF(#REF!&lt;10,"D",IF(#REF!&lt;12,"C",IF(#REF!&lt;14,"C+",IF(#REF!&lt;15,"B",IF(#REF!&lt;16,"B+",IF(#REF!&lt;18,"A",IF(#REF!&lt;20,"A+")))))))</f>
        <v>#REF!</v>
      </c>
      <c r="D41" s="182" t="e">
        <f>IF(#REF!&lt;10,"D",IF(#REF!&lt;12,"C",IF(#REF!&lt;14,"C+",IF(#REF!&lt;15,"B",IF(#REF!&lt;16,"B+",IF(#REF!&lt;18,"A",IF(#REF!&lt;20,"A+")))))))</f>
        <v>#REF!</v>
      </c>
      <c r="E41" s="183" t="e">
        <f>IF(#REF!&lt;10,"D",IF(#REF!&lt;12,"C",IF(#REF!&lt;14,"C+",IF(#REF!&lt;15,"B",IF(#REF!&lt;16,"B+",IF(#REF!&lt;18,"A",IF(#REF!&lt;20,"A+")))))))</f>
        <v>#REF!</v>
      </c>
      <c r="F41" s="135" t="s">
        <v>31</v>
      </c>
      <c r="G41" s="136"/>
      <c r="H41" s="136"/>
      <c r="I41" s="137"/>
      <c r="J41" s="129" t="s">
        <v>32</v>
      </c>
      <c r="K41" s="131"/>
      <c r="L41" s="1"/>
      <c r="M41" s="1"/>
      <c r="N41" s="1"/>
      <c r="O41" s="1"/>
    </row>
    <row r="42" spans="2:15" ht="16.5" thickBot="1" x14ac:dyDescent="0.3">
      <c r="B42" s="11" t="s">
        <v>33</v>
      </c>
      <c r="C42" s="184" t="e">
        <f>IF(#REF!&lt;10,"D",IF(#REF!&lt;12,"C",IF(#REF!&lt;14,"C+",IF(#REF!&lt;15,"B",IF(#REF!&lt;16,"B+",IF(#REF!&lt;18,"A",IF(#REF!&lt;20,"A+")))))))</f>
        <v>#REF!</v>
      </c>
      <c r="D42" s="185" t="e">
        <f>IF(#REF!&lt;10,"D",IF(#REF!&lt;12,"C",IF(#REF!&lt;14,"C+",IF(#REF!&lt;15,"B",IF(#REF!&lt;16,"B+",IF(#REF!&lt;18,"A",IF(#REF!&lt;20,"A+")))))))</f>
        <v>#REF!</v>
      </c>
      <c r="E42" s="186" t="e">
        <f>IF(#REF!&lt;10,"D",IF(#REF!&lt;12,"C",IF(#REF!&lt;14,"C+",IF(#REF!&lt;15,"B",IF(#REF!&lt;16,"B+",IF(#REF!&lt;18,"A",IF(#REF!&lt;20,"A+")))))))</f>
        <v>#REF!</v>
      </c>
      <c r="F42" s="135" t="s">
        <v>34</v>
      </c>
      <c r="G42" s="136"/>
      <c r="H42" s="136"/>
      <c r="I42" s="137"/>
      <c r="J42" s="127" t="s">
        <v>35</v>
      </c>
      <c r="K42" s="128"/>
      <c r="L42" s="1"/>
      <c r="M42" s="1"/>
      <c r="N42" s="1"/>
      <c r="O42" s="1"/>
    </row>
    <row r="43" spans="2:15" ht="16.5" thickBot="1" x14ac:dyDescent="0.3">
      <c r="B43" s="11" t="s">
        <v>36</v>
      </c>
      <c r="C43" s="129" t="s">
        <v>37</v>
      </c>
      <c r="D43" s="130"/>
      <c r="E43" s="131"/>
      <c r="F43" s="135" t="s">
        <v>38</v>
      </c>
      <c r="G43" s="136"/>
      <c r="H43" s="136"/>
      <c r="I43" s="137"/>
      <c r="J43" s="127"/>
      <c r="K43" s="128"/>
      <c r="L43" s="1"/>
      <c r="M43" s="1"/>
      <c r="N43" s="1"/>
      <c r="O43" s="1"/>
    </row>
    <row r="44" spans="2:15" ht="16.5" thickBot="1" x14ac:dyDescent="0.3">
      <c r="B44" s="11" t="s">
        <v>39</v>
      </c>
      <c r="C44" s="132"/>
      <c r="D44" s="133"/>
      <c r="E44" s="134"/>
      <c r="F44" s="135" t="s">
        <v>40</v>
      </c>
      <c r="G44" s="136"/>
      <c r="H44" s="136"/>
      <c r="I44" s="137"/>
      <c r="J44" s="138" t="s">
        <v>41</v>
      </c>
      <c r="K44" s="139"/>
      <c r="L44" s="1"/>
      <c r="M44" s="1"/>
      <c r="N44" s="1"/>
      <c r="O44" s="1"/>
    </row>
    <row r="45" spans="2:15" ht="31.5" x14ac:dyDescent="0.25">
      <c r="B45" s="7" t="s">
        <v>42</v>
      </c>
      <c r="C45" s="118"/>
      <c r="D45" s="119"/>
      <c r="E45" s="120"/>
      <c r="F45" s="118"/>
      <c r="G45" s="119"/>
      <c r="H45" s="119"/>
      <c r="I45" s="120"/>
      <c r="J45" s="138" t="s">
        <v>43</v>
      </c>
      <c r="K45" s="139"/>
      <c r="L45" s="1"/>
      <c r="M45" s="1"/>
      <c r="N45" s="1"/>
      <c r="O45" s="1"/>
    </row>
    <row r="46" spans="2:15" ht="15.75" x14ac:dyDescent="0.25">
      <c r="B46" s="98"/>
      <c r="C46" s="121"/>
      <c r="D46" s="122"/>
      <c r="E46" s="123"/>
      <c r="F46" s="121"/>
      <c r="G46" s="122"/>
      <c r="H46" s="122"/>
      <c r="I46" s="123"/>
      <c r="J46" s="140"/>
      <c r="K46" s="141"/>
      <c r="L46" s="1"/>
      <c r="M46" s="1"/>
      <c r="N46" s="1"/>
      <c r="O46" s="1"/>
    </row>
    <row r="47" spans="2:15" ht="15.75" x14ac:dyDescent="0.25">
      <c r="B47" s="98"/>
      <c r="C47" s="121"/>
      <c r="D47" s="122"/>
      <c r="E47" s="123"/>
      <c r="F47" s="121"/>
      <c r="G47" s="122"/>
      <c r="H47" s="122"/>
      <c r="I47" s="123"/>
      <c r="J47" s="140"/>
      <c r="K47" s="141"/>
      <c r="L47" s="1"/>
      <c r="M47" s="1"/>
      <c r="N47" s="1"/>
      <c r="O47" s="1"/>
    </row>
    <row r="48" spans="2:15" ht="16.5" thickBot="1" x14ac:dyDescent="0.3">
      <c r="B48" s="17"/>
      <c r="C48" s="124"/>
      <c r="D48" s="125"/>
      <c r="E48" s="126"/>
      <c r="F48" s="124"/>
      <c r="G48" s="125"/>
      <c r="H48" s="125"/>
      <c r="I48" s="126"/>
      <c r="J48" s="142"/>
      <c r="K48" s="143"/>
      <c r="L48" s="1"/>
      <c r="M48" s="1"/>
      <c r="N48" s="1"/>
      <c r="O48" s="1"/>
    </row>
  </sheetData>
  <mergeCells count="77">
    <mergeCell ref="H27:I27"/>
    <mergeCell ref="F23:G23"/>
    <mergeCell ref="I23:K23"/>
    <mergeCell ref="B24:K24"/>
    <mergeCell ref="H25:I25"/>
    <mergeCell ref="H26:I26"/>
    <mergeCell ref="D25:E25"/>
    <mergeCell ref="D26:E26"/>
    <mergeCell ref="D27:E27"/>
    <mergeCell ref="C32:D32"/>
    <mergeCell ref="C23:E23"/>
    <mergeCell ref="D8:E8"/>
    <mergeCell ref="D12:E12"/>
    <mergeCell ref="D13:E13"/>
    <mergeCell ref="D14:E14"/>
    <mergeCell ref="D15:E15"/>
    <mergeCell ref="H13:I13"/>
    <mergeCell ref="H4:I4"/>
    <mergeCell ref="H5:I5"/>
    <mergeCell ref="H6:I6"/>
    <mergeCell ref="H7:I7"/>
    <mergeCell ref="H8:I8"/>
    <mergeCell ref="B9:K9"/>
    <mergeCell ref="C10:E10"/>
    <mergeCell ref="F10:G10"/>
    <mergeCell ref="I10:K10"/>
    <mergeCell ref="B11:K11"/>
    <mergeCell ref="H12:I12"/>
    <mergeCell ref="D4:E4"/>
    <mergeCell ref="D5:E5"/>
    <mergeCell ref="D6:E6"/>
    <mergeCell ref="D7:E7"/>
    <mergeCell ref="H14:I14"/>
    <mergeCell ref="H15:I15"/>
    <mergeCell ref="B16:K16"/>
    <mergeCell ref="C17:E17"/>
    <mergeCell ref="F17:G17"/>
    <mergeCell ref="I17:K17"/>
    <mergeCell ref="B18:K18"/>
    <mergeCell ref="H19:I19"/>
    <mergeCell ref="H20:I20"/>
    <mergeCell ref="H21:I21"/>
    <mergeCell ref="B22:K22"/>
    <mergeCell ref="D19:E19"/>
    <mergeCell ref="D20:E20"/>
    <mergeCell ref="D21:E21"/>
    <mergeCell ref="C29:E29"/>
    <mergeCell ref="F29:G29"/>
    <mergeCell ref="I29:K29"/>
    <mergeCell ref="B30:K30"/>
    <mergeCell ref="F31:G31"/>
    <mergeCell ref="I31:J31"/>
    <mergeCell ref="H32:K32"/>
    <mergeCell ref="H33:I33"/>
    <mergeCell ref="C33:D33"/>
    <mergeCell ref="H35:I35"/>
    <mergeCell ref="J35:K35"/>
    <mergeCell ref="B37:K37"/>
    <mergeCell ref="B38:K38"/>
    <mergeCell ref="C39:E39"/>
    <mergeCell ref="F39:K40"/>
    <mergeCell ref="C40:E42"/>
    <mergeCell ref="F41:I41"/>
    <mergeCell ref="J41:K41"/>
    <mergeCell ref="F42:I42"/>
    <mergeCell ref="J42:K42"/>
    <mergeCell ref="C45:E48"/>
    <mergeCell ref="F45:I48"/>
    <mergeCell ref="J43:K43"/>
    <mergeCell ref="C43:E44"/>
    <mergeCell ref="F43:I43"/>
    <mergeCell ref="F44:I44"/>
    <mergeCell ref="J44:K44"/>
    <mergeCell ref="J45:K45"/>
    <mergeCell ref="J46:K46"/>
    <mergeCell ref="J47:K47"/>
    <mergeCell ref="J48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SEQUENCE 5</vt:lpstr>
      <vt:lpstr>SEQUENCE 6</vt:lpstr>
      <vt:lpstr>BORDEREAU</vt:lpstr>
      <vt:lpstr>ANDONG</vt:lpstr>
      <vt:lpstr>MPONO </vt:lpstr>
      <vt:lpstr>NCHOUTYAME</vt:lpstr>
      <vt:lpstr>NGO POM</vt:lpstr>
      <vt:lpstr>OBAMA</vt:lpstr>
      <vt:lpstr>PEKEKO</vt:lpstr>
      <vt:lpstr>NGOME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ch'croute</dc:creator>
  <cp:lastModifiedBy>ch'croute</cp:lastModifiedBy>
  <dcterms:created xsi:type="dcterms:W3CDTF">2022-12-02T11:10:35Z</dcterms:created>
  <dcterms:modified xsi:type="dcterms:W3CDTF">2026-06-11T06:52:48Z</dcterms:modified>
</cp:coreProperties>
</file>