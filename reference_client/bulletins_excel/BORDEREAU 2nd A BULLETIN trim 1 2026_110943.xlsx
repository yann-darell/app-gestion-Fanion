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'croute\Desktop\BULLETIN COPRIFAN\bulletin fanion 2025-2026\2nd A\Trim 1\"/>
    </mc:Choice>
  </mc:AlternateContent>
  <bookViews>
    <workbookView xWindow="360" yWindow="330" windowWidth="18675" windowHeight="8235" tabRatio="803" activeTab="7"/>
  </bookViews>
  <sheets>
    <sheet name="SEQUENCE 1" sheetId="16" r:id="rId1"/>
    <sheet name="SEQUENCE 2" sheetId="18" r:id="rId2"/>
    <sheet name="BORDEREAU" sheetId="23" r:id="rId3"/>
    <sheet name="BALANA" sheetId="24" r:id="rId4"/>
    <sheet name="MENGING" sheetId="25" r:id="rId5"/>
    <sheet name="MOUSSI" sheetId="26" r:id="rId6"/>
    <sheet name="MVINDI" sheetId="27" r:id="rId7"/>
    <sheet name="NILOMENE" sheetId="28" r:id="rId8"/>
  </sheets>
  <calcPr calcId="162913"/>
</workbook>
</file>

<file path=xl/calcChain.xml><?xml version="1.0" encoding="utf-8"?>
<calcChain xmlns="http://schemas.openxmlformats.org/spreadsheetml/2006/main">
  <c r="E40" i="28" l="1"/>
  <c r="D40" i="28"/>
  <c r="C40" i="28"/>
  <c r="E39" i="28"/>
  <c r="D39" i="28"/>
  <c r="C39" i="28"/>
  <c r="E38" i="28"/>
  <c r="D38" i="28"/>
  <c r="O27" i="28"/>
  <c r="N27" i="28"/>
  <c r="C27" i="28"/>
  <c r="G27" i="28" s="1"/>
  <c r="O26" i="28"/>
  <c r="N26" i="28"/>
  <c r="C26" i="28"/>
  <c r="K26" i="28" s="1"/>
  <c r="O25" i="28"/>
  <c r="N25" i="28"/>
  <c r="C25" i="28"/>
  <c r="G25" i="28" s="1"/>
  <c r="O21" i="28"/>
  <c r="N21" i="28"/>
  <c r="C21" i="28"/>
  <c r="G21" i="28" s="1"/>
  <c r="O20" i="28"/>
  <c r="N20" i="28"/>
  <c r="C20" i="28"/>
  <c r="K20" i="28" s="1"/>
  <c r="O19" i="28"/>
  <c r="N19" i="28"/>
  <c r="C19" i="28"/>
  <c r="K19" i="28" s="1"/>
  <c r="O15" i="28"/>
  <c r="N15" i="28"/>
  <c r="C15" i="28"/>
  <c r="G15" i="28" s="1"/>
  <c r="O14" i="28"/>
  <c r="N14" i="28"/>
  <c r="C14" i="28"/>
  <c r="K14" i="28" s="1"/>
  <c r="O13" i="28"/>
  <c r="N13" i="28"/>
  <c r="C13" i="28"/>
  <c r="K13" i="28" s="1"/>
  <c r="O12" i="28"/>
  <c r="N12" i="28"/>
  <c r="C12" i="28"/>
  <c r="G12" i="28" s="1"/>
  <c r="O8" i="28"/>
  <c r="N8" i="28"/>
  <c r="C8" i="28"/>
  <c r="K8" i="28" s="1"/>
  <c r="O7" i="28"/>
  <c r="N7" i="28"/>
  <c r="C7" i="28"/>
  <c r="G7" i="28" s="1"/>
  <c r="O6" i="28"/>
  <c r="N6" i="28"/>
  <c r="C6" i="28"/>
  <c r="G6" i="28" s="1"/>
  <c r="O5" i="28"/>
  <c r="N5" i="28"/>
  <c r="C5" i="28"/>
  <c r="G5" i="28" s="1"/>
  <c r="E40" i="27"/>
  <c r="D40" i="27"/>
  <c r="C40" i="27"/>
  <c r="E39" i="27"/>
  <c r="D39" i="27"/>
  <c r="C39" i="27"/>
  <c r="E38" i="27"/>
  <c r="D38" i="27"/>
  <c r="O27" i="27"/>
  <c r="N27" i="27"/>
  <c r="C27" i="27"/>
  <c r="G27" i="27" s="1"/>
  <c r="O26" i="27"/>
  <c r="N26" i="27"/>
  <c r="C26" i="27"/>
  <c r="K26" i="27" s="1"/>
  <c r="O25" i="27"/>
  <c r="N25" i="27"/>
  <c r="C25" i="27"/>
  <c r="K25" i="27" s="1"/>
  <c r="O21" i="27"/>
  <c r="N21" i="27"/>
  <c r="C21" i="27"/>
  <c r="G21" i="27" s="1"/>
  <c r="O20" i="27"/>
  <c r="N20" i="27"/>
  <c r="C20" i="27"/>
  <c r="K20" i="27" s="1"/>
  <c r="O19" i="27"/>
  <c r="N19" i="27"/>
  <c r="C19" i="27"/>
  <c r="K19" i="27" s="1"/>
  <c r="O15" i="27"/>
  <c r="N15" i="27"/>
  <c r="C15" i="27"/>
  <c r="G15" i="27" s="1"/>
  <c r="O14" i="27"/>
  <c r="N14" i="27"/>
  <c r="C14" i="27"/>
  <c r="K14" i="27" s="1"/>
  <c r="O13" i="27"/>
  <c r="N13" i="27"/>
  <c r="C13" i="27"/>
  <c r="K13" i="27" s="1"/>
  <c r="O12" i="27"/>
  <c r="N12" i="27"/>
  <c r="C12" i="27"/>
  <c r="K12" i="27" s="1"/>
  <c r="O8" i="27"/>
  <c r="N8" i="27"/>
  <c r="C8" i="27"/>
  <c r="K8" i="27" s="1"/>
  <c r="O7" i="27"/>
  <c r="N7" i="27"/>
  <c r="C7" i="27"/>
  <c r="K7" i="27" s="1"/>
  <c r="O6" i="27"/>
  <c r="N6" i="27"/>
  <c r="C6" i="27"/>
  <c r="G6" i="27" s="1"/>
  <c r="O5" i="27"/>
  <c r="N5" i="27"/>
  <c r="C5" i="27"/>
  <c r="G5" i="27" s="1"/>
  <c r="E40" i="26"/>
  <c r="D40" i="26"/>
  <c r="C40" i="26"/>
  <c r="E39" i="26"/>
  <c r="D39" i="26"/>
  <c r="C39" i="26"/>
  <c r="E38" i="26"/>
  <c r="D38" i="26"/>
  <c r="O27" i="26"/>
  <c r="N27" i="26"/>
  <c r="K27" i="26"/>
  <c r="C27" i="26"/>
  <c r="G27" i="26" s="1"/>
  <c r="O26" i="26"/>
  <c r="N26" i="26"/>
  <c r="C26" i="26"/>
  <c r="K26" i="26" s="1"/>
  <c r="O25" i="26"/>
  <c r="N25" i="26"/>
  <c r="C25" i="26"/>
  <c r="K25" i="26" s="1"/>
  <c r="O21" i="26"/>
  <c r="N21" i="26"/>
  <c r="K21" i="26"/>
  <c r="C21" i="26"/>
  <c r="G21" i="26" s="1"/>
  <c r="O20" i="26"/>
  <c r="N20" i="26"/>
  <c r="C20" i="26"/>
  <c r="K20" i="26" s="1"/>
  <c r="O19" i="26"/>
  <c r="N19" i="26"/>
  <c r="C19" i="26"/>
  <c r="G19" i="26" s="1"/>
  <c r="O15" i="26"/>
  <c r="N15" i="26"/>
  <c r="K15" i="26"/>
  <c r="C15" i="26"/>
  <c r="G15" i="26" s="1"/>
  <c r="O14" i="26"/>
  <c r="N14" i="26"/>
  <c r="C14" i="26"/>
  <c r="K14" i="26" s="1"/>
  <c r="O13" i="26"/>
  <c r="N13" i="26"/>
  <c r="C13" i="26"/>
  <c r="K13" i="26" s="1"/>
  <c r="O12" i="26"/>
  <c r="N12" i="26"/>
  <c r="K12" i="26"/>
  <c r="G12" i="26"/>
  <c r="C12" i="26"/>
  <c r="O8" i="26"/>
  <c r="N8" i="26"/>
  <c r="C8" i="26"/>
  <c r="K8" i="26" s="1"/>
  <c r="O7" i="26"/>
  <c r="O28" i="26" s="1"/>
  <c r="O30" i="26" s="1"/>
  <c r="D33" i="26" s="1"/>
  <c r="N7" i="26"/>
  <c r="C7" i="26"/>
  <c r="G7" i="26" s="1"/>
  <c r="O6" i="26"/>
  <c r="N6" i="26"/>
  <c r="K6" i="26"/>
  <c r="G6" i="26"/>
  <c r="C6" i="26"/>
  <c r="O5" i="26"/>
  <c r="N5" i="26"/>
  <c r="N28" i="26" s="1"/>
  <c r="N30" i="26" s="1"/>
  <c r="C33" i="26" s="1"/>
  <c r="K5" i="26"/>
  <c r="C5" i="26"/>
  <c r="G5" i="26" s="1"/>
  <c r="E40" i="25"/>
  <c r="D40" i="25"/>
  <c r="C40" i="25"/>
  <c r="E39" i="25"/>
  <c r="D39" i="25"/>
  <c r="C39" i="25"/>
  <c r="E38" i="25"/>
  <c r="D38" i="25"/>
  <c r="O27" i="25"/>
  <c r="N27" i="25"/>
  <c r="G27" i="25"/>
  <c r="O26" i="25"/>
  <c r="N26" i="25"/>
  <c r="K26" i="25"/>
  <c r="O25" i="25"/>
  <c r="N25" i="25"/>
  <c r="G25" i="25"/>
  <c r="O21" i="25"/>
  <c r="N21" i="25"/>
  <c r="G21" i="25"/>
  <c r="O20" i="25"/>
  <c r="N20" i="25"/>
  <c r="K20" i="25"/>
  <c r="O19" i="25"/>
  <c r="N19" i="25"/>
  <c r="G19" i="25"/>
  <c r="O15" i="25"/>
  <c r="N15" i="25"/>
  <c r="G15" i="25"/>
  <c r="O14" i="25"/>
  <c r="N14" i="25"/>
  <c r="K14" i="25"/>
  <c r="O13" i="25"/>
  <c r="N13" i="25"/>
  <c r="K13" i="25"/>
  <c r="O12" i="25"/>
  <c r="N12" i="25"/>
  <c r="K12" i="25"/>
  <c r="O8" i="25"/>
  <c r="N8" i="25"/>
  <c r="K8" i="25"/>
  <c r="O7" i="25"/>
  <c r="N7" i="25"/>
  <c r="K7" i="25"/>
  <c r="O6" i="25"/>
  <c r="N6" i="25"/>
  <c r="G6" i="25"/>
  <c r="O5" i="25"/>
  <c r="N5" i="25"/>
  <c r="G5" i="25"/>
  <c r="E40" i="24"/>
  <c r="D40" i="24"/>
  <c r="C40" i="24"/>
  <c r="E39" i="24"/>
  <c r="D39" i="24"/>
  <c r="C39" i="24"/>
  <c r="E38" i="24"/>
  <c r="D38" i="24"/>
  <c r="O28" i="28" l="1"/>
  <c r="O30" i="28" s="1"/>
  <c r="D33" i="28" s="1"/>
  <c r="K27" i="28"/>
  <c r="K21" i="28"/>
  <c r="K15" i="28"/>
  <c r="N28" i="28"/>
  <c r="N30" i="28" s="1"/>
  <c r="C33" i="28" s="1"/>
  <c r="K12" i="28"/>
  <c r="K6" i="28"/>
  <c r="K5" i="28"/>
  <c r="O28" i="27"/>
  <c r="O30" i="27" s="1"/>
  <c r="D33" i="27" s="1"/>
  <c r="K6" i="27"/>
  <c r="K27" i="27"/>
  <c r="K21" i="27"/>
  <c r="K15" i="27"/>
  <c r="G12" i="27"/>
  <c r="N28" i="27"/>
  <c r="N30" i="27" s="1"/>
  <c r="C33" i="27" s="1"/>
  <c r="K5" i="27"/>
  <c r="K6" i="25"/>
  <c r="O28" i="25"/>
  <c r="O30" i="25" s="1"/>
  <c r="D33" i="25" s="1"/>
  <c r="K27" i="25"/>
  <c r="K21" i="25"/>
  <c r="K15" i="25"/>
  <c r="G12" i="25"/>
  <c r="N28" i="25"/>
  <c r="N30" i="25" s="1"/>
  <c r="K5" i="25"/>
  <c r="C17" i="28"/>
  <c r="G13" i="28"/>
  <c r="G19" i="28"/>
  <c r="K7" i="28"/>
  <c r="G8" i="28"/>
  <c r="G14" i="28"/>
  <c r="G20" i="28"/>
  <c r="K25" i="28"/>
  <c r="G26" i="28"/>
  <c r="C29" i="28" s="1"/>
  <c r="G7" i="27"/>
  <c r="G13" i="27"/>
  <c r="G19" i="27"/>
  <c r="G25" i="27"/>
  <c r="G8" i="27"/>
  <c r="G14" i="27"/>
  <c r="G20" i="27"/>
  <c r="G26" i="27"/>
  <c r="G13" i="26"/>
  <c r="G25" i="26"/>
  <c r="K7" i="26"/>
  <c r="G14" i="26"/>
  <c r="C17" i="26" s="1"/>
  <c r="K19" i="26"/>
  <c r="G20" i="26"/>
  <c r="C23" i="26" s="1"/>
  <c r="G26" i="26"/>
  <c r="G8" i="26"/>
  <c r="C10" i="26" s="1"/>
  <c r="G7" i="25"/>
  <c r="G13" i="25"/>
  <c r="G8" i="25"/>
  <c r="C10" i="25" s="1"/>
  <c r="G14" i="25"/>
  <c r="K19" i="25"/>
  <c r="G20" i="25"/>
  <c r="C23" i="25" s="1"/>
  <c r="K25" i="25"/>
  <c r="G26" i="25"/>
  <c r="C29" i="25" s="1"/>
  <c r="P32" i="23"/>
  <c r="P31" i="23"/>
  <c r="Q40" i="23"/>
  <c r="Q39" i="23"/>
  <c r="Q38" i="23"/>
  <c r="Q37" i="23"/>
  <c r="P40" i="23"/>
  <c r="P39" i="23"/>
  <c r="P38" i="23"/>
  <c r="P37" i="23"/>
  <c r="O40" i="23"/>
  <c r="O39" i="23"/>
  <c r="O38" i="23"/>
  <c r="O37" i="23"/>
  <c r="N40" i="23"/>
  <c r="N39" i="23"/>
  <c r="N38" i="23"/>
  <c r="N37" i="23"/>
  <c r="K40" i="23"/>
  <c r="K39" i="23"/>
  <c r="K38" i="23"/>
  <c r="K37" i="23"/>
  <c r="J40" i="23"/>
  <c r="J39" i="23"/>
  <c r="J38" i="23"/>
  <c r="J37" i="23"/>
  <c r="I40" i="23"/>
  <c r="I39" i="23"/>
  <c r="I38" i="23"/>
  <c r="I37" i="23"/>
  <c r="H40" i="23"/>
  <c r="H39" i="23"/>
  <c r="H38" i="23"/>
  <c r="H37" i="23"/>
  <c r="A32" i="23"/>
  <c r="A31" i="23"/>
  <c r="A30" i="23"/>
  <c r="A29" i="23"/>
  <c r="A28" i="23"/>
  <c r="A19" i="23"/>
  <c r="A21" i="23"/>
  <c r="A20" i="23"/>
  <c r="A18" i="23"/>
  <c r="A17" i="23"/>
  <c r="C23" i="28" l="1"/>
  <c r="F33" i="28"/>
  <c r="C38" i="28" s="1"/>
  <c r="C17" i="27"/>
  <c r="F33" i="27"/>
  <c r="C38" i="27" s="1"/>
  <c r="C17" i="25"/>
  <c r="F33" i="25"/>
  <c r="C38" i="25" s="1"/>
  <c r="C10" i="28"/>
  <c r="C29" i="27"/>
  <c r="C10" i="27"/>
  <c r="C23" i="27"/>
  <c r="C29" i="26"/>
  <c r="F33" i="26"/>
  <c r="C38" i="26" s="1"/>
  <c r="A9" i="23"/>
  <c r="A8" i="23"/>
  <c r="B40" i="23"/>
  <c r="A5" i="23"/>
  <c r="B39" i="23" s="1"/>
  <c r="B38" i="23" l="1"/>
  <c r="C38" i="23" s="1"/>
  <c r="C40" i="23"/>
  <c r="D40" i="23"/>
  <c r="D38" i="23"/>
  <c r="C39" i="23"/>
  <c r="D39" i="23"/>
  <c r="B41" i="23"/>
  <c r="B37" i="23"/>
  <c r="S31" i="23"/>
  <c r="R31" i="23"/>
  <c r="Q31" i="23"/>
  <c r="O31" i="23"/>
  <c r="N31" i="23"/>
  <c r="M31" i="23"/>
  <c r="L31" i="23"/>
  <c r="K31" i="23"/>
  <c r="J31" i="23"/>
  <c r="I31" i="23"/>
  <c r="H31" i="23"/>
  <c r="G31" i="23"/>
  <c r="F31" i="23"/>
  <c r="E31" i="23"/>
  <c r="S32" i="23"/>
  <c r="R32" i="23"/>
  <c r="Q32" i="23"/>
  <c r="O32" i="23"/>
  <c r="N32" i="23"/>
  <c r="M32" i="23"/>
  <c r="L32" i="23"/>
  <c r="K32" i="23"/>
  <c r="J32" i="23"/>
  <c r="I32" i="23"/>
  <c r="H32" i="23"/>
  <c r="G32" i="23"/>
  <c r="F32" i="23"/>
  <c r="E32" i="23"/>
  <c r="C41" i="23" l="1"/>
  <c r="D41" i="23"/>
  <c r="C37" i="23"/>
  <c r="D37" i="23"/>
  <c r="E22" i="23"/>
  <c r="F22" i="23"/>
  <c r="G22" i="23"/>
  <c r="H22" i="23"/>
  <c r="I22" i="23"/>
  <c r="J22" i="23"/>
  <c r="K22" i="23"/>
  <c r="L22" i="23"/>
  <c r="M22" i="23"/>
  <c r="N22" i="23"/>
  <c r="O22" i="23"/>
  <c r="Q22" i="23"/>
  <c r="R22" i="23"/>
  <c r="S22" i="23"/>
  <c r="S28" i="23" l="1"/>
  <c r="P57" i="18" l="1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Q50" i="18" s="1"/>
  <c r="R50" i="18" s="1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Q45" i="18" s="1"/>
  <c r="R45" i="18" s="1"/>
  <c r="C45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Q42" i="18" s="1"/>
  <c r="R42" i="18" s="1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A34" i="18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29" i="18"/>
  <c r="B57" i="18" s="1"/>
  <c r="B28" i="18"/>
  <c r="B56" i="18" s="1"/>
  <c r="B27" i="18"/>
  <c r="B55" i="18" s="1"/>
  <c r="B26" i="18"/>
  <c r="B54" i="18" s="1"/>
  <c r="B25" i="18"/>
  <c r="B53" i="18" s="1"/>
  <c r="B24" i="18"/>
  <c r="B23" i="18"/>
  <c r="B51" i="18" s="1"/>
  <c r="B22" i="18"/>
  <c r="B50" i="18" s="1"/>
  <c r="B21" i="18"/>
  <c r="B49" i="18" s="1"/>
  <c r="B20" i="18"/>
  <c r="B48" i="18" s="1"/>
  <c r="B19" i="18"/>
  <c r="B47" i="18" s="1"/>
  <c r="B18" i="18"/>
  <c r="B46" i="18" s="1"/>
  <c r="B17" i="18"/>
  <c r="B45" i="18" s="1"/>
  <c r="B16" i="18"/>
  <c r="B15" i="18"/>
  <c r="B43" i="18" s="1"/>
  <c r="B14" i="18"/>
  <c r="B42" i="18" s="1"/>
  <c r="B13" i="18"/>
  <c r="B41" i="18" s="1"/>
  <c r="B12" i="18"/>
  <c r="B40" i="18" s="1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O27" i="24"/>
  <c r="N27" i="24"/>
  <c r="C27" i="24"/>
  <c r="O26" i="24"/>
  <c r="N26" i="24"/>
  <c r="C26" i="24"/>
  <c r="O25" i="24"/>
  <c r="N25" i="24"/>
  <c r="C25" i="24"/>
  <c r="O21" i="24"/>
  <c r="N21" i="24"/>
  <c r="C21" i="24"/>
  <c r="O20" i="24"/>
  <c r="N20" i="24"/>
  <c r="C20" i="24"/>
  <c r="K20" i="24" s="1"/>
  <c r="O19" i="24"/>
  <c r="N19" i="24"/>
  <c r="C19" i="24"/>
  <c r="O15" i="24"/>
  <c r="N15" i="24"/>
  <c r="C15" i="24"/>
  <c r="K15" i="24" s="1"/>
  <c r="O14" i="24"/>
  <c r="N14" i="24"/>
  <c r="C14" i="24"/>
  <c r="K14" i="24" s="1"/>
  <c r="O13" i="24"/>
  <c r="N13" i="24"/>
  <c r="C13" i="24"/>
  <c r="O12" i="24"/>
  <c r="N12" i="24"/>
  <c r="C12" i="24"/>
  <c r="K12" i="24" s="1"/>
  <c r="O8" i="24"/>
  <c r="N8" i="24"/>
  <c r="C8" i="24"/>
  <c r="K8" i="24" s="1"/>
  <c r="O7" i="24"/>
  <c r="N7" i="24"/>
  <c r="C7" i="24"/>
  <c r="O6" i="24"/>
  <c r="N6" i="24"/>
  <c r="C6" i="24"/>
  <c r="K6" i="24" s="1"/>
  <c r="O5" i="24"/>
  <c r="N5" i="24"/>
  <c r="C5" i="24"/>
  <c r="G27" i="24" l="1"/>
  <c r="K27" i="24"/>
  <c r="G26" i="24"/>
  <c r="K26" i="24"/>
  <c r="G25" i="24"/>
  <c r="K25" i="24"/>
  <c r="G21" i="24"/>
  <c r="K21" i="24"/>
  <c r="G19" i="24"/>
  <c r="K19" i="24"/>
  <c r="G13" i="24"/>
  <c r="K13" i="24"/>
  <c r="G7" i="24"/>
  <c r="K7" i="24"/>
  <c r="G5" i="24"/>
  <c r="K5" i="24"/>
  <c r="Q53" i="18"/>
  <c r="R53" i="18" s="1"/>
  <c r="Q44" i="18"/>
  <c r="R44" i="18" s="1"/>
  <c r="Q47" i="18"/>
  <c r="R47" i="18" s="1"/>
  <c r="Q52" i="18"/>
  <c r="R52" i="18" s="1"/>
  <c r="Q55" i="18"/>
  <c r="R55" i="18" s="1"/>
  <c r="Q41" i="18"/>
  <c r="R41" i="18" s="1"/>
  <c r="Q46" i="18"/>
  <c r="R46" i="18" s="1"/>
  <c r="Q49" i="18"/>
  <c r="R49" i="18" s="1"/>
  <c r="Q54" i="18"/>
  <c r="R54" i="18" s="1"/>
  <c r="Q57" i="18"/>
  <c r="R57" i="18" s="1"/>
  <c r="Q40" i="18"/>
  <c r="R40" i="18" s="1"/>
  <c r="Q43" i="18"/>
  <c r="R43" i="18" s="1"/>
  <c r="Q48" i="18"/>
  <c r="R48" i="18" s="1"/>
  <c r="Q51" i="18"/>
  <c r="R51" i="18" s="1"/>
  <c r="Q56" i="18"/>
  <c r="R56" i="18" s="1"/>
  <c r="N28" i="24"/>
  <c r="N30" i="24" s="1"/>
  <c r="C33" i="24" s="1"/>
  <c r="Q34" i="18"/>
  <c r="R34" i="18" s="1"/>
  <c r="Q36" i="18"/>
  <c r="R36" i="18" s="1"/>
  <c r="Q37" i="18"/>
  <c r="R37" i="18" s="1"/>
  <c r="Q33" i="18"/>
  <c r="R33" i="18" s="1"/>
  <c r="Q35" i="18"/>
  <c r="R35" i="18" s="1"/>
  <c r="Q38" i="18"/>
  <c r="R38" i="18" s="1"/>
  <c r="Q39" i="18"/>
  <c r="R39" i="18" s="1"/>
  <c r="G20" i="24"/>
  <c r="C23" i="24" s="1"/>
  <c r="G14" i="24"/>
  <c r="G8" i="24"/>
  <c r="O28" i="24"/>
  <c r="O30" i="24" s="1"/>
  <c r="D33" i="24" s="1"/>
  <c r="G15" i="24"/>
  <c r="G6" i="24"/>
  <c r="G12" i="24"/>
  <c r="C29" i="24" l="1"/>
  <c r="F33" i="24"/>
  <c r="C38" i="24" s="1"/>
  <c r="C17" i="24"/>
  <c r="C10" i="24"/>
  <c r="R58" i="18"/>
  <c r="J57" i="16" l="1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B30" i="23" l="1"/>
  <c r="B29" i="23"/>
  <c r="B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S33" i="23"/>
  <c r="E33" i="23" l="1"/>
  <c r="I33" i="23"/>
  <c r="M33" i="23"/>
  <c r="Q33" i="23"/>
  <c r="F33" i="23"/>
  <c r="J33" i="23"/>
  <c r="N33" i="23"/>
  <c r="R33" i="23"/>
  <c r="H33" i="23"/>
  <c r="L33" i="23"/>
  <c r="P33" i="23"/>
  <c r="K33" i="23"/>
  <c r="O33" i="23"/>
  <c r="G33" i="23"/>
  <c r="S10" i="23"/>
  <c r="F10" i="23"/>
  <c r="G10" i="23"/>
  <c r="H10" i="23"/>
  <c r="I10" i="23"/>
  <c r="J10" i="23"/>
  <c r="K10" i="23"/>
  <c r="L10" i="23"/>
  <c r="M10" i="23"/>
  <c r="N10" i="23"/>
  <c r="O10" i="23"/>
  <c r="P10" i="23"/>
  <c r="Q10" i="23"/>
  <c r="R10" i="23"/>
  <c r="E10" i="23"/>
  <c r="C38" i="16" l="1"/>
  <c r="F38" i="16"/>
  <c r="G38" i="16"/>
  <c r="K38" i="16"/>
  <c r="L38" i="16"/>
  <c r="M38" i="16"/>
  <c r="N38" i="16"/>
  <c r="O38" i="16"/>
  <c r="P38" i="16"/>
  <c r="C39" i="16"/>
  <c r="F39" i="16"/>
  <c r="G39" i="16"/>
  <c r="K39" i="16"/>
  <c r="L39" i="16"/>
  <c r="M39" i="16"/>
  <c r="N39" i="16"/>
  <c r="O39" i="16"/>
  <c r="P39" i="16"/>
  <c r="C40" i="16"/>
  <c r="F40" i="16"/>
  <c r="G40" i="16"/>
  <c r="K40" i="16"/>
  <c r="L40" i="16"/>
  <c r="M40" i="16"/>
  <c r="N40" i="16"/>
  <c r="O40" i="16"/>
  <c r="P40" i="16"/>
  <c r="C41" i="16"/>
  <c r="F41" i="16"/>
  <c r="G41" i="16"/>
  <c r="K41" i="16"/>
  <c r="L41" i="16"/>
  <c r="M41" i="16"/>
  <c r="N41" i="16"/>
  <c r="O41" i="16"/>
  <c r="P41" i="16"/>
  <c r="C42" i="16"/>
  <c r="F42" i="16"/>
  <c r="G42" i="16"/>
  <c r="K42" i="16"/>
  <c r="L42" i="16"/>
  <c r="M42" i="16"/>
  <c r="N42" i="16"/>
  <c r="O42" i="16"/>
  <c r="P42" i="16"/>
  <c r="C43" i="16"/>
  <c r="F43" i="16"/>
  <c r="G43" i="16"/>
  <c r="K43" i="16"/>
  <c r="L43" i="16"/>
  <c r="M43" i="16"/>
  <c r="N43" i="16"/>
  <c r="O43" i="16"/>
  <c r="P43" i="16"/>
  <c r="C44" i="16"/>
  <c r="F44" i="16"/>
  <c r="G44" i="16"/>
  <c r="K44" i="16"/>
  <c r="L44" i="16"/>
  <c r="M44" i="16"/>
  <c r="N44" i="16"/>
  <c r="O44" i="16"/>
  <c r="P44" i="16"/>
  <c r="C45" i="16"/>
  <c r="F45" i="16"/>
  <c r="G45" i="16"/>
  <c r="K45" i="16"/>
  <c r="L45" i="16"/>
  <c r="M45" i="16"/>
  <c r="N45" i="16"/>
  <c r="O45" i="16"/>
  <c r="P45" i="16"/>
  <c r="C46" i="16"/>
  <c r="F46" i="16"/>
  <c r="G46" i="16"/>
  <c r="K46" i="16"/>
  <c r="L46" i="16"/>
  <c r="M46" i="16"/>
  <c r="N46" i="16"/>
  <c r="O46" i="16"/>
  <c r="P46" i="16"/>
  <c r="C47" i="16"/>
  <c r="F47" i="16"/>
  <c r="G47" i="16"/>
  <c r="K47" i="16"/>
  <c r="L47" i="16"/>
  <c r="M47" i="16"/>
  <c r="N47" i="16"/>
  <c r="O47" i="16"/>
  <c r="P47" i="16"/>
  <c r="C48" i="16"/>
  <c r="F48" i="16"/>
  <c r="G48" i="16"/>
  <c r="K48" i="16"/>
  <c r="L48" i="16"/>
  <c r="M48" i="16"/>
  <c r="N48" i="16"/>
  <c r="O48" i="16"/>
  <c r="P48" i="16"/>
  <c r="C49" i="16"/>
  <c r="F49" i="16"/>
  <c r="G49" i="16"/>
  <c r="K49" i="16"/>
  <c r="L49" i="16"/>
  <c r="M49" i="16"/>
  <c r="N49" i="16"/>
  <c r="O49" i="16"/>
  <c r="P49" i="16"/>
  <c r="C50" i="16"/>
  <c r="F50" i="16"/>
  <c r="G50" i="16"/>
  <c r="K50" i="16"/>
  <c r="L50" i="16"/>
  <c r="M50" i="16"/>
  <c r="N50" i="16"/>
  <c r="O50" i="16"/>
  <c r="P50" i="16"/>
  <c r="C51" i="16"/>
  <c r="F51" i="16"/>
  <c r="G51" i="16"/>
  <c r="K51" i="16"/>
  <c r="L51" i="16"/>
  <c r="M51" i="16"/>
  <c r="N51" i="16"/>
  <c r="O51" i="16"/>
  <c r="P51" i="16"/>
  <c r="C52" i="16"/>
  <c r="F52" i="16"/>
  <c r="G52" i="16"/>
  <c r="K52" i="16"/>
  <c r="L52" i="16"/>
  <c r="M52" i="16"/>
  <c r="N52" i="16"/>
  <c r="O52" i="16"/>
  <c r="P52" i="16"/>
  <c r="C53" i="16"/>
  <c r="D53" i="16"/>
  <c r="F53" i="16"/>
  <c r="G53" i="16"/>
  <c r="K53" i="16"/>
  <c r="L53" i="16"/>
  <c r="M53" i="16"/>
  <c r="N53" i="16"/>
  <c r="O53" i="16"/>
  <c r="P53" i="16"/>
  <c r="C54" i="16"/>
  <c r="D54" i="16"/>
  <c r="F54" i="16"/>
  <c r="G54" i="16"/>
  <c r="H54" i="16"/>
  <c r="K54" i="16"/>
  <c r="L54" i="16"/>
  <c r="M54" i="16"/>
  <c r="N54" i="16"/>
  <c r="O54" i="16"/>
  <c r="P54" i="16"/>
  <c r="C55" i="16"/>
  <c r="D55" i="16"/>
  <c r="F55" i="16"/>
  <c r="G55" i="16"/>
  <c r="H55" i="16"/>
  <c r="K55" i="16"/>
  <c r="L55" i="16"/>
  <c r="M55" i="16"/>
  <c r="N55" i="16"/>
  <c r="O55" i="16"/>
  <c r="P55" i="16"/>
  <c r="C56" i="16"/>
  <c r="D56" i="16"/>
  <c r="F56" i="16"/>
  <c r="G56" i="16"/>
  <c r="H56" i="16"/>
  <c r="I56" i="16"/>
  <c r="K56" i="16"/>
  <c r="L56" i="16"/>
  <c r="M56" i="16"/>
  <c r="N56" i="16"/>
  <c r="O56" i="16"/>
  <c r="P56" i="16"/>
  <c r="C57" i="16"/>
  <c r="D57" i="16"/>
  <c r="F57" i="16"/>
  <c r="G57" i="16"/>
  <c r="H57" i="16"/>
  <c r="I57" i="16"/>
  <c r="K57" i="16"/>
  <c r="L57" i="16"/>
  <c r="M57" i="16"/>
  <c r="N57" i="16"/>
  <c r="O57" i="16"/>
  <c r="P57" i="16"/>
  <c r="Q57" i="16" l="1"/>
  <c r="R57" i="16" s="1"/>
  <c r="Q56" i="16"/>
  <c r="R56" i="16" s="1"/>
  <c r="Q53" i="16"/>
  <c r="R53" i="16" s="1"/>
  <c r="Q49" i="16"/>
  <c r="R49" i="16" s="1"/>
  <c r="Q45" i="16"/>
  <c r="R45" i="16" s="1"/>
  <c r="Q41" i="16"/>
  <c r="R41" i="16" s="1"/>
  <c r="Q52" i="16"/>
  <c r="R52" i="16" s="1"/>
  <c r="Q48" i="16"/>
  <c r="R48" i="16" s="1"/>
  <c r="Q44" i="16"/>
  <c r="R44" i="16" s="1"/>
  <c r="Q40" i="16"/>
  <c r="R40" i="16" s="1"/>
  <c r="Q54" i="16"/>
  <c r="R54" i="16" s="1"/>
  <c r="Q51" i="16"/>
  <c r="R51" i="16" s="1"/>
  <c r="Q47" i="16"/>
  <c r="R47" i="16" s="1"/>
  <c r="Q43" i="16"/>
  <c r="R43" i="16" s="1"/>
  <c r="Q55" i="16"/>
  <c r="R55" i="16" s="1"/>
  <c r="Q50" i="16"/>
  <c r="R50" i="16" s="1"/>
  <c r="Q46" i="16"/>
  <c r="R46" i="16" s="1"/>
  <c r="Q42" i="16"/>
  <c r="R42" i="16" s="1"/>
  <c r="Q39" i="16"/>
  <c r="R39" i="16" s="1"/>
  <c r="Q38" i="16"/>
  <c r="R38" i="16" s="1"/>
  <c r="G37" i="16" l="1"/>
  <c r="G36" i="16"/>
  <c r="G35" i="16"/>
  <c r="G34" i="16"/>
  <c r="M37" i="16"/>
  <c r="M36" i="16"/>
  <c r="M35" i="16"/>
  <c r="M34" i="16"/>
  <c r="M33" i="16"/>
  <c r="M30" i="16" l="1"/>
  <c r="G33" i="16"/>
  <c r="G30" i="16"/>
  <c r="P34" i="16"/>
  <c r="P35" i="16"/>
  <c r="P36" i="16"/>
  <c r="P37" i="16"/>
  <c r="P30" i="16"/>
  <c r="B38" i="16"/>
  <c r="A34" i="16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B29" i="16"/>
  <c r="B57" i="16" s="1"/>
  <c r="B28" i="16"/>
  <c r="B56" i="16" s="1"/>
  <c r="B27" i="16"/>
  <c r="B55" i="16" s="1"/>
  <c r="B26" i="16"/>
  <c r="B54" i="16" s="1"/>
  <c r="B25" i="16"/>
  <c r="B53" i="16" s="1"/>
  <c r="B24" i="16"/>
  <c r="B52" i="16" s="1"/>
  <c r="B23" i="16"/>
  <c r="B51" i="16" s="1"/>
  <c r="B22" i="16"/>
  <c r="B50" i="16" s="1"/>
  <c r="B21" i="16"/>
  <c r="B49" i="16" s="1"/>
  <c r="B20" i="16"/>
  <c r="B48" i="16" s="1"/>
  <c r="B19" i="16"/>
  <c r="B47" i="16" s="1"/>
  <c r="B18" i="16"/>
  <c r="B46" i="16" s="1"/>
  <c r="B17" i="16"/>
  <c r="B45" i="16" s="1"/>
  <c r="B16" i="16"/>
  <c r="B44" i="16" s="1"/>
  <c r="B15" i="16"/>
  <c r="B43" i="16" s="1"/>
  <c r="B14" i="16"/>
  <c r="B42" i="16" s="1"/>
  <c r="B13" i="16"/>
  <c r="B41" i="16" s="1"/>
  <c r="B12" i="16"/>
  <c r="B40" i="16" s="1"/>
  <c r="B39" i="16"/>
  <c r="B37" i="16"/>
  <c r="B36" i="16"/>
  <c r="B35" i="16"/>
  <c r="B34" i="16"/>
  <c r="B33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P33" i="16" l="1"/>
  <c r="L37" i="16"/>
  <c r="L36" i="16"/>
  <c r="L35" i="16"/>
  <c r="L34" i="16"/>
  <c r="F37" i="16"/>
  <c r="F36" i="16"/>
  <c r="F35" i="16"/>
  <c r="F34" i="16"/>
  <c r="O37" i="16"/>
  <c r="O36" i="16"/>
  <c r="O35" i="16"/>
  <c r="O34" i="16"/>
  <c r="N37" i="16"/>
  <c r="N36" i="16"/>
  <c r="N35" i="16"/>
  <c r="N34" i="16"/>
  <c r="K37" i="16"/>
  <c r="K36" i="16"/>
  <c r="K35" i="16"/>
  <c r="K34" i="16"/>
  <c r="C34" i="16"/>
  <c r="C35" i="16"/>
  <c r="C36" i="16"/>
  <c r="C37" i="16"/>
  <c r="N30" i="16" l="1"/>
  <c r="N33" i="16"/>
  <c r="E30" i="16"/>
  <c r="O30" i="16"/>
  <c r="O33" i="16"/>
  <c r="L33" i="16"/>
  <c r="L30" i="16"/>
  <c r="K30" i="16"/>
  <c r="K33" i="16"/>
  <c r="J30" i="16"/>
  <c r="I30" i="16"/>
  <c r="Q37" i="16"/>
  <c r="R37" i="16" s="1"/>
  <c r="Q36" i="16"/>
  <c r="R36" i="16" s="1"/>
  <c r="H30" i="16"/>
  <c r="Q35" i="16"/>
  <c r="R35" i="16" s="1"/>
  <c r="F30" i="16"/>
  <c r="F33" i="16"/>
  <c r="Q34" i="16"/>
  <c r="R34" i="16" s="1"/>
  <c r="D30" i="16"/>
  <c r="C33" i="16"/>
  <c r="C30" i="16"/>
  <c r="Q33" i="16" l="1"/>
  <c r="R33" i="16" l="1"/>
  <c r="R58" i="16" s="1"/>
</calcChain>
</file>

<file path=xl/sharedStrings.xml><?xml version="1.0" encoding="utf-8"?>
<sst xmlns="http://schemas.openxmlformats.org/spreadsheetml/2006/main" count="618" uniqueCount="107">
  <si>
    <t>Noms et Prénoms</t>
  </si>
  <si>
    <t>Anglais</t>
  </si>
  <si>
    <t>N°</t>
  </si>
  <si>
    <t>ECM</t>
  </si>
  <si>
    <t>EPS</t>
  </si>
  <si>
    <t>ESF</t>
  </si>
  <si>
    <t>TM</t>
  </si>
  <si>
    <t>TOTAL</t>
  </si>
  <si>
    <t>MOYENNE</t>
  </si>
  <si>
    <t>LVII</t>
  </si>
  <si>
    <t>GEO</t>
  </si>
  <si>
    <t>ANG</t>
  </si>
  <si>
    <t>LAN</t>
  </si>
  <si>
    <t>LIT</t>
  </si>
  <si>
    <t>HIST</t>
  </si>
  <si>
    <t>PHILO</t>
  </si>
  <si>
    <t>INF</t>
  </si>
  <si>
    <t>MATH</t>
  </si>
  <si>
    <t>SCI</t>
  </si>
  <si>
    <t>MOY GEN</t>
  </si>
  <si>
    <t>MOY</t>
  </si>
  <si>
    <t>MOYENNE GENERALE</t>
  </si>
  <si>
    <t>Rang</t>
  </si>
  <si>
    <t>MATIERES</t>
  </si>
  <si>
    <t>TRIM 1</t>
  </si>
  <si>
    <t>SEQ 1</t>
  </si>
  <si>
    <t>SEQ 2</t>
  </si>
  <si>
    <t>Coef</t>
  </si>
  <si>
    <t>Moy × Coef</t>
  </si>
  <si>
    <t xml:space="preserve">Moy Gle Classe </t>
  </si>
  <si>
    <t>Appréciations</t>
  </si>
  <si>
    <t xml:space="preserve">Total du GROUPE I                       : </t>
  </si>
  <si>
    <t xml:space="preserve">      Moyenne du Groupe :                                       </t>
  </si>
  <si>
    <t xml:space="preserve"> Rang de l’élève :</t>
  </si>
  <si>
    <t xml:space="preserve">Total du GROUPE II                       : </t>
  </si>
  <si>
    <t xml:space="preserve">       Moyenne du Groupe :                                       </t>
  </si>
  <si>
    <t xml:space="preserve">Total du GROUPE III                       : </t>
  </si>
  <si>
    <t xml:space="preserve">Total du GROUPE IV                    : </t>
  </si>
  <si>
    <t>Total Général (GI + GII + GIII+GIV) =</t>
  </si>
  <si>
    <r>
      <t xml:space="preserve">Moy Gle de la Classe :                             </t>
    </r>
    <r>
      <rPr>
        <b/>
        <sz val="12"/>
        <color theme="1"/>
        <rFont val="Times New Roman"/>
        <family val="1"/>
      </rPr>
      <t xml:space="preserve">                     </t>
    </r>
  </si>
  <si>
    <t xml:space="preserve"> Moy du 1er :  </t>
  </si>
  <si>
    <t xml:space="preserve"> Moy du Dernier :</t>
  </si>
  <si>
    <t xml:space="preserve">Moyennes de l’Elève :                                                            </t>
  </si>
  <si>
    <t xml:space="preserve"> Trimestre 1 :                   </t>
  </si>
  <si>
    <t>/20</t>
  </si>
  <si>
    <t xml:space="preserve">          Rang de l’élève :                           </t>
  </si>
  <si>
    <r>
      <t>v</t>
    </r>
    <r>
      <rPr>
        <sz val="12"/>
        <color theme="1"/>
        <rFont val="Times New Roman"/>
        <family val="1"/>
      </rPr>
      <t xml:space="preserve">  </t>
    </r>
    <r>
      <rPr>
        <i/>
        <sz val="12"/>
        <color theme="1"/>
        <rFont val="Times New Roman"/>
        <family val="1"/>
      </rPr>
      <t>La moyenne Trimestrielle n’est pas égale à la moyenne arithmétique des séquences</t>
    </r>
  </si>
  <si>
    <r>
      <t xml:space="preserve">DECISIONS ET OBSERVATIONS / </t>
    </r>
    <r>
      <rPr>
        <i/>
        <sz val="12"/>
        <color theme="1"/>
        <rFont val="Times New Roman"/>
        <family val="1"/>
      </rPr>
      <t>Décisions And Observations</t>
    </r>
  </si>
  <si>
    <r>
      <t>DISCIPLINE /</t>
    </r>
    <r>
      <rPr>
        <i/>
        <sz val="12"/>
        <color theme="1"/>
        <rFont val="Times New Roman"/>
        <family val="1"/>
      </rPr>
      <t xml:space="preserve"> Disciplin</t>
    </r>
  </si>
  <si>
    <t>Appréciation du travail de l’élève</t>
  </si>
  <si>
    <r>
      <t xml:space="preserve">TRAVAIL / </t>
    </r>
    <r>
      <rPr>
        <i/>
        <sz val="12"/>
        <color theme="1"/>
        <rFont val="Times New Roman"/>
        <family val="1"/>
      </rPr>
      <t>Academic Work</t>
    </r>
  </si>
  <si>
    <t>Nb d’Heures :</t>
  </si>
  <si>
    <t>Nb de jrnées :</t>
  </si>
  <si>
    <r>
      <t xml:space="preserve">Tableau d’honneur / </t>
    </r>
    <r>
      <rPr>
        <i/>
        <sz val="12"/>
        <color theme="1"/>
        <rFont val="Times New Roman"/>
        <family val="1"/>
      </rPr>
      <t>Honour roll</t>
    </r>
  </si>
  <si>
    <t>Observations et Visa du Principal</t>
  </si>
  <si>
    <r>
      <t>Exclusions /</t>
    </r>
    <r>
      <rPr>
        <i/>
        <sz val="12"/>
        <color theme="1"/>
        <rFont val="Times New Roman"/>
        <family val="1"/>
      </rPr>
      <t xml:space="preserve"> Suspensions</t>
    </r>
  </si>
  <si>
    <r>
      <t xml:space="preserve">Encouragements / </t>
    </r>
    <r>
      <rPr>
        <i/>
        <sz val="12"/>
        <color theme="1"/>
        <rFont val="Times New Roman"/>
        <family val="1"/>
      </rPr>
      <t>Encouragements</t>
    </r>
  </si>
  <si>
    <t>Observations and Signature of Principal</t>
  </si>
  <si>
    <r>
      <t xml:space="preserve">Blâme / </t>
    </r>
    <r>
      <rPr>
        <i/>
        <sz val="12"/>
        <color theme="1"/>
        <rFont val="Times New Roman"/>
        <family val="1"/>
      </rPr>
      <t>Blame</t>
    </r>
  </si>
  <si>
    <t>Observations et Remarques du Professeur Principal</t>
  </si>
  <si>
    <r>
      <t xml:space="preserve">Félicitations / </t>
    </r>
    <r>
      <rPr>
        <i/>
        <sz val="12"/>
        <color theme="1"/>
        <rFont val="Times New Roman"/>
        <family val="1"/>
      </rPr>
      <t>Congratulations</t>
    </r>
  </si>
  <si>
    <r>
      <t xml:space="preserve">Avertissements / </t>
    </r>
    <r>
      <rPr>
        <i/>
        <sz val="12"/>
        <color theme="1"/>
        <rFont val="Times New Roman"/>
        <family val="1"/>
      </rPr>
      <t>Warnings</t>
    </r>
  </si>
  <si>
    <t>Décisions du Conseil de Classe</t>
  </si>
  <si>
    <t>Yaoundé le</t>
  </si>
  <si>
    <t>Observations et Remarques du parent de l’élève</t>
  </si>
  <si>
    <t>Le Principal</t>
  </si>
  <si>
    <r>
      <t xml:space="preserve">Anglais
</t>
    </r>
    <r>
      <rPr>
        <i/>
        <sz val="12"/>
        <color theme="1"/>
        <rFont val="Cambria"/>
        <family val="1"/>
        <scheme val="major"/>
      </rPr>
      <t>M. DOMGUIA TAKAM Joël Ismaël</t>
    </r>
  </si>
  <si>
    <r>
      <t xml:space="preserve">Langue Vivante II
</t>
    </r>
    <r>
      <rPr>
        <i/>
        <sz val="12"/>
        <color theme="1"/>
        <rFont val="Cambria"/>
        <family val="1"/>
        <scheme val="major"/>
      </rPr>
      <t>M. ATEMENA Bruceley</t>
    </r>
  </si>
  <si>
    <r>
      <t xml:space="preserve">Histoire
</t>
    </r>
    <r>
      <rPr>
        <i/>
        <sz val="12"/>
        <color theme="1"/>
        <rFont val="Cambria"/>
        <family val="1"/>
        <scheme val="major"/>
      </rPr>
      <t>M. BANING Jacques Steven</t>
    </r>
  </si>
  <si>
    <r>
      <t xml:space="preserve">EPS
</t>
    </r>
    <r>
      <rPr>
        <i/>
        <sz val="12"/>
        <color theme="1"/>
        <rFont val="Cambria"/>
        <family val="1"/>
        <scheme val="major"/>
      </rPr>
      <t>M. MATIP Erick Patrick Junior</t>
    </r>
  </si>
  <si>
    <t>/04</t>
  </si>
  <si>
    <t>BALANA Reine Flora</t>
  </si>
  <si>
    <t>MENGING KENVO Lynn Chloé</t>
  </si>
  <si>
    <t>MOUSSI MPENE Suzanne Fortune</t>
  </si>
  <si>
    <t>MVINDI BESSALA Johanne Kendhal</t>
  </si>
  <si>
    <t>NILOMENE Chanselle Dorine</t>
  </si>
  <si>
    <t>SEQUENCE 1</t>
  </si>
  <si>
    <t>SEQUENCE 2</t>
  </si>
  <si>
    <t>TRIMESTRE 1</t>
  </si>
  <si>
    <t>SEXE</t>
  </si>
  <si>
    <t>MATRICULE</t>
  </si>
  <si>
    <t>Sexe</t>
  </si>
  <si>
    <t>Matricule</t>
  </si>
  <si>
    <t>1 er/ère</t>
  </si>
  <si>
    <t>2 ème</t>
  </si>
  <si>
    <t>3 ème</t>
  </si>
  <si>
    <t>4 ème</t>
  </si>
  <si>
    <t>5 ème</t>
  </si>
  <si>
    <t>F</t>
  </si>
  <si>
    <t>NC</t>
  </si>
  <si>
    <t>ème</t>
  </si>
  <si>
    <r>
      <t xml:space="preserve">Langue française
</t>
    </r>
    <r>
      <rPr>
        <i/>
        <sz val="12"/>
        <color theme="1"/>
        <rFont val="Cambria"/>
        <family val="1"/>
        <scheme val="major"/>
      </rPr>
      <t>M. HIACK Simon</t>
    </r>
  </si>
  <si>
    <r>
      <t xml:space="preserve">Littérature
</t>
    </r>
    <r>
      <rPr>
        <i/>
        <sz val="12"/>
        <color theme="1"/>
        <rFont val="Cambria"/>
        <family val="1"/>
        <scheme val="major"/>
      </rPr>
      <t>M. HIACK Simon</t>
    </r>
  </si>
  <si>
    <r>
      <t xml:space="preserve">ECM
</t>
    </r>
    <r>
      <rPr>
        <i/>
        <sz val="12"/>
        <color theme="1"/>
        <rFont val="Cambria"/>
        <family val="1"/>
        <scheme val="major"/>
      </rPr>
      <t>Mme MINDZIE MENGUE Jeanne Raïssa</t>
    </r>
  </si>
  <si>
    <r>
      <t xml:space="preserve">Géographie
</t>
    </r>
    <r>
      <rPr>
        <i/>
        <sz val="12"/>
        <color theme="1"/>
        <rFont val="Cambria"/>
        <family val="1"/>
        <scheme val="major"/>
      </rPr>
      <t>M. BANING Jacques Steven</t>
    </r>
  </si>
  <si>
    <r>
      <t xml:space="preserve">Philosophie
</t>
    </r>
    <r>
      <rPr>
        <i/>
        <sz val="12"/>
        <color theme="1"/>
        <rFont val="Cambria"/>
        <family val="1"/>
        <scheme val="major"/>
      </rPr>
      <t>M. MBARGA Marc Rodrigue Junior</t>
    </r>
  </si>
  <si>
    <r>
      <t xml:space="preserve">Informatique
</t>
    </r>
    <r>
      <rPr>
        <i/>
        <sz val="12"/>
        <color theme="1"/>
        <rFont val="Cambria"/>
        <family val="1"/>
        <scheme val="major"/>
      </rPr>
      <t xml:space="preserve">M. NGATHE MVOGO André William </t>
    </r>
  </si>
  <si>
    <r>
      <t xml:space="preserve">Mathématiques
</t>
    </r>
    <r>
      <rPr>
        <i/>
        <sz val="12"/>
        <color theme="1"/>
        <rFont val="Cambria"/>
        <family val="1"/>
        <scheme val="major"/>
      </rPr>
      <t>M. EKENDJOUM OTTI Stéphane</t>
    </r>
  </si>
  <si>
    <r>
      <t xml:space="preserve">Sciences
</t>
    </r>
    <r>
      <rPr>
        <i/>
        <sz val="12"/>
        <color theme="1"/>
        <rFont val="Cambria"/>
        <family val="1"/>
        <scheme val="major"/>
      </rPr>
      <t>Mme DONFACK DONGO Darice Franca</t>
    </r>
  </si>
  <si>
    <r>
      <t xml:space="preserve">ESF
</t>
    </r>
    <r>
      <rPr>
        <i/>
        <sz val="12"/>
        <color theme="1"/>
        <rFont val="Cambria"/>
        <family val="1"/>
        <scheme val="major"/>
      </rPr>
      <t>Mme MPECK Gérarldine Samuelle</t>
    </r>
  </si>
  <si>
    <r>
      <t xml:space="preserve">Travail Manuel
</t>
    </r>
    <r>
      <rPr>
        <i/>
        <sz val="12"/>
        <color theme="1"/>
        <rFont val="Cambria"/>
        <family val="1"/>
        <scheme val="major"/>
      </rPr>
      <t>M. POCK NLOGA Pierre Sadrack R.</t>
    </r>
  </si>
  <si>
    <t>1 ère</t>
  </si>
  <si>
    <t>4ème</t>
  </si>
  <si>
    <t>3ème</t>
  </si>
  <si>
    <t>2ème</t>
  </si>
  <si>
    <t>1er</t>
  </si>
  <si>
    <t>1ère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</si>
</sst>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Wingdings"/>
      <charset val="2"/>
    </font>
    <font>
      <i/>
      <sz val="12"/>
      <color theme="1"/>
      <name val="Times New Roman"/>
      <family val="1"/>
    </font>
    <font>
      <i/>
      <sz val="12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/>
    <xf numFmtId="2" fontId="0" fillId="0" borderId="2" xfId="0" applyNumberFormat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/>
    <xf numFmtId="2" fontId="5" fillId="0" borderId="5" xfId="0" applyNumberFormat="1" applyFont="1" applyBorder="1" applyAlignment="1">
      <alignment vertical="center" wrapText="1"/>
    </xf>
    <xf numFmtId="2" fontId="6" fillId="0" borderId="6" xfId="0" applyNumberFormat="1" applyFont="1" applyBorder="1" applyAlignment="1">
      <alignment vertical="center" wrapText="1"/>
    </xf>
    <xf numFmtId="2" fontId="5" fillId="0" borderId="6" xfId="0" applyNumberFormat="1" applyFont="1" applyBorder="1" applyAlignment="1">
      <alignment vertical="center" wrapText="1"/>
    </xf>
    <xf numFmtId="2" fontId="6" fillId="0" borderId="5" xfId="0" applyNumberFormat="1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2" fontId="5" fillId="0" borderId="3" xfId="0" applyNumberFormat="1" applyFont="1" applyBorder="1" applyAlignment="1">
      <alignment vertical="center"/>
    </xf>
    <xf numFmtId="2" fontId="5" fillId="0" borderId="9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5" fillId="2" borderId="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2" fontId="5" fillId="2" borderId="0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vertical="center" wrapText="1"/>
    </xf>
    <xf numFmtId="2" fontId="5" fillId="2" borderId="0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2" fontId="5" fillId="0" borderId="5" xfId="0" applyNumberFormat="1" applyFont="1" applyBorder="1" applyAlignment="1">
      <alignment vertical="center" wrapText="1"/>
    </xf>
    <xf numFmtId="2" fontId="4" fillId="0" borderId="2" xfId="0" applyNumberFormat="1" applyFont="1" applyBorder="1" applyAlignment="1">
      <alignment vertical="center"/>
    </xf>
    <xf numFmtId="2" fontId="4" fillId="0" borderId="2" xfId="0" applyNumberFormat="1" applyFont="1" applyBorder="1"/>
    <xf numFmtId="2" fontId="5" fillId="0" borderId="5" xfId="0" applyNumberFormat="1" applyFont="1" applyBorder="1" applyAlignment="1">
      <alignment vertical="top" wrapText="1"/>
    </xf>
    <xf numFmtId="2" fontId="5" fillId="0" borderId="6" xfId="0" applyNumberFormat="1" applyFont="1" applyBorder="1" applyAlignment="1">
      <alignment horizontal="center" vertical="center" wrapText="1"/>
    </xf>
    <xf numFmtId="0" fontId="0" fillId="0" borderId="1" xfId="0" applyFont="1" applyBorder="1"/>
    <xf numFmtId="0" fontId="10" fillId="0" borderId="1" xfId="0" applyFont="1" applyBorder="1"/>
    <xf numFmtId="0" fontId="10" fillId="0" borderId="0" xfId="0" applyFont="1" applyBorder="1" applyAlignment="1"/>
    <xf numFmtId="0" fontId="10" fillId="3" borderId="1" xfId="0" applyFont="1" applyFill="1" applyBorder="1"/>
    <xf numFmtId="0" fontId="10" fillId="4" borderId="1" xfId="0" applyFont="1" applyFill="1" applyBorder="1"/>
    <xf numFmtId="0" fontId="10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11" fillId="0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1" fontId="11" fillId="0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2" fontId="11" fillId="8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" fontId="11" fillId="6" borderId="1" xfId="0" applyNumberFormat="1" applyFont="1" applyFill="1" applyBorder="1" applyAlignment="1">
      <alignment horizontal="center"/>
    </xf>
    <xf numFmtId="2" fontId="11" fillId="10" borderId="1" xfId="0" applyNumberFormat="1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13" fillId="10" borderId="1" xfId="0" applyFont="1" applyFill="1" applyBorder="1"/>
    <xf numFmtId="2" fontId="13" fillId="10" borderId="1" xfId="0" applyNumberFormat="1" applyFont="1" applyFill="1" applyBorder="1"/>
    <xf numFmtId="0" fontId="1" fillId="9" borderId="1" xfId="0" applyFont="1" applyFill="1" applyBorder="1"/>
    <xf numFmtId="0" fontId="0" fillId="9" borderId="1" xfId="0" applyFill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2" fontId="12" fillId="3" borderId="1" xfId="0" applyNumberFormat="1" applyFont="1" applyFill="1" applyBorder="1"/>
    <xf numFmtId="2" fontId="14" fillId="10" borderId="1" xfId="0" applyNumberFormat="1" applyFont="1" applyFill="1" applyBorder="1"/>
    <xf numFmtId="0" fontId="13" fillId="11" borderId="1" xfId="0" applyFont="1" applyFill="1" applyBorder="1"/>
    <xf numFmtId="2" fontId="13" fillId="11" borderId="1" xfId="0" applyNumberFormat="1" applyFont="1" applyFill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10" fillId="5" borderId="17" xfId="0" applyFont="1" applyFill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10" borderId="17" xfId="0" applyFont="1" applyFill="1" applyBorder="1" applyAlignment="1">
      <alignment horizontal="center"/>
    </xf>
    <xf numFmtId="0" fontId="10" fillId="10" borderId="18" xfId="0" applyFont="1" applyFill="1" applyBorder="1" applyAlignment="1">
      <alignment horizontal="center"/>
    </xf>
    <xf numFmtId="0" fontId="10" fillId="8" borderId="17" xfId="0" applyFont="1" applyFill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0" fontId="10" fillId="8" borderId="15" xfId="0" applyFont="1" applyFill="1" applyBorder="1" applyAlignment="1">
      <alignment horizontal="center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top" wrapText="1"/>
    </xf>
    <xf numFmtId="2" fontId="6" fillId="0" borderId="3" xfId="0" applyNumberFormat="1" applyFont="1" applyBorder="1" applyAlignment="1">
      <alignment vertical="center" wrapText="1"/>
    </xf>
    <xf numFmtId="2" fontId="6" fillId="0" borderId="9" xfId="0" applyNumberFormat="1" applyFont="1" applyBorder="1" applyAlignment="1">
      <alignment vertical="center" wrapText="1"/>
    </xf>
    <xf numFmtId="2" fontId="6" fillId="0" borderId="7" xfId="0" applyNumberFormat="1" applyFont="1" applyBorder="1" applyAlignment="1">
      <alignment vertical="center" wrapText="1"/>
    </xf>
    <xf numFmtId="2" fontId="6" fillId="0" borderId="4" xfId="0" applyNumberFormat="1" applyFont="1" applyBorder="1" applyAlignment="1">
      <alignment vertical="center" wrapText="1"/>
    </xf>
    <xf numFmtId="2" fontId="6" fillId="0" borderId="3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left" vertical="center" wrapText="1"/>
    </xf>
    <xf numFmtId="0" fontId="5" fillId="0" borderId="9" xfId="0" applyFont="1" applyBorder="1" applyAlignment="1">
      <alignment horizontal="right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2" fontId="5" fillId="0" borderId="9" xfId="0" applyNumberFormat="1" applyFont="1" applyBorder="1" applyAlignment="1">
      <alignment horizontal="right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vertical="center" wrapText="1"/>
    </xf>
    <xf numFmtId="2" fontId="5" fillId="0" borderId="7" xfId="0" applyNumberFormat="1" applyFont="1" applyBorder="1" applyAlignment="1">
      <alignment vertical="center" wrapText="1"/>
    </xf>
    <xf numFmtId="2" fontId="5" fillId="0" borderId="8" xfId="0" applyNumberFormat="1" applyFont="1" applyBorder="1" applyAlignment="1">
      <alignment vertical="center" wrapText="1"/>
    </xf>
    <xf numFmtId="2" fontId="5" fillId="0" borderId="3" xfId="0" applyNumberFormat="1" applyFont="1" applyBorder="1" applyAlignment="1">
      <alignment vertical="center" wrapText="1"/>
    </xf>
    <xf numFmtId="2" fontId="5" fillId="0" borderId="9" xfId="0" applyNumberFormat="1" applyFont="1" applyBorder="1" applyAlignment="1">
      <alignment vertical="center" wrapText="1"/>
    </xf>
    <xf numFmtId="2" fontId="5" fillId="0" borderId="4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2" fontId="5" fillId="3" borderId="0" xfId="0" applyNumberFormat="1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2" fontId="5" fillId="3" borderId="0" xfId="0" applyNumberFormat="1" applyFont="1" applyFill="1" applyBorder="1" applyAlignment="1">
      <alignment horizontal="right" vertical="center" wrapText="1"/>
    </xf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2" fontId="5" fillId="0" borderId="0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 des Moyennes</a:t>
            </a:r>
          </a:p>
        </c:rich>
      </c:tx>
      <c:layout>
        <c:manualLayout>
          <c:xMode val="edge"/>
          <c:yMode val="edge"/>
          <c:x val="0.3487290026246719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BORDEREAU!$B$5:$B$9</c:f>
              <c:strCache>
                <c:ptCount val="5"/>
                <c:pt idx="0">
                  <c:v>BALANA Reine Flora</c:v>
                </c:pt>
                <c:pt idx="1">
                  <c:v>MENGING KENVO Lynn Chloé</c:v>
                </c:pt>
                <c:pt idx="2">
                  <c:v>MOUSSI MPENE Suzanne Fortune</c:v>
                </c:pt>
                <c:pt idx="3">
                  <c:v>MVINDI BESSALA Johanne Kendhal</c:v>
                </c:pt>
                <c:pt idx="4">
                  <c:v>NILOMENE Chanselle Dorine</c:v>
                </c:pt>
              </c:strCache>
            </c:strRef>
          </c:cat>
          <c:val>
            <c:numRef>
              <c:f>BORDEREAU!$S$5:$S$9</c:f>
              <c:numCache>
                <c:formatCode>0.00</c:formatCode>
                <c:ptCount val="5"/>
                <c:pt idx="0">
                  <c:v>10.293103448275861</c:v>
                </c:pt>
                <c:pt idx="3">
                  <c:v>12.379310344827585</c:v>
                </c:pt>
                <c:pt idx="4">
                  <c:v>11.586206896551724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D-4A23-96F2-B9199CF911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6943104"/>
        <c:axId val="376947368"/>
      </c:lineChart>
      <c:catAx>
        <c:axId val="376943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47368"/>
        <c:crosses val="autoZero"/>
        <c:auto val="1"/>
        <c:lblAlgn val="ctr"/>
        <c:lblOffset val="100"/>
        <c:noMultiLvlLbl val="0"/>
      </c:catAx>
      <c:valAx>
        <c:axId val="3769473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4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180975</xdr:rowOff>
    </xdr:from>
    <xdr:to>
      <xdr:col>4</xdr:col>
      <xdr:colOff>847725</xdr:colOff>
      <xdr:row>57</xdr:row>
      <xdr:rowOff>66675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58"/>
  <sheetViews>
    <sheetView topLeftCell="A19" zoomScale="85" zoomScaleNormal="85" workbookViewId="0">
      <selection activeCell="V31" sqref="V31"/>
    </sheetView>
  </sheetViews>
  <sheetFormatPr baseColWidth="10" defaultRowHeight="15" x14ac:dyDescent="0.25"/>
  <cols>
    <col min="2" max="2" width="33.28515625" bestFit="1" customWidth="1"/>
    <col min="3" max="3" width="7.5703125" bestFit="1" customWidth="1"/>
    <col min="4" max="4" width="7.140625" bestFit="1" customWidth="1"/>
    <col min="5" max="5" width="7.28515625" bestFit="1" customWidth="1"/>
    <col min="6" max="6" width="7.5703125" bestFit="1" customWidth="1"/>
    <col min="7" max="7" width="7.42578125" customWidth="1"/>
    <col min="8" max="8" width="5.5703125" bestFit="1" customWidth="1"/>
    <col min="9" max="9" width="6.7109375" bestFit="1" customWidth="1"/>
    <col min="10" max="10" width="6.7109375" customWidth="1"/>
    <col min="11" max="11" width="5.5703125" bestFit="1" customWidth="1"/>
    <col min="12" max="12" width="6.28515625" bestFit="1" customWidth="1"/>
    <col min="13" max="16" width="5.5703125" bestFit="1" customWidth="1"/>
    <col min="17" max="17" width="6.5703125" bestFit="1" customWidth="1"/>
    <col min="18" max="18" width="10" bestFit="1" customWidth="1"/>
  </cols>
  <sheetData>
    <row r="4" spans="1:16" x14ac:dyDescent="0.25">
      <c r="A4" s="4" t="s">
        <v>2</v>
      </c>
      <c r="B4" s="5" t="s">
        <v>0</v>
      </c>
      <c r="C4" s="5" t="s">
        <v>11</v>
      </c>
      <c r="D4" s="5" t="s">
        <v>12</v>
      </c>
      <c r="E4" s="5" t="s">
        <v>13</v>
      </c>
      <c r="F4" s="5" t="s">
        <v>9</v>
      </c>
      <c r="G4" s="5" t="s">
        <v>3</v>
      </c>
      <c r="H4" s="5" t="s">
        <v>10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4</v>
      </c>
      <c r="O4" s="5" t="s">
        <v>5</v>
      </c>
      <c r="P4" s="5" t="s">
        <v>6</v>
      </c>
    </row>
    <row r="5" spans="1:16" x14ac:dyDescent="0.25">
      <c r="A5" s="1">
        <v>1</v>
      </c>
      <c r="B5" s="1" t="s">
        <v>71</v>
      </c>
      <c r="C5" s="2">
        <v>9.5</v>
      </c>
      <c r="D5" s="2">
        <v>10</v>
      </c>
      <c r="E5" s="2">
        <v>14</v>
      </c>
      <c r="F5" s="2">
        <v>5.5</v>
      </c>
      <c r="G5" s="2">
        <v>7</v>
      </c>
      <c r="H5" s="2">
        <v>12</v>
      </c>
      <c r="I5" s="2">
        <v>7</v>
      </c>
      <c r="J5" s="2">
        <v>10</v>
      </c>
      <c r="K5" s="2">
        <v>8.5</v>
      </c>
      <c r="L5" s="2">
        <v>11.5</v>
      </c>
      <c r="M5" s="2">
        <v>15</v>
      </c>
      <c r="N5" s="2">
        <v>11.5</v>
      </c>
      <c r="O5" s="2">
        <v>20</v>
      </c>
      <c r="P5" s="2">
        <v>12</v>
      </c>
    </row>
    <row r="6" spans="1:16" x14ac:dyDescent="0.25">
      <c r="A6" s="1">
        <f>A5+1</f>
        <v>2</v>
      </c>
      <c r="B6" s="46" t="s">
        <v>72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1">
        <f t="shared" ref="A7:A29" si="0">A6+1</f>
        <v>3</v>
      </c>
      <c r="B7" s="1" t="s">
        <v>73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1">
        <f t="shared" si="0"/>
        <v>4</v>
      </c>
      <c r="B8" s="1" t="s">
        <v>74</v>
      </c>
      <c r="C8" s="2">
        <v>14</v>
      </c>
      <c r="D8" s="2">
        <v>13</v>
      </c>
      <c r="E8" s="2">
        <v>12</v>
      </c>
      <c r="F8" s="2">
        <v>5.5</v>
      </c>
      <c r="G8" s="2">
        <v>16</v>
      </c>
      <c r="H8" s="2">
        <v>14</v>
      </c>
      <c r="I8" s="2">
        <v>14</v>
      </c>
      <c r="J8" s="2">
        <v>13</v>
      </c>
      <c r="K8" s="2">
        <v>5</v>
      </c>
      <c r="L8" s="2">
        <v>12</v>
      </c>
      <c r="M8" s="2">
        <v>11.5</v>
      </c>
      <c r="N8" s="2">
        <v>16</v>
      </c>
      <c r="O8" s="2">
        <v>18</v>
      </c>
      <c r="P8" s="2">
        <v>15</v>
      </c>
    </row>
    <row r="9" spans="1:16" x14ac:dyDescent="0.25">
      <c r="A9" s="1">
        <f t="shared" si="0"/>
        <v>5</v>
      </c>
      <c r="B9" s="1" t="s">
        <v>75</v>
      </c>
      <c r="C9" s="8">
        <v>12.5</v>
      </c>
      <c r="D9" s="8">
        <v>11</v>
      </c>
      <c r="E9" s="8">
        <v>13</v>
      </c>
      <c r="F9" s="8">
        <v>11.5</v>
      </c>
      <c r="G9" s="8">
        <v>11</v>
      </c>
      <c r="H9" s="8">
        <v>12</v>
      </c>
      <c r="I9" s="8">
        <v>14</v>
      </c>
      <c r="J9" s="8">
        <v>11.5</v>
      </c>
      <c r="K9" s="8">
        <v>6</v>
      </c>
      <c r="L9" s="8">
        <v>5.5</v>
      </c>
      <c r="M9" s="8">
        <v>14.5</v>
      </c>
      <c r="N9" s="8">
        <v>10.5</v>
      </c>
      <c r="O9" s="8">
        <v>20</v>
      </c>
      <c r="P9" s="8">
        <v>15</v>
      </c>
    </row>
    <row r="10" spans="1:16" x14ac:dyDescent="0.25">
      <c r="A10" s="1">
        <f t="shared" si="0"/>
        <v>6</v>
      </c>
      <c r="B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1">
        <f t="shared" si="0"/>
        <v>7</v>
      </c>
      <c r="B11" s="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1">
        <f t="shared" si="0"/>
        <v>8</v>
      </c>
      <c r="B12" s="1" t="e">
        <f>#REF!</f>
        <v>#REF!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1">
        <f t="shared" si="0"/>
        <v>9</v>
      </c>
      <c r="B13" s="1" t="e">
        <f>#REF!</f>
        <v>#REF!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1">
        <f t="shared" si="0"/>
        <v>10</v>
      </c>
      <c r="B14" s="1" t="e">
        <f>#REF!</f>
        <v>#REF!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1">
        <f t="shared" si="0"/>
        <v>11</v>
      </c>
      <c r="B15" s="1" t="e">
        <f>#REF!</f>
        <v>#REF!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1">
        <f t="shared" si="0"/>
        <v>12</v>
      </c>
      <c r="B16" s="1" t="e">
        <f>#REF!</f>
        <v>#REF!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8" x14ac:dyDescent="0.25">
      <c r="A17" s="1">
        <f t="shared" si="0"/>
        <v>13</v>
      </c>
      <c r="B17" s="1" t="e">
        <f>#REF!</f>
        <v>#REF!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8" x14ac:dyDescent="0.25">
      <c r="A18" s="1">
        <f t="shared" si="0"/>
        <v>14</v>
      </c>
      <c r="B18" s="1" t="e">
        <f>#REF!</f>
        <v>#REF!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8" x14ac:dyDescent="0.25">
      <c r="A19" s="1">
        <f t="shared" si="0"/>
        <v>15</v>
      </c>
      <c r="B19" s="1" t="e">
        <f>#REF!</f>
        <v>#REF!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8" x14ac:dyDescent="0.25">
      <c r="A20" s="1">
        <f t="shared" si="0"/>
        <v>16</v>
      </c>
      <c r="B20" s="1" t="e">
        <f>#REF!</f>
        <v>#REF!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8" x14ac:dyDescent="0.25">
      <c r="A21" s="1">
        <f t="shared" si="0"/>
        <v>17</v>
      </c>
      <c r="B21" s="1" t="e">
        <f>#REF!</f>
        <v>#REF!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8" x14ac:dyDescent="0.25">
      <c r="A22" s="1">
        <f t="shared" si="0"/>
        <v>18</v>
      </c>
      <c r="B22" s="1" t="e">
        <f>#REF!</f>
        <v>#REF!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8" x14ac:dyDescent="0.25">
      <c r="A23" s="1">
        <f t="shared" si="0"/>
        <v>19</v>
      </c>
      <c r="B23" s="1" t="e">
        <f>#REF!</f>
        <v>#REF!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8" x14ac:dyDescent="0.25">
      <c r="A24" s="1">
        <f t="shared" si="0"/>
        <v>20</v>
      </c>
      <c r="B24" s="1" t="e">
        <f>#REF!</f>
        <v>#REF!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8" x14ac:dyDescent="0.25">
      <c r="A25" s="1">
        <f t="shared" si="0"/>
        <v>21</v>
      </c>
      <c r="B25" s="1" t="e">
        <f>#REF!</f>
        <v>#REF!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8" x14ac:dyDescent="0.25">
      <c r="A26" s="1">
        <f t="shared" si="0"/>
        <v>22</v>
      </c>
      <c r="B26" s="1" t="e">
        <f>#REF!</f>
        <v>#REF!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8" x14ac:dyDescent="0.25">
      <c r="A27" s="1">
        <f t="shared" si="0"/>
        <v>23</v>
      </c>
      <c r="B27" s="1" t="e">
        <f>#REF!</f>
        <v>#REF!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8" x14ac:dyDescent="0.25">
      <c r="A28" s="1">
        <f t="shared" si="0"/>
        <v>24</v>
      </c>
      <c r="B28" s="1" t="e">
        <f>#REF!</f>
        <v>#REF!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8" x14ac:dyDescent="0.25">
      <c r="A29" s="1">
        <f t="shared" si="0"/>
        <v>25</v>
      </c>
      <c r="B29" s="1" t="e">
        <f>#REF!</f>
        <v>#REF!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8" x14ac:dyDescent="0.25">
      <c r="B30" t="s">
        <v>19</v>
      </c>
      <c r="C30" s="3">
        <f>AVERAGE(C5:C29)</f>
        <v>12</v>
      </c>
      <c r="D30" s="3">
        <f t="shared" ref="D30:P30" si="1">AVERAGE(D5:D29)</f>
        <v>11.333333333333334</v>
      </c>
      <c r="E30" s="3">
        <f t="shared" si="1"/>
        <v>13</v>
      </c>
      <c r="F30" s="3">
        <f t="shared" si="1"/>
        <v>7.5</v>
      </c>
      <c r="G30" s="3">
        <f t="shared" si="1"/>
        <v>11.333333333333334</v>
      </c>
      <c r="H30" s="3">
        <f t="shared" si="1"/>
        <v>12.666666666666666</v>
      </c>
      <c r="I30" s="3">
        <f t="shared" si="1"/>
        <v>11.666666666666666</v>
      </c>
      <c r="J30" s="3">
        <f t="shared" si="1"/>
        <v>11.5</v>
      </c>
      <c r="K30" s="3">
        <f t="shared" si="1"/>
        <v>6.5</v>
      </c>
      <c r="L30" s="3">
        <f t="shared" si="1"/>
        <v>9.6666666666666661</v>
      </c>
      <c r="M30" s="3">
        <f t="shared" si="1"/>
        <v>13.666666666666666</v>
      </c>
      <c r="N30" s="3">
        <f t="shared" si="1"/>
        <v>12.666666666666666</v>
      </c>
      <c r="O30" s="3">
        <f t="shared" si="1"/>
        <v>19.333333333333332</v>
      </c>
      <c r="P30" s="3">
        <f t="shared" si="1"/>
        <v>14</v>
      </c>
    </row>
    <row r="32" spans="1:18" x14ac:dyDescent="0.25">
      <c r="A32" s="4" t="s">
        <v>2</v>
      </c>
      <c r="B32" s="5" t="s">
        <v>0</v>
      </c>
      <c r="C32" s="5" t="s">
        <v>1</v>
      </c>
      <c r="D32" s="5" t="s">
        <v>12</v>
      </c>
      <c r="E32" s="5" t="s">
        <v>13</v>
      </c>
      <c r="F32" s="5" t="s">
        <v>9</v>
      </c>
      <c r="G32" s="5" t="s">
        <v>3</v>
      </c>
      <c r="H32" s="5" t="s">
        <v>10</v>
      </c>
      <c r="I32" s="5" t="s">
        <v>14</v>
      </c>
      <c r="J32" s="5" t="s">
        <v>15</v>
      </c>
      <c r="K32" s="5" t="s">
        <v>16</v>
      </c>
      <c r="L32" s="5" t="s">
        <v>17</v>
      </c>
      <c r="M32" s="5" t="s">
        <v>18</v>
      </c>
      <c r="N32" s="5" t="s">
        <v>4</v>
      </c>
      <c r="O32" s="5" t="s">
        <v>5</v>
      </c>
      <c r="P32" s="5" t="s">
        <v>6</v>
      </c>
      <c r="Q32" s="6" t="s">
        <v>7</v>
      </c>
      <c r="R32" s="6" t="s">
        <v>8</v>
      </c>
    </row>
    <row r="33" spans="1:18" x14ac:dyDescent="0.25">
      <c r="A33" s="1">
        <v>1</v>
      </c>
      <c r="B33" s="1" t="str">
        <f>B5</f>
        <v>BALANA Reine Flora</v>
      </c>
      <c r="C33" s="2">
        <f>C5*4</f>
        <v>38</v>
      </c>
      <c r="D33" s="2">
        <f t="shared" ref="D33:D52" si="2">D5*2</f>
        <v>20</v>
      </c>
      <c r="E33" s="2">
        <f>E5*3</f>
        <v>42</v>
      </c>
      <c r="F33" s="2">
        <f>F5*3</f>
        <v>16.5</v>
      </c>
      <c r="G33" s="2">
        <f t="shared" ref="G33:L33" si="3">G5*2</f>
        <v>14</v>
      </c>
      <c r="H33" s="2">
        <f t="shared" ref="H33:J53" si="4">H5*2</f>
        <v>24</v>
      </c>
      <c r="I33" s="2">
        <f t="shared" si="4"/>
        <v>14</v>
      </c>
      <c r="J33" s="2">
        <f t="shared" si="4"/>
        <v>20</v>
      </c>
      <c r="K33" s="2">
        <f t="shared" si="3"/>
        <v>17</v>
      </c>
      <c r="L33" s="2">
        <f t="shared" si="3"/>
        <v>23</v>
      </c>
      <c r="M33" s="2">
        <f>M5*1</f>
        <v>15</v>
      </c>
      <c r="N33" s="2">
        <f>N5*2</f>
        <v>23</v>
      </c>
      <c r="O33" s="2">
        <f>O5*1</f>
        <v>20</v>
      </c>
      <c r="P33" s="2">
        <f>P5*1</f>
        <v>12</v>
      </c>
      <c r="Q33" s="7">
        <f t="shared" ref="Q33" si="5">SUM(C33:P33)</f>
        <v>298.5</v>
      </c>
      <c r="R33" s="2">
        <f t="shared" ref="R33:R57" si="6">Q33/29</f>
        <v>10.293103448275861</v>
      </c>
    </row>
    <row r="34" spans="1:18" x14ac:dyDescent="0.25">
      <c r="A34" s="1">
        <f>A33+1</f>
        <v>2</v>
      </c>
      <c r="B34" s="1" t="str">
        <f t="shared" ref="B34:B57" si="7">B6</f>
        <v>MENGING KENVO Lynn Chloé</v>
      </c>
      <c r="C34" s="2">
        <f t="shared" ref="C34:C57" si="8">C6*4</f>
        <v>0</v>
      </c>
      <c r="D34" s="2">
        <f t="shared" si="2"/>
        <v>0</v>
      </c>
      <c r="E34" s="2">
        <f t="shared" ref="E34:E57" si="9">E6*3</f>
        <v>0</v>
      </c>
      <c r="F34" s="2">
        <f t="shared" ref="F34:F57" si="10">F6*3</f>
        <v>0</v>
      </c>
      <c r="G34" s="2">
        <f t="shared" ref="G34" si="11">G6*2</f>
        <v>0</v>
      </c>
      <c r="H34" s="2">
        <f t="shared" si="4"/>
        <v>0</v>
      </c>
      <c r="I34" s="2">
        <f t="shared" si="4"/>
        <v>0</v>
      </c>
      <c r="J34" s="2">
        <f t="shared" si="4"/>
        <v>0</v>
      </c>
      <c r="K34" s="2">
        <f t="shared" ref="K34:L34" si="12">K6*2</f>
        <v>0</v>
      </c>
      <c r="L34" s="2">
        <f t="shared" si="12"/>
        <v>0</v>
      </c>
      <c r="M34" s="2">
        <f t="shared" ref="M34:M57" si="13">M6*1</f>
        <v>0</v>
      </c>
      <c r="N34" s="2">
        <f t="shared" ref="N34:N57" si="14">N6*2</f>
        <v>0</v>
      </c>
      <c r="O34" s="2">
        <f t="shared" ref="O34:P34" si="15">O6*1</f>
        <v>0</v>
      </c>
      <c r="P34" s="2">
        <f t="shared" si="15"/>
        <v>0</v>
      </c>
      <c r="Q34" s="7">
        <f t="shared" ref="Q34:Q37" si="16">SUM(C34:P34)</f>
        <v>0</v>
      </c>
      <c r="R34" s="2">
        <f t="shared" si="6"/>
        <v>0</v>
      </c>
    </row>
    <row r="35" spans="1:18" x14ac:dyDescent="0.25">
      <c r="A35" s="1">
        <f t="shared" ref="A35:A57" si="17">A34+1</f>
        <v>3</v>
      </c>
      <c r="B35" s="1" t="str">
        <f t="shared" si="7"/>
        <v>MOUSSI MPENE Suzanne Fortune</v>
      </c>
      <c r="C35" s="2">
        <f t="shared" si="8"/>
        <v>0</v>
      </c>
      <c r="D35" s="2">
        <f t="shared" si="2"/>
        <v>0</v>
      </c>
      <c r="E35" s="2">
        <f t="shared" si="9"/>
        <v>0</v>
      </c>
      <c r="F35" s="2">
        <f t="shared" si="10"/>
        <v>0</v>
      </c>
      <c r="G35" s="2">
        <f t="shared" ref="G35" si="18">G7*2</f>
        <v>0</v>
      </c>
      <c r="H35" s="2">
        <f t="shared" si="4"/>
        <v>0</v>
      </c>
      <c r="I35" s="2">
        <f t="shared" si="4"/>
        <v>0</v>
      </c>
      <c r="J35" s="2">
        <f t="shared" si="4"/>
        <v>0</v>
      </c>
      <c r="K35" s="2">
        <f t="shared" ref="K35:L35" si="19">K7*2</f>
        <v>0</v>
      </c>
      <c r="L35" s="2">
        <f t="shared" si="19"/>
        <v>0</v>
      </c>
      <c r="M35" s="2">
        <f t="shared" si="13"/>
        <v>0</v>
      </c>
      <c r="N35" s="2">
        <f t="shared" si="14"/>
        <v>0</v>
      </c>
      <c r="O35" s="2">
        <f t="shared" ref="O35:P35" si="20">O7*1</f>
        <v>0</v>
      </c>
      <c r="P35" s="2">
        <f t="shared" si="20"/>
        <v>0</v>
      </c>
      <c r="Q35" s="7">
        <f t="shared" si="16"/>
        <v>0</v>
      </c>
      <c r="R35" s="2">
        <f t="shared" si="6"/>
        <v>0</v>
      </c>
    </row>
    <row r="36" spans="1:18" x14ac:dyDescent="0.25">
      <c r="A36" s="1">
        <f t="shared" si="17"/>
        <v>4</v>
      </c>
      <c r="B36" s="1" t="str">
        <f t="shared" si="7"/>
        <v>MVINDI BESSALA Johanne Kendhal</v>
      </c>
      <c r="C36" s="2">
        <f t="shared" si="8"/>
        <v>56</v>
      </c>
      <c r="D36" s="2">
        <f t="shared" si="2"/>
        <v>26</v>
      </c>
      <c r="E36" s="2">
        <f t="shared" si="9"/>
        <v>36</v>
      </c>
      <c r="F36" s="2">
        <f t="shared" si="10"/>
        <v>16.5</v>
      </c>
      <c r="G36" s="2">
        <f t="shared" ref="G36" si="21">G8*2</f>
        <v>32</v>
      </c>
      <c r="H36" s="2">
        <f t="shared" si="4"/>
        <v>28</v>
      </c>
      <c r="I36" s="2">
        <f t="shared" si="4"/>
        <v>28</v>
      </c>
      <c r="J36" s="2">
        <f t="shared" si="4"/>
        <v>26</v>
      </c>
      <c r="K36" s="2">
        <f t="shared" ref="K36:L36" si="22">K8*2</f>
        <v>10</v>
      </c>
      <c r="L36" s="2">
        <f t="shared" si="22"/>
        <v>24</v>
      </c>
      <c r="M36" s="2">
        <f t="shared" si="13"/>
        <v>11.5</v>
      </c>
      <c r="N36" s="2">
        <f t="shared" si="14"/>
        <v>32</v>
      </c>
      <c r="O36" s="2">
        <f t="shared" ref="O36:P36" si="23">O8*1</f>
        <v>18</v>
      </c>
      <c r="P36" s="2">
        <f t="shared" si="23"/>
        <v>15</v>
      </c>
      <c r="Q36" s="7">
        <f t="shared" si="16"/>
        <v>359</v>
      </c>
      <c r="R36" s="2">
        <f t="shared" si="6"/>
        <v>12.379310344827585</v>
      </c>
    </row>
    <row r="37" spans="1:18" x14ac:dyDescent="0.25">
      <c r="A37" s="1">
        <f t="shared" si="17"/>
        <v>5</v>
      </c>
      <c r="B37" s="1" t="str">
        <f t="shared" si="7"/>
        <v>NILOMENE Chanselle Dorine</v>
      </c>
      <c r="C37" s="2">
        <f t="shared" si="8"/>
        <v>50</v>
      </c>
      <c r="D37" s="2">
        <f t="shared" si="2"/>
        <v>22</v>
      </c>
      <c r="E37" s="2">
        <f t="shared" si="9"/>
        <v>39</v>
      </c>
      <c r="F37" s="2">
        <f t="shared" si="10"/>
        <v>34.5</v>
      </c>
      <c r="G37" s="2">
        <f t="shared" ref="G37" si="24">G9*2</f>
        <v>22</v>
      </c>
      <c r="H37" s="2">
        <f t="shared" si="4"/>
        <v>24</v>
      </c>
      <c r="I37" s="2">
        <f t="shared" si="4"/>
        <v>28</v>
      </c>
      <c r="J37" s="2">
        <f t="shared" si="4"/>
        <v>23</v>
      </c>
      <c r="K37" s="2">
        <f t="shared" ref="K37:L37" si="25">K9*2</f>
        <v>12</v>
      </c>
      <c r="L37" s="2">
        <f t="shared" si="25"/>
        <v>11</v>
      </c>
      <c r="M37" s="2">
        <f t="shared" si="13"/>
        <v>14.5</v>
      </c>
      <c r="N37" s="2">
        <f t="shared" si="14"/>
        <v>21</v>
      </c>
      <c r="O37" s="2">
        <f t="shared" ref="O37:P37" si="26">O9*1</f>
        <v>20</v>
      </c>
      <c r="P37" s="2">
        <f t="shared" si="26"/>
        <v>15</v>
      </c>
      <c r="Q37" s="7">
        <f t="shared" si="16"/>
        <v>336</v>
      </c>
      <c r="R37" s="2">
        <f t="shared" si="6"/>
        <v>11.586206896551724</v>
      </c>
    </row>
    <row r="38" spans="1:18" x14ac:dyDescent="0.25">
      <c r="A38" s="1">
        <f t="shared" si="17"/>
        <v>6</v>
      </c>
      <c r="B38" s="1">
        <f t="shared" si="7"/>
        <v>0</v>
      </c>
      <c r="C38" s="2">
        <f t="shared" si="8"/>
        <v>0</v>
      </c>
      <c r="D38" s="2">
        <f t="shared" si="2"/>
        <v>0</v>
      </c>
      <c r="E38" s="2">
        <f t="shared" si="9"/>
        <v>0</v>
      </c>
      <c r="F38" s="2">
        <f t="shared" si="10"/>
        <v>0</v>
      </c>
      <c r="G38" s="2">
        <f t="shared" ref="G38" si="27">G10*2</f>
        <v>0</v>
      </c>
      <c r="H38" s="2">
        <f t="shared" si="4"/>
        <v>0</v>
      </c>
      <c r="I38" s="2">
        <f t="shared" si="4"/>
        <v>0</v>
      </c>
      <c r="J38" s="2">
        <f t="shared" si="4"/>
        <v>0</v>
      </c>
      <c r="K38" s="2">
        <f t="shared" ref="K38:L38" si="28">K10*2</f>
        <v>0</v>
      </c>
      <c r="L38" s="2">
        <f t="shared" si="28"/>
        <v>0</v>
      </c>
      <c r="M38" s="2">
        <f t="shared" si="13"/>
        <v>0</v>
      </c>
      <c r="N38" s="2">
        <f t="shared" si="14"/>
        <v>0</v>
      </c>
      <c r="O38" s="2">
        <f t="shared" ref="O38:P38" si="29">O10*1</f>
        <v>0</v>
      </c>
      <c r="P38" s="2">
        <f t="shared" si="29"/>
        <v>0</v>
      </c>
      <c r="Q38" s="7">
        <f t="shared" ref="Q38:Q57" si="30">SUM(C38:P38)</f>
        <v>0</v>
      </c>
      <c r="R38" s="2">
        <f t="shared" si="6"/>
        <v>0</v>
      </c>
    </row>
    <row r="39" spans="1:18" x14ac:dyDescent="0.25">
      <c r="A39" s="1">
        <f t="shared" si="17"/>
        <v>7</v>
      </c>
      <c r="B39" s="1">
        <f t="shared" si="7"/>
        <v>0</v>
      </c>
      <c r="C39" s="2">
        <f t="shared" si="8"/>
        <v>0</v>
      </c>
      <c r="D39" s="2">
        <f t="shared" si="2"/>
        <v>0</v>
      </c>
      <c r="E39" s="2">
        <f t="shared" si="9"/>
        <v>0</v>
      </c>
      <c r="F39" s="2">
        <f t="shared" si="10"/>
        <v>0</v>
      </c>
      <c r="G39" s="2">
        <f t="shared" ref="G39" si="31">G11*2</f>
        <v>0</v>
      </c>
      <c r="H39" s="2">
        <f t="shared" si="4"/>
        <v>0</v>
      </c>
      <c r="I39" s="2">
        <f t="shared" si="4"/>
        <v>0</v>
      </c>
      <c r="J39" s="2">
        <f t="shared" si="4"/>
        <v>0</v>
      </c>
      <c r="K39" s="2">
        <f t="shared" ref="K39:L39" si="32">K11*2</f>
        <v>0</v>
      </c>
      <c r="L39" s="2">
        <f t="shared" si="32"/>
        <v>0</v>
      </c>
      <c r="M39" s="2">
        <f t="shared" si="13"/>
        <v>0</v>
      </c>
      <c r="N39" s="2">
        <f t="shared" si="14"/>
        <v>0</v>
      </c>
      <c r="O39" s="2">
        <f t="shared" ref="O39:P39" si="33">O11*1</f>
        <v>0</v>
      </c>
      <c r="P39" s="2">
        <f t="shared" si="33"/>
        <v>0</v>
      </c>
      <c r="Q39" s="7">
        <f t="shared" si="30"/>
        <v>0</v>
      </c>
      <c r="R39" s="2">
        <f t="shared" si="6"/>
        <v>0</v>
      </c>
    </row>
    <row r="40" spans="1:18" x14ac:dyDescent="0.25">
      <c r="A40" s="1">
        <f t="shared" si="17"/>
        <v>8</v>
      </c>
      <c r="B40" s="1" t="e">
        <f t="shared" si="7"/>
        <v>#REF!</v>
      </c>
      <c r="C40" s="2">
        <f t="shared" si="8"/>
        <v>0</v>
      </c>
      <c r="D40" s="2">
        <f t="shared" si="2"/>
        <v>0</v>
      </c>
      <c r="E40" s="2">
        <f t="shared" si="9"/>
        <v>0</v>
      </c>
      <c r="F40" s="2">
        <f t="shared" si="10"/>
        <v>0</v>
      </c>
      <c r="G40" s="2">
        <f t="shared" ref="G40" si="34">G12*2</f>
        <v>0</v>
      </c>
      <c r="H40" s="2">
        <f t="shared" si="4"/>
        <v>0</v>
      </c>
      <c r="I40" s="2">
        <f t="shared" si="4"/>
        <v>0</v>
      </c>
      <c r="J40" s="2">
        <f t="shared" si="4"/>
        <v>0</v>
      </c>
      <c r="K40" s="2">
        <f t="shared" ref="K40:L40" si="35">K12*2</f>
        <v>0</v>
      </c>
      <c r="L40" s="2">
        <f t="shared" si="35"/>
        <v>0</v>
      </c>
      <c r="M40" s="2">
        <f t="shared" si="13"/>
        <v>0</v>
      </c>
      <c r="N40" s="2">
        <f t="shared" si="14"/>
        <v>0</v>
      </c>
      <c r="O40" s="2">
        <f t="shared" ref="O40:P40" si="36">O12*1</f>
        <v>0</v>
      </c>
      <c r="P40" s="2">
        <f t="shared" si="36"/>
        <v>0</v>
      </c>
      <c r="Q40" s="7">
        <f t="shared" si="30"/>
        <v>0</v>
      </c>
      <c r="R40" s="2">
        <f t="shared" si="6"/>
        <v>0</v>
      </c>
    </row>
    <row r="41" spans="1:18" x14ac:dyDescent="0.25">
      <c r="A41" s="1">
        <f t="shared" si="17"/>
        <v>9</v>
      </c>
      <c r="B41" s="1" t="e">
        <f t="shared" si="7"/>
        <v>#REF!</v>
      </c>
      <c r="C41" s="2">
        <f t="shared" si="8"/>
        <v>0</v>
      </c>
      <c r="D41" s="2">
        <f t="shared" si="2"/>
        <v>0</v>
      </c>
      <c r="E41" s="2">
        <f t="shared" si="9"/>
        <v>0</v>
      </c>
      <c r="F41" s="2">
        <f t="shared" si="10"/>
        <v>0</v>
      </c>
      <c r="G41" s="2">
        <f t="shared" ref="G41" si="37">G13*2</f>
        <v>0</v>
      </c>
      <c r="H41" s="2">
        <f t="shared" si="4"/>
        <v>0</v>
      </c>
      <c r="I41" s="2">
        <f t="shared" si="4"/>
        <v>0</v>
      </c>
      <c r="J41" s="2">
        <f t="shared" si="4"/>
        <v>0</v>
      </c>
      <c r="K41" s="2">
        <f t="shared" ref="K41:L41" si="38">K13*2</f>
        <v>0</v>
      </c>
      <c r="L41" s="2">
        <f t="shared" si="38"/>
        <v>0</v>
      </c>
      <c r="M41" s="2">
        <f t="shared" si="13"/>
        <v>0</v>
      </c>
      <c r="N41" s="2">
        <f t="shared" si="14"/>
        <v>0</v>
      </c>
      <c r="O41" s="2">
        <f t="shared" ref="O41:P41" si="39">O13*1</f>
        <v>0</v>
      </c>
      <c r="P41" s="2">
        <f t="shared" si="39"/>
        <v>0</v>
      </c>
      <c r="Q41" s="7">
        <f t="shared" si="30"/>
        <v>0</v>
      </c>
      <c r="R41" s="2">
        <f t="shared" si="6"/>
        <v>0</v>
      </c>
    </row>
    <row r="42" spans="1:18" x14ac:dyDescent="0.25">
      <c r="A42" s="1">
        <f t="shared" si="17"/>
        <v>10</v>
      </c>
      <c r="B42" s="1" t="e">
        <f t="shared" si="7"/>
        <v>#REF!</v>
      </c>
      <c r="C42" s="2">
        <f t="shared" si="8"/>
        <v>0</v>
      </c>
      <c r="D42" s="2">
        <f t="shared" si="2"/>
        <v>0</v>
      </c>
      <c r="E42" s="2">
        <f t="shared" si="9"/>
        <v>0</v>
      </c>
      <c r="F42" s="2">
        <f t="shared" si="10"/>
        <v>0</v>
      </c>
      <c r="G42" s="2">
        <f t="shared" ref="G42" si="40">G14*2</f>
        <v>0</v>
      </c>
      <c r="H42" s="2">
        <f t="shared" si="4"/>
        <v>0</v>
      </c>
      <c r="I42" s="2">
        <f t="shared" si="4"/>
        <v>0</v>
      </c>
      <c r="J42" s="2">
        <f t="shared" si="4"/>
        <v>0</v>
      </c>
      <c r="K42" s="2">
        <f t="shared" ref="K42:L42" si="41">K14*2</f>
        <v>0</v>
      </c>
      <c r="L42" s="2">
        <f t="shared" si="41"/>
        <v>0</v>
      </c>
      <c r="M42" s="2">
        <f t="shared" si="13"/>
        <v>0</v>
      </c>
      <c r="N42" s="2">
        <f t="shared" si="14"/>
        <v>0</v>
      </c>
      <c r="O42" s="2">
        <f t="shared" ref="O42:P42" si="42">O14*1</f>
        <v>0</v>
      </c>
      <c r="P42" s="2">
        <f t="shared" si="42"/>
        <v>0</v>
      </c>
      <c r="Q42" s="7">
        <f t="shared" si="30"/>
        <v>0</v>
      </c>
      <c r="R42" s="2">
        <f t="shared" si="6"/>
        <v>0</v>
      </c>
    </row>
    <row r="43" spans="1:18" x14ac:dyDescent="0.25">
      <c r="A43" s="1">
        <f t="shared" si="17"/>
        <v>11</v>
      </c>
      <c r="B43" s="1" t="e">
        <f t="shared" si="7"/>
        <v>#REF!</v>
      </c>
      <c r="C43" s="2">
        <f t="shared" si="8"/>
        <v>0</v>
      </c>
      <c r="D43" s="2">
        <f t="shared" si="2"/>
        <v>0</v>
      </c>
      <c r="E43" s="2">
        <f t="shared" si="9"/>
        <v>0</v>
      </c>
      <c r="F43" s="2">
        <f t="shared" si="10"/>
        <v>0</v>
      </c>
      <c r="G43" s="2">
        <f t="shared" ref="G43" si="43">G15*2</f>
        <v>0</v>
      </c>
      <c r="H43" s="2">
        <f t="shared" si="4"/>
        <v>0</v>
      </c>
      <c r="I43" s="2">
        <f t="shared" si="4"/>
        <v>0</v>
      </c>
      <c r="J43" s="2">
        <f t="shared" si="4"/>
        <v>0</v>
      </c>
      <c r="K43" s="2">
        <f t="shared" ref="K43:L43" si="44">K15*2</f>
        <v>0</v>
      </c>
      <c r="L43" s="2">
        <f t="shared" si="44"/>
        <v>0</v>
      </c>
      <c r="M43" s="2">
        <f t="shared" si="13"/>
        <v>0</v>
      </c>
      <c r="N43" s="2">
        <f t="shared" si="14"/>
        <v>0</v>
      </c>
      <c r="O43" s="2">
        <f t="shared" ref="O43:P43" si="45">O15*1</f>
        <v>0</v>
      </c>
      <c r="P43" s="2">
        <f t="shared" si="45"/>
        <v>0</v>
      </c>
      <c r="Q43" s="7">
        <f t="shared" si="30"/>
        <v>0</v>
      </c>
      <c r="R43" s="2">
        <f t="shared" si="6"/>
        <v>0</v>
      </c>
    </row>
    <row r="44" spans="1:18" x14ac:dyDescent="0.25">
      <c r="A44" s="1">
        <f t="shared" si="17"/>
        <v>12</v>
      </c>
      <c r="B44" s="1" t="e">
        <f t="shared" si="7"/>
        <v>#REF!</v>
      </c>
      <c r="C44" s="2">
        <f t="shared" si="8"/>
        <v>0</v>
      </c>
      <c r="D44" s="2">
        <f t="shared" si="2"/>
        <v>0</v>
      </c>
      <c r="E44" s="2">
        <f t="shared" si="9"/>
        <v>0</v>
      </c>
      <c r="F44" s="2">
        <f t="shared" si="10"/>
        <v>0</v>
      </c>
      <c r="G44" s="2">
        <f t="shared" ref="G44" si="46">G16*2</f>
        <v>0</v>
      </c>
      <c r="H44" s="2">
        <f t="shared" si="4"/>
        <v>0</v>
      </c>
      <c r="I44" s="2">
        <f t="shared" si="4"/>
        <v>0</v>
      </c>
      <c r="J44" s="2">
        <f t="shared" si="4"/>
        <v>0</v>
      </c>
      <c r="K44" s="2">
        <f t="shared" ref="K44:L44" si="47">K16*2</f>
        <v>0</v>
      </c>
      <c r="L44" s="2">
        <f t="shared" si="47"/>
        <v>0</v>
      </c>
      <c r="M44" s="2">
        <f t="shared" si="13"/>
        <v>0</v>
      </c>
      <c r="N44" s="2">
        <f t="shared" si="14"/>
        <v>0</v>
      </c>
      <c r="O44" s="2">
        <f t="shared" ref="O44:P44" si="48">O16*1</f>
        <v>0</v>
      </c>
      <c r="P44" s="2">
        <f t="shared" si="48"/>
        <v>0</v>
      </c>
      <c r="Q44" s="7">
        <f t="shared" si="30"/>
        <v>0</v>
      </c>
      <c r="R44" s="2">
        <f t="shared" si="6"/>
        <v>0</v>
      </c>
    </row>
    <row r="45" spans="1:18" x14ac:dyDescent="0.25">
      <c r="A45" s="1">
        <f t="shared" si="17"/>
        <v>13</v>
      </c>
      <c r="B45" s="1" t="e">
        <f t="shared" si="7"/>
        <v>#REF!</v>
      </c>
      <c r="C45" s="2">
        <f t="shared" si="8"/>
        <v>0</v>
      </c>
      <c r="D45" s="2">
        <f t="shared" si="2"/>
        <v>0</v>
      </c>
      <c r="E45" s="2">
        <f t="shared" si="9"/>
        <v>0</v>
      </c>
      <c r="F45" s="2">
        <f t="shared" si="10"/>
        <v>0</v>
      </c>
      <c r="G45" s="2">
        <f t="shared" ref="G45" si="49">G17*2</f>
        <v>0</v>
      </c>
      <c r="H45" s="2">
        <f t="shared" si="4"/>
        <v>0</v>
      </c>
      <c r="I45" s="2">
        <f t="shared" si="4"/>
        <v>0</v>
      </c>
      <c r="J45" s="2">
        <f t="shared" si="4"/>
        <v>0</v>
      </c>
      <c r="K45" s="2">
        <f t="shared" ref="K45:L45" si="50">K17*2</f>
        <v>0</v>
      </c>
      <c r="L45" s="2">
        <f t="shared" si="50"/>
        <v>0</v>
      </c>
      <c r="M45" s="2">
        <f t="shared" si="13"/>
        <v>0</v>
      </c>
      <c r="N45" s="2">
        <f t="shared" si="14"/>
        <v>0</v>
      </c>
      <c r="O45" s="2">
        <f t="shared" ref="O45:P45" si="51">O17*1</f>
        <v>0</v>
      </c>
      <c r="P45" s="2">
        <f t="shared" si="51"/>
        <v>0</v>
      </c>
      <c r="Q45" s="7">
        <f t="shared" si="30"/>
        <v>0</v>
      </c>
      <c r="R45" s="2">
        <f t="shared" si="6"/>
        <v>0</v>
      </c>
    </row>
    <row r="46" spans="1:18" x14ac:dyDescent="0.25">
      <c r="A46" s="1">
        <f t="shared" si="17"/>
        <v>14</v>
      </c>
      <c r="B46" s="1" t="e">
        <f t="shared" si="7"/>
        <v>#REF!</v>
      </c>
      <c r="C46" s="2">
        <f t="shared" si="8"/>
        <v>0</v>
      </c>
      <c r="D46" s="2">
        <f t="shared" si="2"/>
        <v>0</v>
      </c>
      <c r="E46" s="2">
        <f t="shared" si="9"/>
        <v>0</v>
      </c>
      <c r="F46" s="2">
        <f t="shared" si="10"/>
        <v>0</v>
      </c>
      <c r="G46" s="2">
        <f t="shared" ref="G46" si="52">G18*2</f>
        <v>0</v>
      </c>
      <c r="H46" s="2">
        <f t="shared" si="4"/>
        <v>0</v>
      </c>
      <c r="I46" s="2">
        <f t="shared" si="4"/>
        <v>0</v>
      </c>
      <c r="J46" s="2">
        <f t="shared" si="4"/>
        <v>0</v>
      </c>
      <c r="K46" s="2">
        <f t="shared" ref="K46:L46" si="53">K18*2</f>
        <v>0</v>
      </c>
      <c r="L46" s="2">
        <f t="shared" si="53"/>
        <v>0</v>
      </c>
      <c r="M46" s="2">
        <f t="shared" si="13"/>
        <v>0</v>
      </c>
      <c r="N46" s="2">
        <f t="shared" si="14"/>
        <v>0</v>
      </c>
      <c r="O46" s="2">
        <f t="shared" ref="O46:P46" si="54">O18*1</f>
        <v>0</v>
      </c>
      <c r="P46" s="2">
        <f t="shared" si="54"/>
        <v>0</v>
      </c>
      <c r="Q46" s="7">
        <f t="shared" si="30"/>
        <v>0</v>
      </c>
      <c r="R46" s="2">
        <f t="shared" si="6"/>
        <v>0</v>
      </c>
    </row>
    <row r="47" spans="1:18" x14ac:dyDescent="0.25">
      <c r="A47" s="1">
        <f t="shared" si="17"/>
        <v>15</v>
      </c>
      <c r="B47" s="1" t="e">
        <f t="shared" si="7"/>
        <v>#REF!</v>
      </c>
      <c r="C47" s="2">
        <f t="shared" si="8"/>
        <v>0</v>
      </c>
      <c r="D47" s="2">
        <f t="shared" si="2"/>
        <v>0</v>
      </c>
      <c r="E47" s="2">
        <f t="shared" si="9"/>
        <v>0</v>
      </c>
      <c r="F47" s="2">
        <f t="shared" si="10"/>
        <v>0</v>
      </c>
      <c r="G47" s="2">
        <f t="shared" ref="G47" si="55">G19*2</f>
        <v>0</v>
      </c>
      <c r="H47" s="2">
        <f t="shared" si="4"/>
        <v>0</v>
      </c>
      <c r="I47" s="2">
        <f t="shared" si="4"/>
        <v>0</v>
      </c>
      <c r="J47" s="2">
        <f t="shared" si="4"/>
        <v>0</v>
      </c>
      <c r="K47" s="2">
        <f t="shared" ref="K47:L47" si="56">K19*2</f>
        <v>0</v>
      </c>
      <c r="L47" s="2">
        <f t="shared" si="56"/>
        <v>0</v>
      </c>
      <c r="M47" s="2">
        <f t="shared" si="13"/>
        <v>0</v>
      </c>
      <c r="N47" s="2">
        <f t="shared" si="14"/>
        <v>0</v>
      </c>
      <c r="O47" s="2">
        <f t="shared" ref="O47:P47" si="57">O19*1</f>
        <v>0</v>
      </c>
      <c r="P47" s="2">
        <f t="shared" si="57"/>
        <v>0</v>
      </c>
      <c r="Q47" s="7">
        <f t="shared" si="30"/>
        <v>0</v>
      </c>
      <c r="R47" s="2">
        <f t="shared" si="6"/>
        <v>0</v>
      </c>
    </row>
    <row r="48" spans="1:18" x14ac:dyDescent="0.25">
      <c r="A48" s="1">
        <f t="shared" si="17"/>
        <v>16</v>
      </c>
      <c r="B48" s="1" t="e">
        <f t="shared" si="7"/>
        <v>#REF!</v>
      </c>
      <c r="C48" s="2">
        <f t="shared" si="8"/>
        <v>0</v>
      </c>
      <c r="D48" s="2">
        <f t="shared" si="2"/>
        <v>0</v>
      </c>
      <c r="E48" s="2">
        <f t="shared" si="9"/>
        <v>0</v>
      </c>
      <c r="F48" s="2">
        <f t="shared" si="10"/>
        <v>0</v>
      </c>
      <c r="G48" s="2">
        <f t="shared" ref="G48" si="58">G20*2</f>
        <v>0</v>
      </c>
      <c r="H48" s="2">
        <f t="shared" si="4"/>
        <v>0</v>
      </c>
      <c r="I48" s="2">
        <f t="shared" si="4"/>
        <v>0</v>
      </c>
      <c r="J48" s="2">
        <f t="shared" si="4"/>
        <v>0</v>
      </c>
      <c r="K48" s="2">
        <f t="shared" ref="K48:L48" si="59">K20*2</f>
        <v>0</v>
      </c>
      <c r="L48" s="2">
        <f t="shared" si="59"/>
        <v>0</v>
      </c>
      <c r="M48" s="2">
        <f t="shared" si="13"/>
        <v>0</v>
      </c>
      <c r="N48" s="2">
        <f t="shared" si="14"/>
        <v>0</v>
      </c>
      <c r="O48" s="2">
        <f t="shared" ref="O48:P48" si="60">O20*1</f>
        <v>0</v>
      </c>
      <c r="P48" s="2">
        <f t="shared" si="60"/>
        <v>0</v>
      </c>
      <c r="Q48" s="7">
        <f t="shared" si="30"/>
        <v>0</v>
      </c>
      <c r="R48" s="2">
        <f t="shared" si="6"/>
        <v>0</v>
      </c>
    </row>
    <row r="49" spans="1:18" x14ac:dyDescent="0.25">
      <c r="A49" s="1">
        <f t="shared" si="17"/>
        <v>17</v>
      </c>
      <c r="B49" s="1" t="e">
        <f t="shared" si="7"/>
        <v>#REF!</v>
      </c>
      <c r="C49" s="2">
        <f t="shared" si="8"/>
        <v>0</v>
      </c>
      <c r="D49" s="2">
        <f t="shared" si="2"/>
        <v>0</v>
      </c>
      <c r="E49" s="2">
        <f t="shared" si="9"/>
        <v>0</v>
      </c>
      <c r="F49" s="2">
        <f t="shared" si="10"/>
        <v>0</v>
      </c>
      <c r="G49" s="2">
        <f t="shared" ref="G49" si="61">G21*2</f>
        <v>0</v>
      </c>
      <c r="H49" s="2">
        <f t="shared" si="4"/>
        <v>0</v>
      </c>
      <c r="I49" s="2">
        <f t="shared" si="4"/>
        <v>0</v>
      </c>
      <c r="J49" s="2">
        <f t="shared" si="4"/>
        <v>0</v>
      </c>
      <c r="K49" s="2">
        <f t="shared" ref="K49:L49" si="62">K21*2</f>
        <v>0</v>
      </c>
      <c r="L49" s="2">
        <f t="shared" si="62"/>
        <v>0</v>
      </c>
      <c r="M49" s="2">
        <f t="shared" si="13"/>
        <v>0</v>
      </c>
      <c r="N49" s="2">
        <f t="shared" si="14"/>
        <v>0</v>
      </c>
      <c r="O49" s="2">
        <f t="shared" ref="O49:P49" si="63">O21*1</f>
        <v>0</v>
      </c>
      <c r="P49" s="2">
        <f t="shared" si="63"/>
        <v>0</v>
      </c>
      <c r="Q49" s="7">
        <f t="shared" si="30"/>
        <v>0</v>
      </c>
      <c r="R49" s="2">
        <f t="shared" si="6"/>
        <v>0</v>
      </c>
    </row>
    <row r="50" spans="1:18" x14ac:dyDescent="0.25">
      <c r="A50" s="1">
        <f t="shared" si="17"/>
        <v>18</v>
      </c>
      <c r="B50" s="1" t="e">
        <f t="shared" si="7"/>
        <v>#REF!</v>
      </c>
      <c r="C50" s="2">
        <f t="shared" si="8"/>
        <v>0</v>
      </c>
      <c r="D50" s="2">
        <f t="shared" si="2"/>
        <v>0</v>
      </c>
      <c r="E50" s="2">
        <f t="shared" si="9"/>
        <v>0</v>
      </c>
      <c r="F50" s="2">
        <f t="shared" si="10"/>
        <v>0</v>
      </c>
      <c r="G50" s="2">
        <f t="shared" ref="G50" si="64">G22*2</f>
        <v>0</v>
      </c>
      <c r="H50" s="2">
        <f t="shared" si="4"/>
        <v>0</v>
      </c>
      <c r="I50" s="2">
        <f t="shared" si="4"/>
        <v>0</v>
      </c>
      <c r="J50" s="2">
        <f t="shared" si="4"/>
        <v>0</v>
      </c>
      <c r="K50" s="2">
        <f t="shared" ref="K50:L50" si="65">K22*2</f>
        <v>0</v>
      </c>
      <c r="L50" s="2">
        <f t="shared" si="65"/>
        <v>0</v>
      </c>
      <c r="M50" s="2">
        <f t="shared" si="13"/>
        <v>0</v>
      </c>
      <c r="N50" s="2">
        <f t="shared" si="14"/>
        <v>0</v>
      </c>
      <c r="O50" s="2">
        <f t="shared" ref="O50:P50" si="66">O22*1</f>
        <v>0</v>
      </c>
      <c r="P50" s="2">
        <f t="shared" si="66"/>
        <v>0</v>
      </c>
      <c r="Q50" s="7">
        <f t="shared" si="30"/>
        <v>0</v>
      </c>
      <c r="R50" s="2">
        <f t="shared" si="6"/>
        <v>0</v>
      </c>
    </row>
    <row r="51" spans="1:18" x14ac:dyDescent="0.25">
      <c r="A51" s="1">
        <f t="shared" si="17"/>
        <v>19</v>
      </c>
      <c r="B51" s="1" t="e">
        <f t="shared" si="7"/>
        <v>#REF!</v>
      </c>
      <c r="C51" s="2">
        <f t="shared" si="8"/>
        <v>0</v>
      </c>
      <c r="D51" s="2">
        <f t="shared" si="2"/>
        <v>0</v>
      </c>
      <c r="E51" s="2">
        <f t="shared" si="9"/>
        <v>0</v>
      </c>
      <c r="F51" s="2">
        <f t="shared" si="10"/>
        <v>0</v>
      </c>
      <c r="G51" s="2">
        <f t="shared" ref="G51" si="67">G23*2</f>
        <v>0</v>
      </c>
      <c r="H51" s="2">
        <f t="shared" si="4"/>
        <v>0</v>
      </c>
      <c r="I51" s="2">
        <f t="shared" si="4"/>
        <v>0</v>
      </c>
      <c r="J51" s="2">
        <f t="shared" si="4"/>
        <v>0</v>
      </c>
      <c r="K51" s="2">
        <f t="shared" ref="K51:L51" si="68">K23*2</f>
        <v>0</v>
      </c>
      <c r="L51" s="2">
        <f t="shared" si="68"/>
        <v>0</v>
      </c>
      <c r="M51" s="2">
        <f t="shared" si="13"/>
        <v>0</v>
      </c>
      <c r="N51" s="2">
        <f t="shared" si="14"/>
        <v>0</v>
      </c>
      <c r="O51" s="2">
        <f t="shared" ref="O51:P51" si="69">O23*1</f>
        <v>0</v>
      </c>
      <c r="P51" s="2">
        <f t="shared" si="69"/>
        <v>0</v>
      </c>
      <c r="Q51" s="7">
        <f t="shared" si="30"/>
        <v>0</v>
      </c>
      <c r="R51" s="2">
        <f t="shared" si="6"/>
        <v>0</v>
      </c>
    </row>
    <row r="52" spans="1:18" x14ac:dyDescent="0.25">
      <c r="A52" s="1">
        <f t="shared" si="17"/>
        <v>20</v>
      </c>
      <c r="B52" s="1" t="e">
        <f t="shared" si="7"/>
        <v>#REF!</v>
      </c>
      <c r="C52" s="2">
        <f t="shared" si="8"/>
        <v>0</v>
      </c>
      <c r="D52" s="2">
        <f t="shared" si="2"/>
        <v>0</v>
      </c>
      <c r="E52" s="2">
        <f t="shared" si="9"/>
        <v>0</v>
      </c>
      <c r="F52" s="2">
        <f t="shared" si="10"/>
        <v>0</v>
      </c>
      <c r="G52" s="2">
        <f t="shared" ref="G52" si="70">G24*2</f>
        <v>0</v>
      </c>
      <c r="H52" s="2">
        <f t="shared" si="4"/>
        <v>0</v>
      </c>
      <c r="I52" s="2">
        <f t="shared" si="4"/>
        <v>0</v>
      </c>
      <c r="J52" s="2">
        <f t="shared" si="4"/>
        <v>0</v>
      </c>
      <c r="K52" s="2">
        <f t="shared" ref="K52:L52" si="71">K24*2</f>
        <v>0</v>
      </c>
      <c r="L52" s="2">
        <f t="shared" si="71"/>
        <v>0</v>
      </c>
      <c r="M52" s="2">
        <f t="shared" si="13"/>
        <v>0</v>
      </c>
      <c r="N52" s="2">
        <f t="shared" si="14"/>
        <v>0</v>
      </c>
      <c r="O52" s="2">
        <f t="shared" ref="O52:P52" si="72">O24*1</f>
        <v>0</v>
      </c>
      <c r="P52" s="2">
        <f t="shared" si="72"/>
        <v>0</v>
      </c>
      <c r="Q52" s="7">
        <f t="shared" si="30"/>
        <v>0</v>
      </c>
      <c r="R52" s="2">
        <f t="shared" si="6"/>
        <v>0</v>
      </c>
    </row>
    <row r="53" spans="1:18" x14ac:dyDescent="0.25">
      <c r="A53" s="1">
        <f t="shared" si="17"/>
        <v>21</v>
      </c>
      <c r="B53" s="1" t="e">
        <f t="shared" si="7"/>
        <v>#REF!</v>
      </c>
      <c r="C53" s="2">
        <f t="shared" si="8"/>
        <v>0</v>
      </c>
      <c r="D53" s="2">
        <f t="shared" ref="D53:D57" si="73">D25*3</f>
        <v>0</v>
      </c>
      <c r="E53" s="2">
        <f t="shared" si="9"/>
        <v>0</v>
      </c>
      <c r="F53" s="2">
        <f t="shared" si="10"/>
        <v>0</v>
      </c>
      <c r="G53" s="2">
        <f t="shared" ref="G53" si="74">G25*2</f>
        <v>0</v>
      </c>
      <c r="H53" s="2">
        <f t="shared" si="4"/>
        <v>0</v>
      </c>
      <c r="I53" s="2">
        <f t="shared" si="4"/>
        <v>0</v>
      </c>
      <c r="J53" s="2">
        <f t="shared" si="4"/>
        <v>0</v>
      </c>
      <c r="K53" s="2">
        <f t="shared" ref="K53:L53" si="75">K25*2</f>
        <v>0</v>
      </c>
      <c r="L53" s="2">
        <f t="shared" si="75"/>
        <v>0</v>
      </c>
      <c r="M53" s="2">
        <f t="shared" si="13"/>
        <v>0</v>
      </c>
      <c r="N53" s="2">
        <f t="shared" si="14"/>
        <v>0</v>
      </c>
      <c r="O53" s="2">
        <f t="shared" ref="O53:P53" si="76">O25*1</f>
        <v>0</v>
      </c>
      <c r="P53" s="2">
        <f t="shared" si="76"/>
        <v>0</v>
      </c>
      <c r="Q53" s="7">
        <f t="shared" si="30"/>
        <v>0</v>
      </c>
      <c r="R53" s="2">
        <f t="shared" si="6"/>
        <v>0</v>
      </c>
    </row>
    <row r="54" spans="1:18" x14ac:dyDescent="0.25">
      <c r="A54" s="1">
        <f t="shared" si="17"/>
        <v>22</v>
      </c>
      <c r="B54" s="1" t="e">
        <f t="shared" si="7"/>
        <v>#REF!</v>
      </c>
      <c r="C54" s="2">
        <f t="shared" si="8"/>
        <v>0</v>
      </c>
      <c r="D54" s="2">
        <f t="shared" si="73"/>
        <v>0</v>
      </c>
      <c r="E54" s="2">
        <f t="shared" si="9"/>
        <v>0</v>
      </c>
      <c r="F54" s="2">
        <f t="shared" si="10"/>
        <v>0</v>
      </c>
      <c r="G54" s="2">
        <f t="shared" ref="G54" si="77">G26*2</f>
        <v>0</v>
      </c>
      <c r="H54" s="2">
        <f t="shared" ref="H54" si="78">H26*1.5</f>
        <v>0</v>
      </c>
      <c r="I54" s="2">
        <f>I26*2</f>
        <v>0</v>
      </c>
      <c r="J54" s="2">
        <f>J26*2</f>
        <v>0</v>
      </c>
      <c r="K54" s="2">
        <f t="shared" ref="K54:L54" si="79">K26*2</f>
        <v>0</v>
      </c>
      <c r="L54" s="2">
        <f t="shared" si="79"/>
        <v>0</v>
      </c>
      <c r="M54" s="2">
        <f t="shared" si="13"/>
        <v>0</v>
      </c>
      <c r="N54" s="2">
        <f t="shared" si="14"/>
        <v>0</v>
      </c>
      <c r="O54" s="2">
        <f t="shared" ref="O54:P54" si="80">O26*1</f>
        <v>0</v>
      </c>
      <c r="P54" s="2">
        <f t="shared" si="80"/>
        <v>0</v>
      </c>
      <c r="Q54" s="7">
        <f t="shared" si="30"/>
        <v>0</v>
      </c>
      <c r="R54" s="2">
        <f t="shared" si="6"/>
        <v>0</v>
      </c>
    </row>
    <row r="55" spans="1:18" x14ac:dyDescent="0.25">
      <c r="A55" s="1">
        <f t="shared" si="17"/>
        <v>23</v>
      </c>
      <c r="B55" s="1" t="e">
        <f t="shared" si="7"/>
        <v>#REF!</v>
      </c>
      <c r="C55" s="2">
        <f t="shared" si="8"/>
        <v>0</v>
      </c>
      <c r="D55" s="2">
        <f t="shared" si="73"/>
        <v>0</v>
      </c>
      <c r="E55" s="2">
        <f t="shared" si="9"/>
        <v>0</v>
      </c>
      <c r="F55" s="2">
        <f t="shared" si="10"/>
        <v>0</v>
      </c>
      <c r="G55" s="2">
        <f t="shared" ref="G55" si="81">G27*2</f>
        <v>0</v>
      </c>
      <c r="H55" s="2">
        <f t="shared" ref="H55" si="82">H27*1.5</f>
        <v>0</v>
      </c>
      <c r="I55" s="2">
        <f>I27*2</f>
        <v>0</v>
      </c>
      <c r="J55" s="2">
        <f>J27*2</f>
        <v>0</v>
      </c>
      <c r="K55" s="2">
        <f t="shared" ref="K55:L55" si="83">K27*2</f>
        <v>0</v>
      </c>
      <c r="L55" s="2">
        <f t="shared" si="83"/>
        <v>0</v>
      </c>
      <c r="M55" s="2">
        <f t="shared" si="13"/>
        <v>0</v>
      </c>
      <c r="N55" s="2">
        <f t="shared" si="14"/>
        <v>0</v>
      </c>
      <c r="O55" s="2">
        <f t="shared" ref="O55:P55" si="84">O27*1</f>
        <v>0</v>
      </c>
      <c r="P55" s="2">
        <f t="shared" si="84"/>
        <v>0</v>
      </c>
      <c r="Q55" s="7">
        <f t="shared" si="30"/>
        <v>0</v>
      </c>
      <c r="R55" s="2">
        <f t="shared" si="6"/>
        <v>0</v>
      </c>
    </row>
    <row r="56" spans="1:18" x14ac:dyDescent="0.25">
      <c r="A56" s="1">
        <f t="shared" si="17"/>
        <v>24</v>
      </c>
      <c r="B56" s="1" t="e">
        <f t="shared" si="7"/>
        <v>#REF!</v>
      </c>
      <c r="C56" s="2">
        <f t="shared" si="8"/>
        <v>0</v>
      </c>
      <c r="D56" s="2">
        <f t="shared" si="73"/>
        <v>0</v>
      </c>
      <c r="E56" s="2">
        <f t="shared" si="9"/>
        <v>0</v>
      </c>
      <c r="F56" s="2">
        <f t="shared" si="10"/>
        <v>0</v>
      </c>
      <c r="G56" s="2">
        <f t="shared" ref="G56" si="85">G28*2</f>
        <v>0</v>
      </c>
      <c r="H56" s="2">
        <f t="shared" ref="H56:I56" si="86">H28*1.5</f>
        <v>0</v>
      </c>
      <c r="I56" s="2">
        <f t="shared" si="86"/>
        <v>0</v>
      </c>
      <c r="J56" s="2">
        <f>J28*2</f>
        <v>0</v>
      </c>
      <c r="K56" s="2">
        <f t="shared" ref="K56:L56" si="87">K28*2</f>
        <v>0</v>
      </c>
      <c r="L56" s="2">
        <f t="shared" si="87"/>
        <v>0</v>
      </c>
      <c r="M56" s="2">
        <f t="shared" si="13"/>
        <v>0</v>
      </c>
      <c r="N56" s="2">
        <f t="shared" si="14"/>
        <v>0</v>
      </c>
      <c r="O56" s="2">
        <f t="shared" ref="O56:P56" si="88">O28*1</f>
        <v>0</v>
      </c>
      <c r="P56" s="2">
        <f t="shared" si="88"/>
        <v>0</v>
      </c>
      <c r="Q56" s="7">
        <f t="shared" si="30"/>
        <v>0</v>
      </c>
      <c r="R56" s="2">
        <f t="shared" si="6"/>
        <v>0</v>
      </c>
    </row>
    <row r="57" spans="1:18" x14ac:dyDescent="0.25">
      <c r="A57" s="1">
        <f t="shared" si="17"/>
        <v>25</v>
      </c>
      <c r="B57" s="1" t="e">
        <f t="shared" si="7"/>
        <v>#REF!</v>
      </c>
      <c r="C57" s="2">
        <f t="shared" si="8"/>
        <v>0</v>
      </c>
      <c r="D57" s="2">
        <f t="shared" si="73"/>
        <v>0</v>
      </c>
      <c r="E57" s="2">
        <f t="shared" si="9"/>
        <v>0</v>
      </c>
      <c r="F57" s="2">
        <f t="shared" si="10"/>
        <v>0</v>
      </c>
      <c r="G57" s="2">
        <f t="shared" ref="G57" si="89">G29*2</f>
        <v>0</v>
      </c>
      <c r="H57" s="2">
        <f t="shared" ref="H57:I57" si="90">H29*1.5</f>
        <v>0</v>
      </c>
      <c r="I57" s="2">
        <f t="shared" si="90"/>
        <v>0</v>
      </c>
      <c r="J57" s="2">
        <f>J29*2</f>
        <v>0</v>
      </c>
      <c r="K57" s="2">
        <f t="shared" ref="K57:L57" si="91">K29*2</f>
        <v>0</v>
      </c>
      <c r="L57" s="2">
        <f t="shared" si="91"/>
        <v>0</v>
      </c>
      <c r="M57" s="2">
        <f t="shared" si="13"/>
        <v>0</v>
      </c>
      <c r="N57" s="2">
        <f t="shared" si="14"/>
        <v>0</v>
      </c>
      <c r="O57" s="2">
        <f t="shared" ref="O57:P57" si="92">O29*1</f>
        <v>0</v>
      </c>
      <c r="P57" s="2">
        <f t="shared" si="92"/>
        <v>0</v>
      </c>
      <c r="Q57" s="7">
        <f t="shared" si="30"/>
        <v>0</v>
      </c>
      <c r="R57" s="2">
        <f t="shared" si="6"/>
        <v>0</v>
      </c>
    </row>
    <row r="58" spans="1:18" x14ac:dyDescent="0.25">
      <c r="R58" s="3">
        <f>AVERAGE(R33:R39)</f>
        <v>4.8940886699507384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58"/>
  <sheetViews>
    <sheetView topLeftCell="A23" workbookViewId="0">
      <selection activeCell="R33" sqref="R33:R37"/>
    </sheetView>
  </sheetViews>
  <sheetFormatPr baseColWidth="10" defaultRowHeight="15" x14ac:dyDescent="0.25"/>
  <cols>
    <col min="2" max="2" width="33.28515625" bestFit="1" customWidth="1"/>
    <col min="3" max="3" width="7.5703125" bestFit="1" customWidth="1"/>
    <col min="4" max="4" width="7.140625" bestFit="1" customWidth="1"/>
    <col min="5" max="5" width="7.28515625" bestFit="1" customWidth="1"/>
    <col min="6" max="6" width="7.5703125" bestFit="1" customWidth="1"/>
    <col min="7" max="7" width="7.42578125" customWidth="1"/>
    <col min="8" max="8" width="5.5703125" bestFit="1" customWidth="1"/>
    <col min="9" max="9" width="6.7109375" bestFit="1" customWidth="1"/>
    <col min="10" max="10" width="6.7109375" customWidth="1"/>
    <col min="11" max="11" width="5.5703125" bestFit="1" customWidth="1"/>
    <col min="12" max="12" width="6.28515625" bestFit="1" customWidth="1"/>
    <col min="13" max="16" width="5.5703125" bestFit="1" customWidth="1"/>
    <col min="17" max="17" width="6.5703125" bestFit="1" customWidth="1"/>
    <col min="18" max="18" width="10" bestFit="1" customWidth="1"/>
  </cols>
  <sheetData>
    <row r="4" spans="1:16" x14ac:dyDescent="0.25">
      <c r="A4" s="4" t="s">
        <v>2</v>
      </c>
      <c r="B4" s="5" t="s">
        <v>0</v>
      </c>
      <c r="C4" s="5" t="s">
        <v>11</v>
      </c>
      <c r="D4" s="5" t="s">
        <v>12</v>
      </c>
      <c r="E4" s="5" t="s">
        <v>13</v>
      </c>
      <c r="F4" s="5" t="s">
        <v>9</v>
      </c>
      <c r="G4" s="5" t="s">
        <v>3</v>
      </c>
      <c r="H4" s="5" t="s">
        <v>10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4</v>
      </c>
      <c r="O4" s="5" t="s">
        <v>5</v>
      </c>
      <c r="P4" s="5" t="s">
        <v>6</v>
      </c>
    </row>
    <row r="5" spans="1:16" x14ac:dyDescent="0.25">
      <c r="A5" s="1">
        <v>1</v>
      </c>
      <c r="B5" s="1" t="s">
        <v>71</v>
      </c>
      <c r="C5" s="2">
        <v>10</v>
      </c>
      <c r="D5" s="2">
        <v>14</v>
      </c>
      <c r="E5" s="2">
        <v>10.5</v>
      </c>
      <c r="F5" s="2">
        <v>11.5</v>
      </c>
      <c r="G5" s="2">
        <v>11</v>
      </c>
      <c r="H5" s="2">
        <v>12</v>
      </c>
      <c r="I5" s="2">
        <v>5</v>
      </c>
      <c r="J5" s="2">
        <v>14.82</v>
      </c>
      <c r="K5" s="2">
        <v>5.75</v>
      </c>
      <c r="L5" s="2">
        <v>8.5</v>
      </c>
      <c r="M5" s="2">
        <v>9.5</v>
      </c>
      <c r="N5" s="2">
        <v>15.5</v>
      </c>
      <c r="O5" s="2">
        <v>16.5</v>
      </c>
      <c r="P5" s="2">
        <v>17</v>
      </c>
    </row>
    <row r="6" spans="1:16" x14ac:dyDescent="0.25">
      <c r="A6" s="1">
        <f>A5+1</f>
        <v>2</v>
      </c>
      <c r="B6" s="46" t="s">
        <v>72</v>
      </c>
      <c r="C6" s="2">
        <v>14.5</v>
      </c>
      <c r="D6" s="2">
        <v>13.5</v>
      </c>
      <c r="E6" s="2">
        <v>11</v>
      </c>
      <c r="F6" s="2">
        <v>14.5</v>
      </c>
      <c r="G6" s="2">
        <v>10</v>
      </c>
      <c r="H6" s="2">
        <v>9</v>
      </c>
      <c r="I6" s="2">
        <v>4</v>
      </c>
      <c r="J6" s="2">
        <v>13.6</v>
      </c>
      <c r="K6" s="2">
        <v>8.25</v>
      </c>
      <c r="L6" s="2">
        <v>2</v>
      </c>
      <c r="M6" s="2">
        <v>14</v>
      </c>
      <c r="N6" s="2">
        <v>16.25</v>
      </c>
      <c r="O6" s="2">
        <v>16.5</v>
      </c>
      <c r="P6" s="2">
        <v>17</v>
      </c>
    </row>
    <row r="7" spans="1:16" x14ac:dyDescent="0.25">
      <c r="A7" s="1">
        <f t="shared" ref="A7:A29" si="0">A6+1</f>
        <v>3</v>
      </c>
      <c r="B7" s="1" t="s">
        <v>73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1">
        <f t="shared" si="0"/>
        <v>4</v>
      </c>
      <c r="B8" s="1" t="s">
        <v>74</v>
      </c>
      <c r="C8" s="2">
        <v>13</v>
      </c>
      <c r="D8" s="2">
        <v>16</v>
      </c>
      <c r="E8" s="2">
        <v>14.5</v>
      </c>
      <c r="F8" s="2">
        <v>11.25</v>
      </c>
      <c r="G8" s="2">
        <v>15</v>
      </c>
      <c r="H8" s="2">
        <v>15</v>
      </c>
      <c r="I8" s="2">
        <v>14</v>
      </c>
      <c r="J8" s="2">
        <v>18.170000000000002</v>
      </c>
      <c r="K8" s="2">
        <v>10.75</v>
      </c>
      <c r="L8" s="2">
        <v>11</v>
      </c>
      <c r="M8" s="2">
        <v>17.5</v>
      </c>
      <c r="N8" s="2">
        <v>15.25</v>
      </c>
      <c r="O8" s="2">
        <v>16.5</v>
      </c>
      <c r="P8" s="2">
        <v>17</v>
      </c>
    </row>
    <row r="9" spans="1:16" x14ac:dyDescent="0.25">
      <c r="A9" s="1">
        <f t="shared" si="0"/>
        <v>5</v>
      </c>
      <c r="B9" s="1" t="s">
        <v>75</v>
      </c>
      <c r="C9" s="8">
        <v>12</v>
      </c>
      <c r="D9" s="8">
        <v>12.5</v>
      </c>
      <c r="E9" s="8">
        <v>12</v>
      </c>
      <c r="F9" s="8">
        <v>10.75</v>
      </c>
      <c r="G9" s="8">
        <v>15</v>
      </c>
      <c r="H9" s="8">
        <v>14</v>
      </c>
      <c r="I9" s="8">
        <v>14</v>
      </c>
      <c r="J9" s="8">
        <v>19.05</v>
      </c>
      <c r="K9" s="8">
        <v>6</v>
      </c>
      <c r="L9" s="8">
        <v>6</v>
      </c>
      <c r="M9" s="8">
        <v>14</v>
      </c>
      <c r="N9" s="8">
        <v>16.5</v>
      </c>
      <c r="O9" s="8">
        <v>16.5</v>
      </c>
      <c r="P9" s="2">
        <v>17</v>
      </c>
    </row>
    <row r="10" spans="1:16" x14ac:dyDescent="0.25">
      <c r="A10" s="1">
        <f t="shared" si="0"/>
        <v>6</v>
      </c>
      <c r="B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1">
        <f t="shared" si="0"/>
        <v>7</v>
      </c>
      <c r="B11" s="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1">
        <f t="shared" si="0"/>
        <v>8</v>
      </c>
      <c r="B12" s="1" t="e">
        <f>#REF!</f>
        <v>#REF!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1">
        <f t="shared" si="0"/>
        <v>9</v>
      </c>
      <c r="B13" s="1" t="e">
        <f>#REF!</f>
        <v>#REF!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1">
        <f t="shared" si="0"/>
        <v>10</v>
      </c>
      <c r="B14" s="1" t="e">
        <f>#REF!</f>
        <v>#REF!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1">
        <f t="shared" si="0"/>
        <v>11</v>
      </c>
      <c r="B15" s="1" t="e">
        <f>#REF!</f>
        <v>#REF!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1">
        <f t="shared" si="0"/>
        <v>12</v>
      </c>
      <c r="B16" s="1" t="e">
        <f>#REF!</f>
        <v>#REF!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8" x14ac:dyDescent="0.25">
      <c r="A17" s="1">
        <f t="shared" si="0"/>
        <v>13</v>
      </c>
      <c r="B17" s="1" t="e">
        <f>#REF!</f>
        <v>#REF!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8" x14ac:dyDescent="0.25">
      <c r="A18" s="1">
        <f t="shared" si="0"/>
        <v>14</v>
      </c>
      <c r="B18" s="1" t="e">
        <f>#REF!</f>
        <v>#REF!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8" x14ac:dyDescent="0.25">
      <c r="A19" s="1">
        <f t="shared" si="0"/>
        <v>15</v>
      </c>
      <c r="B19" s="1" t="e">
        <f>#REF!</f>
        <v>#REF!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8" x14ac:dyDescent="0.25">
      <c r="A20" s="1">
        <f t="shared" si="0"/>
        <v>16</v>
      </c>
      <c r="B20" s="1" t="e">
        <f>#REF!</f>
        <v>#REF!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8" x14ac:dyDescent="0.25">
      <c r="A21" s="1">
        <f t="shared" si="0"/>
        <v>17</v>
      </c>
      <c r="B21" s="1" t="e">
        <f>#REF!</f>
        <v>#REF!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8" x14ac:dyDescent="0.25">
      <c r="A22" s="1">
        <f t="shared" si="0"/>
        <v>18</v>
      </c>
      <c r="B22" s="1" t="e">
        <f>#REF!</f>
        <v>#REF!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8" x14ac:dyDescent="0.25">
      <c r="A23" s="1">
        <f t="shared" si="0"/>
        <v>19</v>
      </c>
      <c r="B23" s="1" t="e">
        <f>#REF!</f>
        <v>#REF!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8" x14ac:dyDescent="0.25">
      <c r="A24" s="1">
        <f t="shared" si="0"/>
        <v>20</v>
      </c>
      <c r="B24" s="1" t="e">
        <f>#REF!</f>
        <v>#REF!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8" x14ac:dyDescent="0.25">
      <c r="A25" s="1">
        <f t="shared" si="0"/>
        <v>21</v>
      </c>
      <c r="B25" s="1" t="e">
        <f>#REF!</f>
        <v>#REF!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8" x14ac:dyDescent="0.25">
      <c r="A26" s="1">
        <f t="shared" si="0"/>
        <v>22</v>
      </c>
      <c r="B26" s="1" t="e">
        <f>#REF!</f>
        <v>#REF!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8" x14ac:dyDescent="0.25">
      <c r="A27" s="1">
        <f t="shared" si="0"/>
        <v>23</v>
      </c>
      <c r="B27" s="1" t="e">
        <f>#REF!</f>
        <v>#REF!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8" x14ac:dyDescent="0.25">
      <c r="A28" s="1">
        <f t="shared" si="0"/>
        <v>24</v>
      </c>
      <c r="B28" s="1" t="e">
        <f>#REF!</f>
        <v>#REF!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8" x14ac:dyDescent="0.25">
      <c r="A29" s="1">
        <f t="shared" si="0"/>
        <v>25</v>
      </c>
      <c r="B29" s="1" t="e">
        <f>#REF!</f>
        <v>#REF!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8" x14ac:dyDescent="0.25">
      <c r="B30" t="s">
        <v>19</v>
      </c>
      <c r="C30" s="3">
        <f>AVERAGE(C5:C29)</f>
        <v>12.375</v>
      </c>
      <c r="D30" s="3">
        <f t="shared" ref="D30:P30" si="1">AVERAGE(D5:D29)</f>
        <v>14</v>
      </c>
      <c r="E30" s="3">
        <f t="shared" si="1"/>
        <v>12</v>
      </c>
      <c r="F30" s="3">
        <f t="shared" si="1"/>
        <v>12</v>
      </c>
      <c r="G30" s="3">
        <f t="shared" si="1"/>
        <v>12.75</v>
      </c>
      <c r="H30" s="3">
        <f t="shared" si="1"/>
        <v>12.5</v>
      </c>
      <c r="I30" s="3">
        <f t="shared" si="1"/>
        <v>9.25</v>
      </c>
      <c r="J30" s="3">
        <f t="shared" si="1"/>
        <v>16.41</v>
      </c>
      <c r="K30" s="3">
        <f t="shared" si="1"/>
        <v>7.6875</v>
      </c>
      <c r="L30" s="3">
        <f t="shared" si="1"/>
        <v>6.875</v>
      </c>
      <c r="M30" s="3">
        <f t="shared" si="1"/>
        <v>13.75</v>
      </c>
      <c r="N30" s="3">
        <f t="shared" si="1"/>
        <v>15.875</v>
      </c>
      <c r="O30" s="3">
        <f t="shared" si="1"/>
        <v>16.5</v>
      </c>
      <c r="P30" s="3">
        <f t="shared" si="1"/>
        <v>17</v>
      </c>
    </row>
    <row r="32" spans="1:18" x14ac:dyDescent="0.25">
      <c r="A32" s="4" t="s">
        <v>2</v>
      </c>
      <c r="B32" s="5" t="s">
        <v>0</v>
      </c>
      <c r="C32" s="5" t="s">
        <v>1</v>
      </c>
      <c r="D32" s="5" t="s">
        <v>12</v>
      </c>
      <c r="E32" s="5" t="s">
        <v>13</v>
      </c>
      <c r="F32" s="5" t="s">
        <v>9</v>
      </c>
      <c r="G32" s="5" t="s">
        <v>3</v>
      </c>
      <c r="H32" s="5" t="s">
        <v>10</v>
      </c>
      <c r="I32" s="5" t="s">
        <v>14</v>
      </c>
      <c r="J32" s="5" t="s">
        <v>15</v>
      </c>
      <c r="K32" s="5" t="s">
        <v>16</v>
      </c>
      <c r="L32" s="5" t="s">
        <v>17</v>
      </c>
      <c r="M32" s="5" t="s">
        <v>18</v>
      </c>
      <c r="N32" s="5" t="s">
        <v>4</v>
      </c>
      <c r="O32" s="5" t="s">
        <v>5</v>
      </c>
      <c r="P32" s="5" t="s">
        <v>6</v>
      </c>
      <c r="Q32" s="6" t="s">
        <v>7</v>
      </c>
      <c r="R32" s="6" t="s">
        <v>8</v>
      </c>
    </row>
    <row r="33" spans="1:18" x14ac:dyDescent="0.25">
      <c r="A33" s="1">
        <v>1</v>
      </c>
      <c r="B33" s="1" t="str">
        <f>B5</f>
        <v>BALANA Reine Flora</v>
      </c>
      <c r="C33" s="2">
        <f>C5*4</f>
        <v>40</v>
      </c>
      <c r="D33" s="2">
        <f t="shared" ref="D33:D52" si="2">D5*2</f>
        <v>28</v>
      </c>
      <c r="E33" s="2">
        <f>E5*3</f>
        <v>31.5</v>
      </c>
      <c r="F33" s="2">
        <f>F5*3</f>
        <v>34.5</v>
      </c>
      <c r="G33" s="2">
        <f t="shared" ref="G33:L48" si="3">G5*2</f>
        <v>22</v>
      </c>
      <c r="H33" s="2">
        <f t="shared" ref="H33:J53" si="4">H5*2</f>
        <v>24</v>
      </c>
      <c r="I33" s="2">
        <f t="shared" si="4"/>
        <v>10</v>
      </c>
      <c r="J33" s="2">
        <f t="shared" si="4"/>
        <v>29.64</v>
      </c>
      <c r="K33" s="2">
        <f t="shared" si="3"/>
        <v>11.5</v>
      </c>
      <c r="L33" s="2">
        <f t="shared" si="3"/>
        <v>17</v>
      </c>
      <c r="M33" s="2">
        <f>M5*1</f>
        <v>9.5</v>
      </c>
      <c r="N33" s="2">
        <f>N5*2</f>
        <v>31</v>
      </c>
      <c r="O33" s="2">
        <f>O5*1</f>
        <v>16.5</v>
      </c>
      <c r="P33" s="2">
        <f>P5*1</f>
        <v>17</v>
      </c>
      <c r="Q33" s="7">
        <f t="shared" ref="Q33:Q57" si="5">SUM(C33:P33)</f>
        <v>322.14</v>
      </c>
      <c r="R33" s="2">
        <f t="shared" ref="R33:R57" si="6">Q33/29</f>
        <v>11.108275862068965</v>
      </c>
    </row>
    <row r="34" spans="1:18" x14ac:dyDescent="0.25">
      <c r="A34" s="1">
        <f>A33+1</f>
        <v>2</v>
      </c>
      <c r="B34" s="1" t="str">
        <f t="shared" ref="B34:B57" si="7">B6</f>
        <v>MENGING KENVO Lynn Chloé</v>
      </c>
      <c r="C34" s="2">
        <f t="shared" ref="C34:C57" si="8">C6*4</f>
        <v>58</v>
      </c>
      <c r="D34" s="2">
        <f t="shared" si="2"/>
        <v>27</v>
      </c>
      <c r="E34" s="2">
        <f t="shared" ref="E34:E57" si="9">E6*3</f>
        <v>33</v>
      </c>
      <c r="F34" s="2">
        <f t="shared" ref="F34:F57" si="10">F6*3</f>
        <v>43.5</v>
      </c>
      <c r="G34" s="2">
        <f t="shared" si="3"/>
        <v>20</v>
      </c>
      <c r="H34" s="2">
        <f t="shared" si="4"/>
        <v>18</v>
      </c>
      <c r="I34" s="2">
        <f t="shared" si="4"/>
        <v>8</v>
      </c>
      <c r="J34" s="2">
        <f t="shared" si="4"/>
        <v>27.2</v>
      </c>
      <c r="K34" s="2">
        <f t="shared" si="3"/>
        <v>16.5</v>
      </c>
      <c r="L34" s="2">
        <f t="shared" si="3"/>
        <v>4</v>
      </c>
      <c r="M34" s="2">
        <f t="shared" ref="M34:M57" si="11">M6*1</f>
        <v>14</v>
      </c>
      <c r="N34" s="2">
        <f t="shared" ref="N34:N57" si="12">N6*2</f>
        <v>32.5</v>
      </c>
      <c r="O34" s="2">
        <f t="shared" ref="O34:P49" si="13">O6*1</f>
        <v>16.5</v>
      </c>
      <c r="P34" s="2">
        <f t="shared" si="13"/>
        <v>17</v>
      </c>
      <c r="Q34" s="7">
        <f t="shared" si="5"/>
        <v>335.2</v>
      </c>
      <c r="R34" s="2">
        <f t="shared" si="6"/>
        <v>11.558620689655172</v>
      </c>
    </row>
    <row r="35" spans="1:18" x14ac:dyDescent="0.25">
      <c r="A35" s="1">
        <f t="shared" ref="A35:A57" si="14">A34+1</f>
        <v>3</v>
      </c>
      <c r="B35" s="1" t="str">
        <f t="shared" si="7"/>
        <v>MOUSSI MPENE Suzanne Fortune</v>
      </c>
      <c r="C35" s="2">
        <f t="shared" si="8"/>
        <v>0</v>
      </c>
      <c r="D35" s="2">
        <f t="shared" si="2"/>
        <v>0</v>
      </c>
      <c r="E35" s="2">
        <f t="shared" si="9"/>
        <v>0</v>
      </c>
      <c r="F35" s="2">
        <f t="shared" si="10"/>
        <v>0</v>
      </c>
      <c r="G35" s="2">
        <f t="shared" si="3"/>
        <v>0</v>
      </c>
      <c r="H35" s="2">
        <f t="shared" si="4"/>
        <v>0</v>
      </c>
      <c r="I35" s="2">
        <f t="shared" si="4"/>
        <v>0</v>
      </c>
      <c r="J35" s="2">
        <f t="shared" si="4"/>
        <v>0</v>
      </c>
      <c r="K35" s="2">
        <f t="shared" si="3"/>
        <v>0</v>
      </c>
      <c r="L35" s="2">
        <f t="shared" si="3"/>
        <v>0</v>
      </c>
      <c r="M35" s="2">
        <f t="shared" si="11"/>
        <v>0</v>
      </c>
      <c r="N35" s="2">
        <f t="shared" si="12"/>
        <v>0</v>
      </c>
      <c r="O35" s="2">
        <f t="shared" si="13"/>
        <v>0</v>
      </c>
      <c r="P35" s="2">
        <f t="shared" si="13"/>
        <v>0</v>
      </c>
      <c r="Q35" s="7">
        <f t="shared" si="5"/>
        <v>0</v>
      </c>
      <c r="R35" s="2">
        <f t="shared" si="6"/>
        <v>0</v>
      </c>
    </row>
    <row r="36" spans="1:18" x14ac:dyDescent="0.25">
      <c r="A36" s="1">
        <f t="shared" si="14"/>
        <v>4</v>
      </c>
      <c r="B36" s="1" t="str">
        <f t="shared" si="7"/>
        <v>MVINDI BESSALA Johanne Kendhal</v>
      </c>
      <c r="C36" s="2">
        <f t="shared" si="8"/>
        <v>52</v>
      </c>
      <c r="D36" s="2">
        <f t="shared" si="2"/>
        <v>32</v>
      </c>
      <c r="E36" s="2">
        <f t="shared" si="9"/>
        <v>43.5</v>
      </c>
      <c r="F36" s="2">
        <f t="shared" si="10"/>
        <v>33.75</v>
      </c>
      <c r="G36" s="2">
        <f t="shared" si="3"/>
        <v>30</v>
      </c>
      <c r="H36" s="2">
        <f t="shared" si="4"/>
        <v>30</v>
      </c>
      <c r="I36" s="2">
        <f t="shared" si="4"/>
        <v>28</v>
      </c>
      <c r="J36" s="2">
        <f t="shared" si="4"/>
        <v>36.340000000000003</v>
      </c>
      <c r="K36" s="2">
        <f t="shared" si="3"/>
        <v>21.5</v>
      </c>
      <c r="L36" s="2">
        <f t="shared" si="3"/>
        <v>22</v>
      </c>
      <c r="M36" s="2">
        <f t="shared" si="11"/>
        <v>17.5</v>
      </c>
      <c r="N36" s="2">
        <f t="shared" si="12"/>
        <v>30.5</v>
      </c>
      <c r="O36" s="2">
        <f t="shared" si="13"/>
        <v>16.5</v>
      </c>
      <c r="P36" s="2">
        <f t="shared" si="13"/>
        <v>17</v>
      </c>
      <c r="Q36" s="7">
        <f t="shared" si="5"/>
        <v>410.59000000000003</v>
      </c>
      <c r="R36" s="2">
        <f t="shared" si="6"/>
        <v>14.158275862068967</v>
      </c>
    </row>
    <row r="37" spans="1:18" x14ac:dyDescent="0.25">
      <c r="A37" s="1">
        <f t="shared" si="14"/>
        <v>5</v>
      </c>
      <c r="B37" s="1" t="str">
        <f t="shared" si="7"/>
        <v>NILOMENE Chanselle Dorine</v>
      </c>
      <c r="C37" s="2">
        <f t="shared" si="8"/>
        <v>48</v>
      </c>
      <c r="D37" s="2">
        <f t="shared" si="2"/>
        <v>25</v>
      </c>
      <c r="E37" s="2">
        <f t="shared" si="9"/>
        <v>36</v>
      </c>
      <c r="F37" s="2">
        <f t="shared" si="10"/>
        <v>32.25</v>
      </c>
      <c r="G37" s="2">
        <f t="shared" si="3"/>
        <v>30</v>
      </c>
      <c r="H37" s="2">
        <f t="shared" si="4"/>
        <v>28</v>
      </c>
      <c r="I37" s="2">
        <f t="shared" si="4"/>
        <v>28</v>
      </c>
      <c r="J37" s="2">
        <f t="shared" si="4"/>
        <v>38.1</v>
      </c>
      <c r="K37" s="2">
        <f t="shared" si="3"/>
        <v>12</v>
      </c>
      <c r="L37" s="2">
        <f t="shared" si="3"/>
        <v>12</v>
      </c>
      <c r="M37" s="2">
        <f t="shared" si="11"/>
        <v>14</v>
      </c>
      <c r="N37" s="2">
        <f t="shared" si="12"/>
        <v>33</v>
      </c>
      <c r="O37" s="2">
        <f t="shared" si="13"/>
        <v>16.5</v>
      </c>
      <c r="P37" s="2">
        <f t="shared" si="13"/>
        <v>17</v>
      </c>
      <c r="Q37" s="7">
        <f t="shared" si="5"/>
        <v>369.85</v>
      </c>
      <c r="R37" s="2">
        <f t="shared" si="6"/>
        <v>12.75344827586207</v>
      </c>
    </row>
    <row r="38" spans="1:18" x14ac:dyDescent="0.25">
      <c r="A38" s="1">
        <f t="shared" si="14"/>
        <v>6</v>
      </c>
      <c r="B38" s="1">
        <f t="shared" si="7"/>
        <v>0</v>
      </c>
      <c r="C38" s="2">
        <f t="shared" si="8"/>
        <v>0</v>
      </c>
      <c r="D38" s="2">
        <f t="shared" si="2"/>
        <v>0</v>
      </c>
      <c r="E38" s="2">
        <f t="shared" si="9"/>
        <v>0</v>
      </c>
      <c r="F38" s="2">
        <f t="shared" si="10"/>
        <v>0</v>
      </c>
      <c r="G38" s="2">
        <f t="shared" si="3"/>
        <v>0</v>
      </c>
      <c r="H38" s="2">
        <f t="shared" si="4"/>
        <v>0</v>
      </c>
      <c r="I38" s="2">
        <f t="shared" si="4"/>
        <v>0</v>
      </c>
      <c r="J38" s="2">
        <f t="shared" si="4"/>
        <v>0</v>
      </c>
      <c r="K38" s="2">
        <f t="shared" si="3"/>
        <v>0</v>
      </c>
      <c r="L38" s="2">
        <f t="shared" si="3"/>
        <v>0</v>
      </c>
      <c r="M38" s="2">
        <f t="shared" si="11"/>
        <v>0</v>
      </c>
      <c r="N38" s="2">
        <f t="shared" si="12"/>
        <v>0</v>
      </c>
      <c r="O38" s="2">
        <f t="shared" si="13"/>
        <v>0</v>
      </c>
      <c r="P38" s="2">
        <f t="shared" si="13"/>
        <v>0</v>
      </c>
      <c r="Q38" s="7">
        <f t="shared" si="5"/>
        <v>0</v>
      </c>
      <c r="R38" s="2">
        <f t="shared" si="6"/>
        <v>0</v>
      </c>
    </row>
    <row r="39" spans="1:18" x14ac:dyDescent="0.25">
      <c r="A39" s="1">
        <f t="shared" si="14"/>
        <v>7</v>
      </c>
      <c r="B39" s="1">
        <f t="shared" si="7"/>
        <v>0</v>
      </c>
      <c r="C39" s="2">
        <f t="shared" si="8"/>
        <v>0</v>
      </c>
      <c r="D39" s="2">
        <f t="shared" si="2"/>
        <v>0</v>
      </c>
      <c r="E39" s="2">
        <f t="shared" si="9"/>
        <v>0</v>
      </c>
      <c r="F39" s="2">
        <f t="shared" si="10"/>
        <v>0</v>
      </c>
      <c r="G39" s="2">
        <f t="shared" si="3"/>
        <v>0</v>
      </c>
      <c r="H39" s="2">
        <f t="shared" si="4"/>
        <v>0</v>
      </c>
      <c r="I39" s="2">
        <f t="shared" si="4"/>
        <v>0</v>
      </c>
      <c r="J39" s="2">
        <f t="shared" si="4"/>
        <v>0</v>
      </c>
      <c r="K39" s="2">
        <f t="shared" si="3"/>
        <v>0</v>
      </c>
      <c r="L39" s="2">
        <f t="shared" si="3"/>
        <v>0</v>
      </c>
      <c r="M39" s="2">
        <f t="shared" si="11"/>
        <v>0</v>
      </c>
      <c r="N39" s="2">
        <f t="shared" si="12"/>
        <v>0</v>
      </c>
      <c r="O39" s="2">
        <f t="shared" si="13"/>
        <v>0</v>
      </c>
      <c r="P39" s="2">
        <f t="shared" si="13"/>
        <v>0</v>
      </c>
      <c r="Q39" s="7">
        <f t="shared" si="5"/>
        <v>0</v>
      </c>
      <c r="R39" s="2">
        <f t="shared" si="6"/>
        <v>0</v>
      </c>
    </row>
    <row r="40" spans="1:18" x14ac:dyDescent="0.25">
      <c r="A40" s="1">
        <f t="shared" si="14"/>
        <v>8</v>
      </c>
      <c r="B40" s="1" t="e">
        <f t="shared" si="7"/>
        <v>#REF!</v>
      </c>
      <c r="C40" s="2">
        <f t="shared" si="8"/>
        <v>0</v>
      </c>
      <c r="D40" s="2">
        <f t="shared" si="2"/>
        <v>0</v>
      </c>
      <c r="E40" s="2">
        <f t="shared" si="9"/>
        <v>0</v>
      </c>
      <c r="F40" s="2">
        <f t="shared" si="10"/>
        <v>0</v>
      </c>
      <c r="G40" s="2">
        <f t="shared" si="3"/>
        <v>0</v>
      </c>
      <c r="H40" s="2">
        <f t="shared" si="4"/>
        <v>0</v>
      </c>
      <c r="I40" s="2">
        <f t="shared" si="4"/>
        <v>0</v>
      </c>
      <c r="J40" s="2">
        <f t="shared" si="4"/>
        <v>0</v>
      </c>
      <c r="K40" s="2">
        <f t="shared" si="3"/>
        <v>0</v>
      </c>
      <c r="L40" s="2">
        <f t="shared" si="3"/>
        <v>0</v>
      </c>
      <c r="M40" s="2">
        <f t="shared" si="11"/>
        <v>0</v>
      </c>
      <c r="N40" s="2">
        <f t="shared" si="12"/>
        <v>0</v>
      </c>
      <c r="O40" s="2">
        <f t="shared" si="13"/>
        <v>0</v>
      </c>
      <c r="P40" s="2">
        <f t="shared" si="13"/>
        <v>0</v>
      </c>
      <c r="Q40" s="7">
        <f t="shared" si="5"/>
        <v>0</v>
      </c>
      <c r="R40" s="2">
        <f t="shared" si="6"/>
        <v>0</v>
      </c>
    </row>
    <row r="41" spans="1:18" x14ac:dyDescent="0.25">
      <c r="A41" s="1">
        <f t="shared" si="14"/>
        <v>9</v>
      </c>
      <c r="B41" s="1" t="e">
        <f t="shared" si="7"/>
        <v>#REF!</v>
      </c>
      <c r="C41" s="2">
        <f t="shared" si="8"/>
        <v>0</v>
      </c>
      <c r="D41" s="2">
        <f t="shared" si="2"/>
        <v>0</v>
      </c>
      <c r="E41" s="2">
        <f t="shared" si="9"/>
        <v>0</v>
      </c>
      <c r="F41" s="2">
        <f t="shared" si="10"/>
        <v>0</v>
      </c>
      <c r="G41" s="2">
        <f t="shared" si="3"/>
        <v>0</v>
      </c>
      <c r="H41" s="2">
        <f t="shared" si="4"/>
        <v>0</v>
      </c>
      <c r="I41" s="2">
        <f t="shared" si="4"/>
        <v>0</v>
      </c>
      <c r="J41" s="2">
        <f t="shared" si="4"/>
        <v>0</v>
      </c>
      <c r="K41" s="2">
        <f t="shared" si="3"/>
        <v>0</v>
      </c>
      <c r="L41" s="2">
        <f t="shared" si="3"/>
        <v>0</v>
      </c>
      <c r="M41" s="2">
        <f t="shared" si="11"/>
        <v>0</v>
      </c>
      <c r="N41" s="2">
        <f t="shared" si="12"/>
        <v>0</v>
      </c>
      <c r="O41" s="2">
        <f t="shared" si="13"/>
        <v>0</v>
      </c>
      <c r="P41" s="2">
        <f t="shared" si="13"/>
        <v>0</v>
      </c>
      <c r="Q41" s="7">
        <f t="shared" si="5"/>
        <v>0</v>
      </c>
      <c r="R41" s="2">
        <f t="shared" si="6"/>
        <v>0</v>
      </c>
    </row>
    <row r="42" spans="1:18" x14ac:dyDescent="0.25">
      <c r="A42" s="1">
        <f t="shared" si="14"/>
        <v>10</v>
      </c>
      <c r="B42" s="1" t="e">
        <f t="shared" si="7"/>
        <v>#REF!</v>
      </c>
      <c r="C42" s="2">
        <f t="shared" si="8"/>
        <v>0</v>
      </c>
      <c r="D42" s="2">
        <f t="shared" si="2"/>
        <v>0</v>
      </c>
      <c r="E42" s="2">
        <f t="shared" si="9"/>
        <v>0</v>
      </c>
      <c r="F42" s="2">
        <f t="shared" si="10"/>
        <v>0</v>
      </c>
      <c r="G42" s="2">
        <f t="shared" si="3"/>
        <v>0</v>
      </c>
      <c r="H42" s="2">
        <f t="shared" si="4"/>
        <v>0</v>
      </c>
      <c r="I42" s="2">
        <f t="shared" si="4"/>
        <v>0</v>
      </c>
      <c r="J42" s="2">
        <f t="shared" si="4"/>
        <v>0</v>
      </c>
      <c r="K42" s="2">
        <f t="shared" si="3"/>
        <v>0</v>
      </c>
      <c r="L42" s="2">
        <f t="shared" si="3"/>
        <v>0</v>
      </c>
      <c r="M42" s="2">
        <f t="shared" si="11"/>
        <v>0</v>
      </c>
      <c r="N42" s="2">
        <f t="shared" si="12"/>
        <v>0</v>
      </c>
      <c r="O42" s="2">
        <f t="shared" si="13"/>
        <v>0</v>
      </c>
      <c r="P42" s="2">
        <f t="shared" si="13"/>
        <v>0</v>
      </c>
      <c r="Q42" s="7">
        <f t="shared" si="5"/>
        <v>0</v>
      </c>
      <c r="R42" s="2">
        <f t="shared" si="6"/>
        <v>0</v>
      </c>
    </row>
    <row r="43" spans="1:18" x14ac:dyDescent="0.25">
      <c r="A43" s="1">
        <f t="shared" si="14"/>
        <v>11</v>
      </c>
      <c r="B43" s="1" t="e">
        <f t="shared" si="7"/>
        <v>#REF!</v>
      </c>
      <c r="C43" s="2">
        <f t="shared" si="8"/>
        <v>0</v>
      </c>
      <c r="D43" s="2">
        <f t="shared" si="2"/>
        <v>0</v>
      </c>
      <c r="E43" s="2">
        <f t="shared" si="9"/>
        <v>0</v>
      </c>
      <c r="F43" s="2">
        <f t="shared" si="10"/>
        <v>0</v>
      </c>
      <c r="G43" s="2">
        <f t="shared" si="3"/>
        <v>0</v>
      </c>
      <c r="H43" s="2">
        <f t="shared" si="4"/>
        <v>0</v>
      </c>
      <c r="I43" s="2">
        <f t="shared" si="4"/>
        <v>0</v>
      </c>
      <c r="J43" s="2">
        <f t="shared" si="4"/>
        <v>0</v>
      </c>
      <c r="K43" s="2">
        <f t="shared" si="3"/>
        <v>0</v>
      </c>
      <c r="L43" s="2">
        <f t="shared" si="3"/>
        <v>0</v>
      </c>
      <c r="M43" s="2">
        <f t="shared" si="11"/>
        <v>0</v>
      </c>
      <c r="N43" s="2">
        <f t="shared" si="12"/>
        <v>0</v>
      </c>
      <c r="O43" s="2">
        <f t="shared" si="13"/>
        <v>0</v>
      </c>
      <c r="P43" s="2">
        <f t="shared" si="13"/>
        <v>0</v>
      </c>
      <c r="Q43" s="7">
        <f t="shared" si="5"/>
        <v>0</v>
      </c>
      <c r="R43" s="2">
        <f t="shared" si="6"/>
        <v>0</v>
      </c>
    </row>
    <row r="44" spans="1:18" x14ac:dyDescent="0.25">
      <c r="A44" s="1">
        <f t="shared" si="14"/>
        <v>12</v>
      </c>
      <c r="B44" s="1" t="e">
        <f t="shared" si="7"/>
        <v>#REF!</v>
      </c>
      <c r="C44" s="2">
        <f t="shared" si="8"/>
        <v>0</v>
      </c>
      <c r="D44" s="2">
        <f t="shared" si="2"/>
        <v>0</v>
      </c>
      <c r="E44" s="2">
        <f t="shared" si="9"/>
        <v>0</v>
      </c>
      <c r="F44" s="2">
        <f t="shared" si="10"/>
        <v>0</v>
      </c>
      <c r="G44" s="2">
        <f t="shared" si="3"/>
        <v>0</v>
      </c>
      <c r="H44" s="2">
        <f t="shared" si="4"/>
        <v>0</v>
      </c>
      <c r="I44" s="2">
        <f t="shared" si="4"/>
        <v>0</v>
      </c>
      <c r="J44" s="2">
        <f t="shared" si="4"/>
        <v>0</v>
      </c>
      <c r="K44" s="2">
        <f t="shared" si="3"/>
        <v>0</v>
      </c>
      <c r="L44" s="2">
        <f t="shared" si="3"/>
        <v>0</v>
      </c>
      <c r="M44" s="2">
        <f t="shared" si="11"/>
        <v>0</v>
      </c>
      <c r="N44" s="2">
        <f t="shared" si="12"/>
        <v>0</v>
      </c>
      <c r="O44" s="2">
        <f t="shared" si="13"/>
        <v>0</v>
      </c>
      <c r="P44" s="2">
        <f t="shared" si="13"/>
        <v>0</v>
      </c>
      <c r="Q44" s="7">
        <f t="shared" si="5"/>
        <v>0</v>
      </c>
      <c r="R44" s="2">
        <f t="shared" si="6"/>
        <v>0</v>
      </c>
    </row>
    <row r="45" spans="1:18" x14ac:dyDescent="0.25">
      <c r="A45" s="1">
        <f t="shared" si="14"/>
        <v>13</v>
      </c>
      <c r="B45" s="1" t="e">
        <f t="shared" si="7"/>
        <v>#REF!</v>
      </c>
      <c r="C45" s="2">
        <f t="shared" si="8"/>
        <v>0</v>
      </c>
      <c r="D45" s="2">
        <f t="shared" si="2"/>
        <v>0</v>
      </c>
      <c r="E45" s="2">
        <f t="shared" si="9"/>
        <v>0</v>
      </c>
      <c r="F45" s="2">
        <f t="shared" si="10"/>
        <v>0</v>
      </c>
      <c r="G45" s="2">
        <f t="shared" si="3"/>
        <v>0</v>
      </c>
      <c r="H45" s="2">
        <f t="shared" si="4"/>
        <v>0</v>
      </c>
      <c r="I45" s="2">
        <f t="shared" si="4"/>
        <v>0</v>
      </c>
      <c r="J45" s="2">
        <f t="shared" si="4"/>
        <v>0</v>
      </c>
      <c r="K45" s="2">
        <f t="shared" si="3"/>
        <v>0</v>
      </c>
      <c r="L45" s="2">
        <f t="shared" si="3"/>
        <v>0</v>
      </c>
      <c r="M45" s="2">
        <f t="shared" si="11"/>
        <v>0</v>
      </c>
      <c r="N45" s="2">
        <f t="shared" si="12"/>
        <v>0</v>
      </c>
      <c r="O45" s="2">
        <f t="shared" si="13"/>
        <v>0</v>
      </c>
      <c r="P45" s="2">
        <f t="shared" si="13"/>
        <v>0</v>
      </c>
      <c r="Q45" s="7">
        <f t="shared" si="5"/>
        <v>0</v>
      </c>
      <c r="R45" s="2">
        <f t="shared" si="6"/>
        <v>0</v>
      </c>
    </row>
    <row r="46" spans="1:18" x14ac:dyDescent="0.25">
      <c r="A46" s="1">
        <f t="shared" si="14"/>
        <v>14</v>
      </c>
      <c r="B46" s="1" t="e">
        <f t="shared" si="7"/>
        <v>#REF!</v>
      </c>
      <c r="C46" s="2">
        <f t="shared" si="8"/>
        <v>0</v>
      </c>
      <c r="D46" s="2">
        <f t="shared" si="2"/>
        <v>0</v>
      </c>
      <c r="E46" s="2">
        <f t="shared" si="9"/>
        <v>0</v>
      </c>
      <c r="F46" s="2">
        <f t="shared" si="10"/>
        <v>0</v>
      </c>
      <c r="G46" s="2">
        <f t="shared" si="3"/>
        <v>0</v>
      </c>
      <c r="H46" s="2">
        <f t="shared" si="4"/>
        <v>0</v>
      </c>
      <c r="I46" s="2">
        <f t="shared" si="4"/>
        <v>0</v>
      </c>
      <c r="J46" s="2">
        <f t="shared" si="4"/>
        <v>0</v>
      </c>
      <c r="K46" s="2">
        <f t="shared" si="3"/>
        <v>0</v>
      </c>
      <c r="L46" s="2">
        <f t="shared" si="3"/>
        <v>0</v>
      </c>
      <c r="M46" s="2">
        <f t="shared" si="11"/>
        <v>0</v>
      </c>
      <c r="N46" s="2">
        <f t="shared" si="12"/>
        <v>0</v>
      </c>
      <c r="O46" s="2">
        <f t="shared" si="13"/>
        <v>0</v>
      </c>
      <c r="P46" s="2">
        <f t="shared" si="13"/>
        <v>0</v>
      </c>
      <c r="Q46" s="7">
        <f t="shared" si="5"/>
        <v>0</v>
      </c>
      <c r="R46" s="2">
        <f t="shared" si="6"/>
        <v>0</v>
      </c>
    </row>
    <row r="47" spans="1:18" x14ac:dyDescent="0.25">
      <c r="A47" s="1">
        <f t="shared" si="14"/>
        <v>15</v>
      </c>
      <c r="B47" s="1" t="e">
        <f t="shared" si="7"/>
        <v>#REF!</v>
      </c>
      <c r="C47" s="2">
        <f t="shared" si="8"/>
        <v>0</v>
      </c>
      <c r="D47" s="2">
        <f t="shared" si="2"/>
        <v>0</v>
      </c>
      <c r="E47" s="2">
        <f t="shared" si="9"/>
        <v>0</v>
      </c>
      <c r="F47" s="2">
        <f t="shared" si="10"/>
        <v>0</v>
      </c>
      <c r="G47" s="2">
        <f t="shared" si="3"/>
        <v>0</v>
      </c>
      <c r="H47" s="2">
        <f t="shared" si="4"/>
        <v>0</v>
      </c>
      <c r="I47" s="2">
        <f t="shared" si="4"/>
        <v>0</v>
      </c>
      <c r="J47" s="2">
        <f t="shared" si="4"/>
        <v>0</v>
      </c>
      <c r="K47" s="2">
        <f t="shared" si="3"/>
        <v>0</v>
      </c>
      <c r="L47" s="2">
        <f t="shared" si="3"/>
        <v>0</v>
      </c>
      <c r="M47" s="2">
        <f t="shared" si="11"/>
        <v>0</v>
      </c>
      <c r="N47" s="2">
        <f t="shared" si="12"/>
        <v>0</v>
      </c>
      <c r="O47" s="2">
        <f t="shared" si="13"/>
        <v>0</v>
      </c>
      <c r="P47" s="2">
        <f t="shared" si="13"/>
        <v>0</v>
      </c>
      <c r="Q47" s="7">
        <f t="shared" si="5"/>
        <v>0</v>
      </c>
      <c r="R47" s="2">
        <f t="shared" si="6"/>
        <v>0</v>
      </c>
    </row>
    <row r="48" spans="1:18" x14ac:dyDescent="0.25">
      <c r="A48" s="1">
        <f t="shared" si="14"/>
        <v>16</v>
      </c>
      <c r="B48" s="1" t="e">
        <f t="shared" si="7"/>
        <v>#REF!</v>
      </c>
      <c r="C48" s="2">
        <f t="shared" si="8"/>
        <v>0</v>
      </c>
      <c r="D48" s="2">
        <f t="shared" si="2"/>
        <v>0</v>
      </c>
      <c r="E48" s="2">
        <f t="shared" si="9"/>
        <v>0</v>
      </c>
      <c r="F48" s="2">
        <f t="shared" si="10"/>
        <v>0</v>
      </c>
      <c r="G48" s="2">
        <f t="shared" si="3"/>
        <v>0</v>
      </c>
      <c r="H48" s="2">
        <f t="shared" si="4"/>
        <v>0</v>
      </c>
      <c r="I48" s="2">
        <f t="shared" si="4"/>
        <v>0</v>
      </c>
      <c r="J48" s="2">
        <f t="shared" si="4"/>
        <v>0</v>
      </c>
      <c r="K48" s="2">
        <f t="shared" si="3"/>
        <v>0</v>
      </c>
      <c r="L48" s="2">
        <f t="shared" si="3"/>
        <v>0</v>
      </c>
      <c r="M48" s="2">
        <f t="shared" si="11"/>
        <v>0</v>
      </c>
      <c r="N48" s="2">
        <f t="shared" si="12"/>
        <v>0</v>
      </c>
      <c r="O48" s="2">
        <f t="shared" si="13"/>
        <v>0</v>
      </c>
      <c r="P48" s="2">
        <f t="shared" si="13"/>
        <v>0</v>
      </c>
      <c r="Q48" s="7">
        <f t="shared" si="5"/>
        <v>0</v>
      </c>
      <c r="R48" s="2">
        <f t="shared" si="6"/>
        <v>0</v>
      </c>
    </row>
    <row r="49" spans="1:18" x14ac:dyDescent="0.25">
      <c r="A49" s="1">
        <f t="shared" si="14"/>
        <v>17</v>
      </c>
      <c r="B49" s="1" t="e">
        <f t="shared" si="7"/>
        <v>#REF!</v>
      </c>
      <c r="C49" s="2">
        <f t="shared" si="8"/>
        <v>0</v>
      </c>
      <c r="D49" s="2">
        <f t="shared" si="2"/>
        <v>0</v>
      </c>
      <c r="E49" s="2">
        <f t="shared" si="9"/>
        <v>0</v>
      </c>
      <c r="F49" s="2">
        <f t="shared" si="10"/>
        <v>0</v>
      </c>
      <c r="G49" s="2">
        <f t="shared" ref="G49:G57" si="15">G21*2</f>
        <v>0</v>
      </c>
      <c r="H49" s="2">
        <f t="shared" si="4"/>
        <v>0</v>
      </c>
      <c r="I49" s="2">
        <f t="shared" si="4"/>
        <v>0</v>
      </c>
      <c r="J49" s="2">
        <f t="shared" si="4"/>
        <v>0</v>
      </c>
      <c r="K49" s="2">
        <f t="shared" ref="K49:L57" si="16">K21*2</f>
        <v>0</v>
      </c>
      <c r="L49" s="2">
        <f t="shared" si="16"/>
        <v>0</v>
      </c>
      <c r="M49" s="2">
        <f t="shared" si="11"/>
        <v>0</v>
      </c>
      <c r="N49" s="2">
        <f t="shared" si="12"/>
        <v>0</v>
      </c>
      <c r="O49" s="2">
        <f t="shared" si="13"/>
        <v>0</v>
      </c>
      <c r="P49" s="2">
        <f t="shared" si="13"/>
        <v>0</v>
      </c>
      <c r="Q49" s="7">
        <f t="shared" si="5"/>
        <v>0</v>
      </c>
      <c r="R49" s="2">
        <f t="shared" si="6"/>
        <v>0</v>
      </c>
    </row>
    <row r="50" spans="1:18" x14ac:dyDescent="0.25">
      <c r="A50" s="1">
        <f t="shared" si="14"/>
        <v>18</v>
      </c>
      <c r="B50" s="1" t="e">
        <f t="shared" si="7"/>
        <v>#REF!</v>
      </c>
      <c r="C50" s="2">
        <f t="shared" si="8"/>
        <v>0</v>
      </c>
      <c r="D50" s="2">
        <f t="shared" si="2"/>
        <v>0</v>
      </c>
      <c r="E50" s="2">
        <f t="shared" si="9"/>
        <v>0</v>
      </c>
      <c r="F50" s="2">
        <f t="shared" si="10"/>
        <v>0</v>
      </c>
      <c r="G50" s="2">
        <f t="shared" si="15"/>
        <v>0</v>
      </c>
      <c r="H50" s="2">
        <f t="shared" si="4"/>
        <v>0</v>
      </c>
      <c r="I50" s="2">
        <f t="shared" si="4"/>
        <v>0</v>
      </c>
      <c r="J50" s="2">
        <f t="shared" si="4"/>
        <v>0</v>
      </c>
      <c r="K50" s="2">
        <f t="shared" si="16"/>
        <v>0</v>
      </c>
      <c r="L50" s="2">
        <f t="shared" si="16"/>
        <v>0</v>
      </c>
      <c r="M50" s="2">
        <f t="shared" si="11"/>
        <v>0</v>
      </c>
      <c r="N50" s="2">
        <f t="shared" si="12"/>
        <v>0</v>
      </c>
      <c r="O50" s="2">
        <f t="shared" ref="O50:P57" si="17">O22*1</f>
        <v>0</v>
      </c>
      <c r="P50" s="2">
        <f t="shared" si="17"/>
        <v>0</v>
      </c>
      <c r="Q50" s="7">
        <f t="shared" si="5"/>
        <v>0</v>
      </c>
      <c r="R50" s="2">
        <f t="shared" si="6"/>
        <v>0</v>
      </c>
    </row>
    <row r="51" spans="1:18" x14ac:dyDescent="0.25">
      <c r="A51" s="1">
        <f t="shared" si="14"/>
        <v>19</v>
      </c>
      <c r="B51" s="1" t="e">
        <f t="shared" si="7"/>
        <v>#REF!</v>
      </c>
      <c r="C51" s="2">
        <f t="shared" si="8"/>
        <v>0</v>
      </c>
      <c r="D51" s="2">
        <f t="shared" si="2"/>
        <v>0</v>
      </c>
      <c r="E51" s="2">
        <f t="shared" si="9"/>
        <v>0</v>
      </c>
      <c r="F51" s="2">
        <f t="shared" si="10"/>
        <v>0</v>
      </c>
      <c r="G51" s="2">
        <f t="shared" si="15"/>
        <v>0</v>
      </c>
      <c r="H51" s="2">
        <f t="shared" si="4"/>
        <v>0</v>
      </c>
      <c r="I51" s="2">
        <f t="shared" si="4"/>
        <v>0</v>
      </c>
      <c r="J51" s="2">
        <f t="shared" si="4"/>
        <v>0</v>
      </c>
      <c r="K51" s="2">
        <f t="shared" si="16"/>
        <v>0</v>
      </c>
      <c r="L51" s="2">
        <f t="shared" si="16"/>
        <v>0</v>
      </c>
      <c r="M51" s="2">
        <f t="shared" si="11"/>
        <v>0</v>
      </c>
      <c r="N51" s="2">
        <f t="shared" si="12"/>
        <v>0</v>
      </c>
      <c r="O51" s="2">
        <f t="shared" si="17"/>
        <v>0</v>
      </c>
      <c r="P51" s="2">
        <f t="shared" si="17"/>
        <v>0</v>
      </c>
      <c r="Q51" s="7">
        <f t="shared" si="5"/>
        <v>0</v>
      </c>
      <c r="R51" s="2">
        <f t="shared" si="6"/>
        <v>0</v>
      </c>
    </row>
    <row r="52" spans="1:18" x14ac:dyDescent="0.25">
      <c r="A52" s="1">
        <f t="shared" si="14"/>
        <v>20</v>
      </c>
      <c r="B52" s="1" t="e">
        <f t="shared" si="7"/>
        <v>#REF!</v>
      </c>
      <c r="C52" s="2">
        <f t="shared" si="8"/>
        <v>0</v>
      </c>
      <c r="D52" s="2">
        <f t="shared" si="2"/>
        <v>0</v>
      </c>
      <c r="E52" s="2">
        <f t="shared" si="9"/>
        <v>0</v>
      </c>
      <c r="F52" s="2">
        <f t="shared" si="10"/>
        <v>0</v>
      </c>
      <c r="G52" s="2">
        <f t="shared" si="15"/>
        <v>0</v>
      </c>
      <c r="H52" s="2">
        <f t="shared" si="4"/>
        <v>0</v>
      </c>
      <c r="I52" s="2">
        <f t="shared" si="4"/>
        <v>0</v>
      </c>
      <c r="J52" s="2">
        <f t="shared" si="4"/>
        <v>0</v>
      </c>
      <c r="K52" s="2">
        <f t="shared" si="16"/>
        <v>0</v>
      </c>
      <c r="L52" s="2">
        <f t="shared" si="16"/>
        <v>0</v>
      </c>
      <c r="M52" s="2">
        <f t="shared" si="11"/>
        <v>0</v>
      </c>
      <c r="N52" s="2">
        <f t="shared" si="12"/>
        <v>0</v>
      </c>
      <c r="O52" s="2">
        <f t="shared" si="17"/>
        <v>0</v>
      </c>
      <c r="P52" s="2">
        <f t="shared" si="17"/>
        <v>0</v>
      </c>
      <c r="Q52" s="7">
        <f t="shared" si="5"/>
        <v>0</v>
      </c>
      <c r="R52" s="2">
        <f t="shared" si="6"/>
        <v>0</v>
      </c>
    </row>
    <row r="53" spans="1:18" x14ac:dyDescent="0.25">
      <c r="A53" s="1">
        <f t="shared" si="14"/>
        <v>21</v>
      </c>
      <c r="B53" s="1" t="e">
        <f t="shared" si="7"/>
        <v>#REF!</v>
      </c>
      <c r="C53" s="2">
        <f t="shared" si="8"/>
        <v>0</v>
      </c>
      <c r="D53" s="2">
        <f t="shared" ref="D53:D57" si="18">D25*3</f>
        <v>0</v>
      </c>
      <c r="E53" s="2">
        <f t="shared" si="9"/>
        <v>0</v>
      </c>
      <c r="F53" s="2">
        <f t="shared" si="10"/>
        <v>0</v>
      </c>
      <c r="G53" s="2">
        <f t="shared" si="15"/>
        <v>0</v>
      </c>
      <c r="H53" s="2">
        <f t="shared" si="4"/>
        <v>0</v>
      </c>
      <c r="I53" s="2">
        <f t="shared" si="4"/>
        <v>0</v>
      </c>
      <c r="J53" s="2">
        <f t="shared" si="4"/>
        <v>0</v>
      </c>
      <c r="K53" s="2">
        <f t="shared" si="16"/>
        <v>0</v>
      </c>
      <c r="L53" s="2">
        <f t="shared" si="16"/>
        <v>0</v>
      </c>
      <c r="M53" s="2">
        <f t="shared" si="11"/>
        <v>0</v>
      </c>
      <c r="N53" s="2">
        <f t="shared" si="12"/>
        <v>0</v>
      </c>
      <c r="O53" s="2">
        <f t="shared" si="17"/>
        <v>0</v>
      </c>
      <c r="P53" s="2">
        <f t="shared" si="17"/>
        <v>0</v>
      </c>
      <c r="Q53" s="7">
        <f t="shared" si="5"/>
        <v>0</v>
      </c>
      <c r="R53" s="2">
        <f t="shared" si="6"/>
        <v>0</v>
      </c>
    </row>
    <row r="54" spans="1:18" x14ac:dyDescent="0.25">
      <c r="A54" s="1">
        <f t="shared" si="14"/>
        <v>22</v>
      </c>
      <c r="B54" s="1" t="e">
        <f t="shared" si="7"/>
        <v>#REF!</v>
      </c>
      <c r="C54" s="2">
        <f t="shared" si="8"/>
        <v>0</v>
      </c>
      <c r="D54" s="2">
        <f t="shared" si="18"/>
        <v>0</v>
      </c>
      <c r="E54" s="2">
        <f t="shared" si="9"/>
        <v>0</v>
      </c>
      <c r="F54" s="2">
        <f t="shared" si="10"/>
        <v>0</v>
      </c>
      <c r="G54" s="2">
        <f t="shared" si="15"/>
        <v>0</v>
      </c>
      <c r="H54" s="2">
        <f t="shared" ref="H54:I57" si="19">H26*1.5</f>
        <v>0</v>
      </c>
      <c r="I54" s="2">
        <f>I26*2</f>
        <v>0</v>
      </c>
      <c r="J54" s="2">
        <f>J26*2</f>
        <v>0</v>
      </c>
      <c r="K54" s="2">
        <f t="shared" si="16"/>
        <v>0</v>
      </c>
      <c r="L54" s="2">
        <f t="shared" si="16"/>
        <v>0</v>
      </c>
      <c r="M54" s="2">
        <f t="shared" si="11"/>
        <v>0</v>
      </c>
      <c r="N54" s="2">
        <f t="shared" si="12"/>
        <v>0</v>
      </c>
      <c r="O54" s="2">
        <f t="shared" si="17"/>
        <v>0</v>
      </c>
      <c r="P54" s="2">
        <f t="shared" si="17"/>
        <v>0</v>
      </c>
      <c r="Q54" s="7">
        <f t="shared" si="5"/>
        <v>0</v>
      </c>
      <c r="R54" s="2">
        <f t="shared" si="6"/>
        <v>0</v>
      </c>
    </row>
    <row r="55" spans="1:18" x14ac:dyDescent="0.25">
      <c r="A55" s="1">
        <f t="shared" si="14"/>
        <v>23</v>
      </c>
      <c r="B55" s="1" t="e">
        <f t="shared" si="7"/>
        <v>#REF!</v>
      </c>
      <c r="C55" s="2">
        <f t="shared" si="8"/>
        <v>0</v>
      </c>
      <c r="D55" s="2">
        <f t="shared" si="18"/>
        <v>0</v>
      </c>
      <c r="E55" s="2">
        <f t="shared" si="9"/>
        <v>0</v>
      </c>
      <c r="F55" s="2">
        <f t="shared" si="10"/>
        <v>0</v>
      </c>
      <c r="G55" s="2">
        <f t="shared" si="15"/>
        <v>0</v>
      </c>
      <c r="H55" s="2">
        <f t="shared" si="19"/>
        <v>0</v>
      </c>
      <c r="I55" s="2">
        <f>I27*2</f>
        <v>0</v>
      </c>
      <c r="J55" s="2">
        <f>J27*2</f>
        <v>0</v>
      </c>
      <c r="K55" s="2">
        <f t="shared" si="16"/>
        <v>0</v>
      </c>
      <c r="L55" s="2">
        <f t="shared" si="16"/>
        <v>0</v>
      </c>
      <c r="M55" s="2">
        <f t="shared" si="11"/>
        <v>0</v>
      </c>
      <c r="N55" s="2">
        <f t="shared" si="12"/>
        <v>0</v>
      </c>
      <c r="O55" s="2">
        <f t="shared" si="17"/>
        <v>0</v>
      </c>
      <c r="P55" s="2">
        <f t="shared" si="17"/>
        <v>0</v>
      </c>
      <c r="Q55" s="7">
        <f t="shared" si="5"/>
        <v>0</v>
      </c>
      <c r="R55" s="2">
        <f t="shared" si="6"/>
        <v>0</v>
      </c>
    </row>
    <row r="56" spans="1:18" x14ac:dyDescent="0.25">
      <c r="A56" s="1">
        <f t="shared" si="14"/>
        <v>24</v>
      </c>
      <c r="B56" s="1" t="e">
        <f t="shared" si="7"/>
        <v>#REF!</v>
      </c>
      <c r="C56" s="2">
        <f t="shared" si="8"/>
        <v>0</v>
      </c>
      <c r="D56" s="2">
        <f t="shared" si="18"/>
        <v>0</v>
      </c>
      <c r="E56" s="2">
        <f t="shared" si="9"/>
        <v>0</v>
      </c>
      <c r="F56" s="2">
        <f t="shared" si="10"/>
        <v>0</v>
      </c>
      <c r="G56" s="2">
        <f t="shared" si="15"/>
        <v>0</v>
      </c>
      <c r="H56" s="2">
        <f t="shared" si="19"/>
        <v>0</v>
      </c>
      <c r="I56" s="2">
        <f t="shared" si="19"/>
        <v>0</v>
      </c>
      <c r="J56" s="2">
        <f>J28*2</f>
        <v>0</v>
      </c>
      <c r="K56" s="2">
        <f t="shared" si="16"/>
        <v>0</v>
      </c>
      <c r="L56" s="2">
        <f t="shared" si="16"/>
        <v>0</v>
      </c>
      <c r="M56" s="2">
        <f t="shared" si="11"/>
        <v>0</v>
      </c>
      <c r="N56" s="2">
        <f t="shared" si="12"/>
        <v>0</v>
      </c>
      <c r="O56" s="2">
        <f t="shared" si="17"/>
        <v>0</v>
      </c>
      <c r="P56" s="2">
        <f t="shared" si="17"/>
        <v>0</v>
      </c>
      <c r="Q56" s="7">
        <f t="shared" si="5"/>
        <v>0</v>
      </c>
      <c r="R56" s="2">
        <f t="shared" si="6"/>
        <v>0</v>
      </c>
    </row>
    <row r="57" spans="1:18" x14ac:dyDescent="0.25">
      <c r="A57" s="1">
        <f t="shared" si="14"/>
        <v>25</v>
      </c>
      <c r="B57" s="1" t="e">
        <f t="shared" si="7"/>
        <v>#REF!</v>
      </c>
      <c r="C57" s="2">
        <f t="shared" si="8"/>
        <v>0</v>
      </c>
      <c r="D57" s="2">
        <f t="shared" si="18"/>
        <v>0</v>
      </c>
      <c r="E57" s="2">
        <f t="shared" si="9"/>
        <v>0</v>
      </c>
      <c r="F57" s="2">
        <f t="shared" si="10"/>
        <v>0</v>
      </c>
      <c r="G57" s="2">
        <f t="shared" si="15"/>
        <v>0</v>
      </c>
      <c r="H57" s="2">
        <f t="shared" si="19"/>
        <v>0</v>
      </c>
      <c r="I57" s="2">
        <f t="shared" si="19"/>
        <v>0</v>
      </c>
      <c r="J57" s="2">
        <f>J29*2</f>
        <v>0</v>
      </c>
      <c r="K57" s="2">
        <f t="shared" si="16"/>
        <v>0</v>
      </c>
      <c r="L57" s="2">
        <f t="shared" si="16"/>
        <v>0</v>
      </c>
      <c r="M57" s="2">
        <f t="shared" si="11"/>
        <v>0</v>
      </c>
      <c r="N57" s="2">
        <f t="shared" si="12"/>
        <v>0</v>
      </c>
      <c r="O57" s="2">
        <f t="shared" si="17"/>
        <v>0</v>
      </c>
      <c r="P57" s="2">
        <f t="shared" si="17"/>
        <v>0</v>
      </c>
      <c r="Q57" s="7">
        <f t="shared" si="5"/>
        <v>0</v>
      </c>
      <c r="R57" s="2">
        <f t="shared" si="6"/>
        <v>0</v>
      </c>
    </row>
    <row r="58" spans="1:18" x14ac:dyDescent="0.25">
      <c r="R58" s="3">
        <f>AVERAGE(R33:R39)</f>
        <v>7.0826600985221679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W45"/>
  <sheetViews>
    <sheetView topLeftCell="K28" workbookViewId="0">
      <selection activeCell="A35" sqref="A35:Q42"/>
    </sheetView>
  </sheetViews>
  <sheetFormatPr baseColWidth="10" defaultRowHeight="15" x14ac:dyDescent="0.25"/>
  <cols>
    <col min="1" max="1" width="7.85546875" customWidth="1"/>
    <col min="2" max="2" width="37.42578125" customWidth="1"/>
    <col min="3" max="3" width="7.42578125" customWidth="1"/>
    <col min="4" max="4" width="14.140625" customWidth="1"/>
    <col min="5" max="5" width="8.7109375" customWidth="1"/>
    <col min="6" max="6" width="7" customWidth="1"/>
    <col min="7" max="7" width="8" customWidth="1"/>
    <col min="8" max="8" width="39.42578125" customWidth="1"/>
    <col min="9" max="9" width="5.5703125" bestFit="1" customWidth="1"/>
    <col min="10" max="10" width="14" customWidth="1"/>
    <col min="11" max="11" width="10.140625" customWidth="1"/>
    <col min="12" max="12" width="15" customWidth="1"/>
    <col min="13" max="13" width="7.28515625" customWidth="1"/>
    <col min="14" max="14" width="37.42578125" customWidth="1"/>
    <col min="15" max="15" width="6.28515625" bestFit="1" customWidth="1"/>
    <col min="16" max="16" width="14.5703125" bestFit="1" customWidth="1"/>
    <col min="17" max="17" width="8.5703125" customWidth="1"/>
    <col min="18" max="18" width="16.28515625" customWidth="1"/>
    <col min="19" max="19" width="15.42578125" customWidth="1"/>
  </cols>
  <sheetData>
    <row r="4" spans="1:19" ht="18.75" x14ac:dyDescent="0.3">
      <c r="A4" s="73" t="s">
        <v>22</v>
      </c>
      <c r="B4" s="73" t="s">
        <v>0</v>
      </c>
      <c r="C4" s="73" t="s">
        <v>81</v>
      </c>
      <c r="D4" s="73" t="s">
        <v>82</v>
      </c>
      <c r="E4" s="73" t="s">
        <v>11</v>
      </c>
      <c r="F4" s="73" t="s">
        <v>12</v>
      </c>
      <c r="G4" s="73" t="s">
        <v>13</v>
      </c>
      <c r="H4" s="73" t="s">
        <v>9</v>
      </c>
      <c r="I4" s="73" t="s">
        <v>3</v>
      </c>
      <c r="J4" s="73" t="s">
        <v>10</v>
      </c>
      <c r="K4" s="73" t="s">
        <v>14</v>
      </c>
      <c r="L4" s="73" t="s">
        <v>15</v>
      </c>
      <c r="M4" s="73" t="s">
        <v>16</v>
      </c>
      <c r="N4" s="73" t="s">
        <v>17</v>
      </c>
      <c r="O4" s="73" t="s">
        <v>18</v>
      </c>
      <c r="P4" s="73" t="s">
        <v>4</v>
      </c>
      <c r="Q4" s="73" t="s">
        <v>5</v>
      </c>
      <c r="R4" s="73" t="s">
        <v>6</v>
      </c>
      <c r="S4" s="79" t="s">
        <v>8</v>
      </c>
    </row>
    <row r="5" spans="1:19" ht="18.75" x14ac:dyDescent="0.3">
      <c r="A5" s="54" t="str">
        <f>CONCATENATE(RANK(S5:S9,S$5:$S$9)," ",IF(RANK(S5:S9,S$5:$S$9)=1,"er/ère","ème"))</f>
        <v>3 ème</v>
      </c>
      <c r="B5" s="47" t="s">
        <v>71</v>
      </c>
      <c r="C5" s="51" t="s">
        <v>88</v>
      </c>
      <c r="D5" s="51">
        <v>241521017</v>
      </c>
      <c r="E5" s="2">
        <v>9.5</v>
      </c>
      <c r="F5" s="2">
        <v>10</v>
      </c>
      <c r="G5" s="2">
        <v>14</v>
      </c>
      <c r="H5" s="2">
        <v>5.5</v>
      </c>
      <c r="I5" s="2">
        <v>7</v>
      </c>
      <c r="J5" s="2">
        <v>12</v>
      </c>
      <c r="K5" s="2">
        <v>7</v>
      </c>
      <c r="L5" s="2">
        <v>10</v>
      </c>
      <c r="M5" s="2">
        <v>8.5</v>
      </c>
      <c r="N5" s="2">
        <v>11.5</v>
      </c>
      <c r="O5" s="2">
        <v>15</v>
      </c>
      <c r="P5" s="2">
        <v>11.5</v>
      </c>
      <c r="Q5" s="2">
        <v>20</v>
      </c>
      <c r="R5" s="2">
        <v>12</v>
      </c>
      <c r="S5" s="80">
        <v>10.293103448275861</v>
      </c>
    </row>
    <row r="6" spans="1:19" ht="18.75" x14ac:dyDescent="0.3">
      <c r="A6" s="54" t="s">
        <v>87</v>
      </c>
      <c r="B6" s="47" t="s">
        <v>72</v>
      </c>
      <c r="C6" s="51" t="s">
        <v>88</v>
      </c>
      <c r="D6" s="51">
        <v>241521086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80"/>
    </row>
    <row r="7" spans="1:19" ht="18.75" x14ac:dyDescent="0.3">
      <c r="A7" s="54" t="s">
        <v>86</v>
      </c>
      <c r="B7" s="47" t="s">
        <v>73</v>
      </c>
      <c r="C7" s="51" t="s">
        <v>88</v>
      </c>
      <c r="D7" s="51">
        <v>241521133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80"/>
    </row>
    <row r="8" spans="1:19" ht="18.75" x14ac:dyDescent="0.3">
      <c r="A8" s="54" t="str">
        <f>CONCATENATE(RANK(S8:S12,S$5:$S$9)," ",IF(RANK(S8:S12,S$5:$S$9)=1,"er/ère","ème"))</f>
        <v>1 er/ère</v>
      </c>
      <c r="B8" s="47" t="s">
        <v>74</v>
      </c>
      <c r="C8" s="51" t="s">
        <v>88</v>
      </c>
      <c r="D8" s="51">
        <v>241607863</v>
      </c>
      <c r="E8" s="2">
        <v>14</v>
      </c>
      <c r="F8" s="2">
        <v>13</v>
      </c>
      <c r="G8" s="2">
        <v>12</v>
      </c>
      <c r="H8" s="2">
        <v>5.5</v>
      </c>
      <c r="I8" s="2">
        <v>16</v>
      </c>
      <c r="J8" s="2">
        <v>14</v>
      </c>
      <c r="K8" s="2">
        <v>14</v>
      </c>
      <c r="L8" s="2">
        <v>13</v>
      </c>
      <c r="M8" s="2">
        <v>5</v>
      </c>
      <c r="N8" s="2">
        <v>12</v>
      </c>
      <c r="O8" s="2">
        <v>11.5</v>
      </c>
      <c r="P8" s="2">
        <v>16</v>
      </c>
      <c r="Q8" s="2">
        <v>18</v>
      </c>
      <c r="R8" s="2">
        <v>15</v>
      </c>
      <c r="S8" s="80">
        <v>12.379310344827585</v>
      </c>
    </row>
    <row r="9" spans="1:19" ht="18.75" x14ac:dyDescent="0.3">
      <c r="A9" s="54" t="str">
        <f>CONCATENATE(RANK(S9:S13,S$5:$S$9)," ",IF(RANK(S9:S13,S$5:$S$9)=1,"er/ère","ème"))</f>
        <v>2 ème</v>
      </c>
      <c r="B9" s="47" t="s">
        <v>75</v>
      </c>
      <c r="C9" s="59" t="s">
        <v>88</v>
      </c>
      <c r="D9" s="59">
        <v>241512278</v>
      </c>
      <c r="E9" s="8">
        <v>12.5</v>
      </c>
      <c r="F9" s="8">
        <v>11</v>
      </c>
      <c r="G9" s="8">
        <v>13</v>
      </c>
      <c r="H9" s="8">
        <v>11.5</v>
      </c>
      <c r="I9" s="8">
        <v>11</v>
      </c>
      <c r="J9" s="8">
        <v>12</v>
      </c>
      <c r="K9" s="8">
        <v>14</v>
      </c>
      <c r="L9" s="8">
        <v>11.5</v>
      </c>
      <c r="M9" s="8">
        <v>6</v>
      </c>
      <c r="N9" s="8">
        <v>5.5</v>
      </c>
      <c r="O9" s="8">
        <v>14.5</v>
      </c>
      <c r="P9" s="8">
        <v>10.5</v>
      </c>
      <c r="Q9" s="8">
        <v>20</v>
      </c>
      <c r="R9" s="8">
        <v>15</v>
      </c>
      <c r="S9" s="80">
        <v>11.586206896551724</v>
      </c>
    </row>
    <row r="10" spans="1:19" ht="18.75" x14ac:dyDescent="0.3">
      <c r="B10" s="75" t="s">
        <v>21</v>
      </c>
      <c r="C10" s="75"/>
      <c r="D10" s="75"/>
      <c r="E10" s="76">
        <f t="shared" ref="E10:S10" si="0">AVERAGE(E5:E9)</f>
        <v>12</v>
      </c>
      <c r="F10" s="76">
        <f t="shared" si="0"/>
        <v>11.333333333333334</v>
      </c>
      <c r="G10" s="76">
        <f t="shared" si="0"/>
        <v>13</v>
      </c>
      <c r="H10" s="76">
        <f t="shared" si="0"/>
        <v>7.5</v>
      </c>
      <c r="I10" s="76">
        <f t="shared" si="0"/>
        <v>11.333333333333334</v>
      </c>
      <c r="J10" s="76">
        <f t="shared" si="0"/>
        <v>12.666666666666666</v>
      </c>
      <c r="K10" s="76">
        <f t="shared" si="0"/>
        <v>11.666666666666666</v>
      </c>
      <c r="L10" s="76">
        <f t="shared" si="0"/>
        <v>11.5</v>
      </c>
      <c r="M10" s="76">
        <f t="shared" si="0"/>
        <v>6.5</v>
      </c>
      <c r="N10" s="76">
        <f t="shared" si="0"/>
        <v>9.6666666666666661</v>
      </c>
      <c r="O10" s="76">
        <f t="shared" si="0"/>
        <v>13.666666666666666</v>
      </c>
      <c r="P10" s="76">
        <f t="shared" si="0"/>
        <v>12.666666666666666</v>
      </c>
      <c r="Q10" s="76">
        <f t="shared" si="0"/>
        <v>19.333333333333332</v>
      </c>
      <c r="R10" s="76">
        <f t="shared" si="0"/>
        <v>14</v>
      </c>
      <c r="S10" s="80">
        <f t="shared" si="0"/>
        <v>11.419540229885056</v>
      </c>
    </row>
    <row r="16" spans="1:19" ht="18.75" x14ac:dyDescent="0.3">
      <c r="A16" s="74" t="s">
        <v>22</v>
      </c>
      <c r="B16" s="74" t="s">
        <v>0</v>
      </c>
      <c r="C16" s="73" t="s">
        <v>81</v>
      </c>
      <c r="D16" s="73" t="s">
        <v>82</v>
      </c>
      <c r="E16" s="74" t="s">
        <v>11</v>
      </c>
      <c r="F16" s="74" t="s">
        <v>12</v>
      </c>
      <c r="G16" s="74" t="s">
        <v>13</v>
      </c>
      <c r="H16" s="74" t="s">
        <v>9</v>
      </c>
      <c r="I16" s="74" t="s">
        <v>3</v>
      </c>
      <c r="J16" s="74" t="s">
        <v>10</v>
      </c>
      <c r="K16" s="74" t="s">
        <v>14</v>
      </c>
      <c r="L16" s="74" t="s">
        <v>15</v>
      </c>
      <c r="M16" s="74" t="s">
        <v>16</v>
      </c>
      <c r="N16" s="74" t="s">
        <v>17</v>
      </c>
      <c r="O16" s="74" t="s">
        <v>18</v>
      </c>
      <c r="P16" s="74" t="s">
        <v>4</v>
      </c>
      <c r="Q16" s="74" t="s">
        <v>5</v>
      </c>
      <c r="R16" s="74" t="s">
        <v>6</v>
      </c>
      <c r="S16" s="71" t="s">
        <v>20</v>
      </c>
    </row>
    <row r="17" spans="1:19" ht="18.75" x14ac:dyDescent="0.3">
      <c r="A17" s="54" t="str">
        <f>CONCATENATE(RANK(S17,S$17:$S$21)," ",IF(RANK(S17:S21,S$17:$S$21)=1,"er/ère","ème"))</f>
        <v>4 ème</v>
      </c>
      <c r="B17" s="47" t="s">
        <v>71</v>
      </c>
      <c r="C17" s="51" t="s">
        <v>88</v>
      </c>
      <c r="D17" s="51">
        <v>241521017</v>
      </c>
      <c r="E17" s="2">
        <v>10</v>
      </c>
      <c r="F17" s="2">
        <v>14</v>
      </c>
      <c r="G17" s="2">
        <v>10.5</v>
      </c>
      <c r="H17" s="2">
        <v>11.5</v>
      </c>
      <c r="I17" s="2">
        <v>11</v>
      </c>
      <c r="J17" s="2">
        <v>12</v>
      </c>
      <c r="K17" s="2">
        <v>5</v>
      </c>
      <c r="L17" s="2">
        <v>14.82</v>
      </c>
      <c r="M17" s="2">
        <v>5.75</v>
      </c>
      <c r="N17" s="2">
        <v>8.5</v>
      </c>
      <c r="O17" s="2">
        <v>9.5</v>
      </c>
      <c r="P17" s="2">
        <v>15.5</v>
      </c>
      <c r="Q17" s="2">
        <v>16.5</v>
      </c>
      <c r="R17" s="2">
        <v>17</v>
      </c>
      <c r="S17" s="72">
        <v>11.108275862068965</v>
      </c>
    </row>
    <row r="18" spans="1:19" ht="18.75" x14ac:dyDescent="0.3">
      <c r="A18" s="54" t="str">
        <f>CONCATENATE(RANK(S18,S$17:$S$21)," ",IF(RANK(S18:S22,S$17:$S$21)=1,"er/ère","ème"))</f>
        <v>3 ème</v>
      </c>
      <c r="B18" s="47" t="s">
        <v>72</v>
      </c>
      <c r="C18" s="51" t="s">
        <v>88</v>
      </c>
      <c r="D18" s="51">
        <v>241521086</v>
      </c>
      <c r="E18" s="2">
        <v>14.5</v>
      </c>
      <c r="F18" s="2">
        <v>13.5</v>
      </c>
      <c r="G18" s="2">
        <v>11</v>
      </c>
      <c r="H18" s="2">
        <v>14.5</v>
      </c>
      <c r="I18" s="2">
        <v>10</v>
      </c>
      <c r="J18" s="2">
        <v>9</v>
      </c>
      <c r="K18" s="2">
        <v>4</v>
      </c>
      <c r="L18" s="2">
        <v>13.6</v>
      </c>
      <c r="M18" s="2">
        <v>8.25</v>
      </c>
      <c r="N18" s="2">
        <v>2</v>
      </c>
      <c r="O18" s="2">
        <v>14</v>
      </c>
      <c r="P18" s="2">
        <v>16.25</v>
      </c>
      <c r="Q18" s="2">
        <v>16.5</v>
      </c>
      <c r="R18" s="2">
        <v>17</v>
      </c>
      <c r="S18" s="72">
        <v>11.558620689655172</v>
      </c>
    </row>
    <row r="19" spans="1:19" ht="18.75" x14ac:dyDescent="0.3">
      <c r="A19" s="54" t="e">
        <f>CONCATENATE(RANK(S19,S$17:$S$21)," ",IF(RANK(S17:S21,S$17:$S$21)=1,"er/ère","ème"))</f>
        <v>#N/A</v>
      </c>
      <c r="B19" s="47" t="s">
        <v>73</v>
      </c>
      <c r="C19" s="51" t="s">
        <v>88</v>
      </c>
      <c r="D19" s="51">
        <v>241521133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72"/>
    </row>
    <row r="20" spans="1:19" ht="18.75" x14ac:dyDescent="0.3">
      <c r="A20" s="54" t="str">
        <f>CONCATENATE(RANK(S20,S$17:$S$21)," ",IF(RANK(S20:S24,S$17:$S$21)=1,"er/ère","ème"))</f>
        <v>1 er/ère</v>
      </c>
      <c r="B20" s="47" t="s">
        <v>74</v>
      </c>
      <c r="C20" s="51" t="s">
        <v>88</v>
      </c>
      <c r="D20" s="51">
        <v>241607863</v>
      </c>
      <c r="E20" s="2">
        <v>13</v>
      </c>
      <c r="F20" s="2">
        <v>16</v>
      </c>
      <c r="G20" s="2">
        <v>14.5</v>
      </c>
      <c r="H20" s="2">
        <v>11.25</v>
      </c>
      <c r="I20" s="2">
        <v>15</v>
      </c>
      <c r="J20" s="2">
        <v>15</v>
      </c>
      <c r="K20" s="2">
        <v>14</v>
      </c>
      <c r="L20" s="2">
        <v>18.170000000000002</v>
      </c>
      <c r="M20" s="2">
        <v>10.75</v>
      </c>
      <c r="N20" s="2">
        <v>11</v>
      </c>
      <c r="O20" s="2">
        <v>17.5</v>
      </c>
      <c r="P20" s="2">
        <v>15.25</v>
      </c>
      <c r="Q20" s="2">
        <v>16.5</v>
      </c>
      <c r="R20" s="2">
        <v>17</v>
      </c>
      <c r="S20" s="72">
        <v>14.158275862068967</v>
      </c>
    </row>
    <row r="21" spans="1:19" ht="18.75" x14ac:dyDescent="0.3">
      <c r="A21" s="54" t="str">
        <f>CONCATENATE(RANK(S21,S$17:$S$21)," ",IF(RANK(S21:S25,S$17:$S$21)=1,"er/ère","ème"))</f>
        <v>2 ème</v>
      </c>
      <c r="B21" s="47" t="s">
        <v>75</v>
      </c>
      <c r="C21" s="59" t="s">
        <v>88</v>
      </c>
      <c r="D21" s="59">
        <v>241512278</v>
      </c>
      <c r="E21" s="8">
        <v>12</v>
      </c>
      <c r="F21" s="8">
        <v>12.5</v>
      </c>
      <c r="G21" s="8">
        <v>12</v>
      </c>
      <c r="H21" s="8">
        <v>10.75</v>
      </c>
      <c r="I21" s="8">
        <v>15</v>
      </c>
      <c r="J21" s="8">
        <v>14</v>
      </c>
      <c r="K21" s="8">
        <v>14</v>
      </c>
      <c r="L21" s="8">
        <v>19.05</v>
      </c>
      <c r="M21" s="8">
        <v>6</v>
      </c>
      <c r="N21" s="8">
        <v>6</v>
      </c>
      <c r="O21" s="8">
        <v>14</v>
      </c>
      <c r="P21" s="8">
        <v>16.5</v>
      </c>
      <c r="Q21" s="8">
        <v>16.5</v>
      </c>
      <c r="R21" s="2">
        <v>17</v>
      </c>
      <c r="S21" s="72">
        <v>12.75344827586207</v>
      </c>
    </row>
    <row r="22" spans="1:19" ht="18.75" x14ac:dyDescent="0.3">
      <c r="B22" s="75" t="s">
        <v>21</v>
      </c>
      <c r="C22" s="75"/>
      <c r="D22" s="75"/>
      <c r="E22" s="76">
        <f t="shared" ref="E22:S22" si="1">AVERAGE(E17:E21)</f>
        <v>12.375</v>
      </c>
      <c r="F22" s="76">
        <f t="shared" si="1"/>
        <v>14</v>
      </c>
      <c r="G22" s="76">
        <f t="shared" si="1"/>
        <v>12</v>
      </c>
      <c r="H22" s="76">
        <f t="shared" si="1"/>
        <v>12</v>
      </c>
      <c r="I22" s="76">
        <f t="shared" si="1"/>
        <v>12.75</v>
      </c>
      <c r="J22" s="76">
        <f t="shared" si="1"/>
        <v>12.5</v>
      </c>
      <c r="K22" s="76">
        <f t="shared" si="1"/>
        <v>9.25</v>
      </c>
      <c r="L22" s="76">
        <f t="shared" si="1"/>
        <v>16.41</v>
      </c>
      <c r="M22" s="76">
        <f t="shared" si="1"/>
        <v>7.6875</v>
      </c>
      <c r="N22" s="76">
        <f t="shared" si="1"/>
        <v>6.875</v>
      </c>
      <c r="O22" s="76">
        <f t="shared" si="1"/>
        <v>13.75</v>
      </c>
      <c r="P22" s="77"/>
      <c r="Q22" s="76">
        <f t="shared" si="1"/>
        <v>16.5</v>
      </c>
      <c r="R22" s="76">
        <f t="shared" si="1"/>
        <v>17</v>
      </c>
      <c r="S22" s="78">
        <f t="shared" si="1"/>
        <v>12.394655172413794</v>
      </c>
    </row>
    <row r="24" spans="1:19" x14ac:dyDescent="0.25"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Q24" s="3"/>
      <c r="R24" s="3"/>
    </row>
    <row r="27" spans="1:19" ht="18.75" x14ac:dyDescent="0.3">
      <c r="A27" s="73" t="s">
        <v>22</v>
      </c>
      <c r="B27" s="74" t="s">
        <v>0</v>
      </c>
      <c r="C27" s="73" t="s">
        <v>81</v>
      </c>
      <c r="D27" s="73" t="s">
        <v>82</v>
      </c>
      <c r="E27" s="74" t="s">
        <v>11</v>
      </c>
      <c r="F27" s="74" t="s">
        <v>12</v>
      </c>
      <c r="G27" s="74" t="s">
        <v>13</v>
      </c>
      <c r="H27" s="74" t="s">
        <v>9</v>
      </c>
      <c r="I27" s="74" t="s">
        <v>3</v>
      </c>
      <c r="J27" s="74" t="s">
        <v>10</v>
      </c>
      <c r="K27" s="74" t="s">
        <v>14</v>
      </c>
      <c r="L27" s="74" t="s">
        <v>15</v>
      </c>
      <c r="M27" s="74" t="s">
        <v>16</v>
      </c>
      <c r="N27" s="74" t="s">
        <v>17</v>
      </c>
      <c r="O27" s="74" t="s">
        <v>18</v>
      </c>
      <c r="P27" s="74" t="s">
        <v>4</v>
      </c>
      <c r="Q27" s="74" t="s">
        <v>5</v>
      </c>
      <c r="R27" s="74" t="s">
        <v>6</v>
      </c>
      <c r="S27" s="71" t="s">
        <v>20</v>
      </c>
    </row>
    <row r="28" spans="1:19" ht="18.75" x14ac:dyDescent="0.3">
      <c r="A28" s="54" t="str">
        <f>CONCATENATE(RANK(S28,S$28:$S$32)," ",IF(RANK(S28:S32,S$28:$S$32)=1,"er/ère","ème"))</f>
        <v>4 ème</v>
      </c>
      <c r="B28" s="47" t="str">
        <f>B5</f>
        <v>BALANA Reine Flora</v>
      </c>
      <c r="C28" s="51" t="s">
        <v>88</v>
      </c>
      <c r="D28" s="51">
        <v>241521017</v>
      </c>
      <c r="E28" s="2">
        <f t="shared" ref="E28:S28" si="2">(E5+E17)/2</f>
        <v>9.75</v>
      </c>
      <c r="F28" s="2">
        <f t="shared" si="2"/>
        <v>12</v>
      </c>
      <c r="G28" s="2">
        <f t="shared" si="2"/>
        <v>12.25</v>
      </c>
      <c r="H28" s="2">
        <f t="shared" si="2"/>
        <v>8.5</v>
      </c>
      <c r="I28" s="2">
        <f t="shared" si="2"/>
        <v>9</v>
      </c>
      <c r="J28" s="2">
        <f t="shared" si="2"/>
        <v>12</v>
      </c>
      <c r="K28" s="2">
        <f t="shared" si="2"/>
        <v>6</v>
      </c>
      <c r="L28" s="2">
        <f t="shared" si="2"/>
        <v>12.41</v>
      </c>
      <c r="M28" s="2">
        <f t="shared" si="2"/>
        <v>7.125</v>
      </c>
      <c r="N28" s="2">
        <f t="shared" si="2"/>
        <v>10</v>
      </c>
      <c r="O28" s="2">
        <f t="shared" si="2"/>
        <v>12.25</v>
      </c>
      <c r="P28" s="2">
        <f t="shared" si="2"/>
        <v>13.5</v>
      </c>
      <c r="Q28" s="2">
        <f t="shared" si="2"/>
        <v>18.25</v>
      </c>
      <c r="R28" s="2">
        <f t="shared" si="2"/>
        <v>14.5</v>
      </c>
      <c r="S28" s="72">
        <f t="shared" si="2"/>
        <v>10.700689655172413</v>
      </c>
    </row>
    <row r="29" spans="1:19" ht="18.75" x14ac:dyDescent="0.3">
      <c r="A29" s="54" t="str">
        <f>CONCATENATE(RANK(S29,S$28:$S$32)," ",IF(RANK(S29:S33,S$28:$S$32)=1,"er/ère","ème"))</f>
        <v>3 ème</v>
      </c>
      <c r="B29" s="47" t="str">
        <f>B6</f>
        <v>MENGING KENVO Lynn Chloé</v>
      </c>
      <c r="C29" s="51" t="s">
        <v>88</v>
      </c>
      <c r="D29" s="51">
        <v>241521086</v>
      </c>
      <c r="E29" s="2">
        <v>14.5</v>
      </c>
      <c r="F29" s="2">
        <v>13.5</v>
      </c>
      <c r="G29" s="2">
        <v>11</v>
      </c>
      <c r="H29" s="2">
        <v>14.5</v>
      </c>
      <c r="I29" s="2">
        <v>10</v>
      </c>
      <c r="J29" s="2">
        <v>9</v>
      </c>
      <c r="K29" s="2">
        <v>4</v>
      </c>
      <c r="L29" s="2">
        <v>13.6</v>
      </c>
      <c r="M29" s="2">
        <v>8.25</v>
      </c>
      <c r="N29" s="2">
        <v>2</v>
      </c>
      <c r="O29" s="2">
        <v>14</v>
      </c>
      <c r="P29" s="2">
        <v>16.25</v>
      </c>
      <c r="Q29" s="2">
        <v>16.5</v>
      </c>
      <c r="R29" s="2">
        <v>17</v>
      </c>
      <c r="S29" s="72">
        <v>11.558620689655172</v>
      </c>
    </row>
    <row r="30" spans="1:19" ht="18.75" x14ac:dyDescent="0.3">
      <c r="A30" s="54" t="e">
        <f>CONCATENATE(RANK(S30,S$28:$S$32)," ",IF(RANK(S30:S34,S$28:$S$32)=1,"er/ère","ème"))</f>
        <v>#N/A</v>
      </c>
      <c r="B30" s="47" t="str">
        <f>B7</f>
        <v>MOUSSI MPENE Suzanne Fortune</v>
      </c>
      <c r="C30" s="51" t="s">
        <v>88</v>
      </c>
      <c r="D30" s="51">
        <v>241521133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72"/>
    </row>
    <row r="31" spans="1:19" ht="18.75" x14ac:dyDescent="0.3">
      <c r="A31" s="54" t="str">
        <f>CONCATENATE(RANK(S31,S$28:$S$32)," ",IF(RANK(S31:S35,S$28:$S$32)=1,"er/ère","ème"))</f>
        <v>1 er/ère</v>
      </c>
      <c r="B31" s="47" t="s">
        <v>74</v>
      </c>
      <c r="C31" s="51" t="s">
        <v>88</v>
      </c>
      <c r="D31" s="51">
        <v>241607863</v>
      </c>
      <c r="E31" s="2">
        <f t="shared" ref="E31:P32" si="3">(E8+E20)/2</f>
        <v>13.5</v>
      </c>
      <c r="F31" s="2">
        <f t="shared" si="3"/>
        <v>14.5</v>
      </c>
      <c r="G31" s="2">
        <f t="shared" si="3"/>
        <v>13.25</v>
      </c>
      <c r="H31" s="2">
        <f t="shared" si="3"/>
        <v>8.375</v>
      </c>
      <c r="I31" s="2">
        <f t="shared" si="3"/>
        <v>15.5</v>
      </c>
      <c r="J31" s="2">
        <f t="shared" si="3"/>
        <v>14.5</v>
      </c>
      <c r="K31" s="2">
        <f t="shared" si="3"/>
        <v>14</v>
      </c>
      <c r="L31" s="2">
        <f t="shared" si="3"/>
        <v>15.585000000000001</v>
      </c>
      <c r="M31" s="2">
        <f t="shared" si="3"/>
        <v>7.875</v>
      </c>
      <c r="N31" s="2">
        <f t="shared" si="3"/>
        <v>11.5</v>
      </c>
      <c r="O31" s="2">
        <f t="shared" si="3"/>
        <v>14.5</v>
      </c>
      <c r="P31" s="2">
        <f t="shared" si="3"/>
        <v>15.625</v>
      </c>
      <c r="Q31" s="2">
        <f>(Q8+Q20)/2</f>
        <v>17.25</v>
      </c>
      <c r="R31" s="2">
        <f>(R8+R20)/2</f>
        <v>16</v>
      </c>
      <c r="S31" s="72">
        <f>(S8+S20)/2</f>
        <v>13.268793103448276</v>
      </c>
    </row>
    <row r="32" spans="1:19" ht="18.75" x14ac:dyDescent="0.3">
      <c r="A32" s="54" t="str">
        <f>CONCATENATE(RANK(S32,S$28:$S$32)," ",IF(RANK(S32:S36,S$28:$S$32)=1,"er/ère","ème"))</f>
        <v>2 ème</v>
      </c>
      <c r="B32" s="47" t="s">
        <v>75</v>
      </c>
      <c r="C32" s="59" t="s">
        <v>88</v>
      </c>
      <c r="D32" s="59">
        <v>241512278</v>
      </c>
      <c r="E32" s="2">
        <f t="shared" ref="E32:S32" si="4">(E9+E21)/2</f>
        <v>12.25</v>
      </c>
      <c r="F32" s="2">
        <f t="shared" si="4"/>
        <v>11.75</v>
      </c>
      <c r="G32" s="2">
        <f t="shared" si="4"/>
        <v>12.5</v>
      </c>
      <c r="H32" s="2">
        <f t="shared" si="4"/>
        <v>11.125</v>
      </c>
      <c r="I32" s="2">
        <f t="shared" si="4"/>
        <v>13</v>
      </c>
      <c r="J32" s="2">
        <f t="shared" si="4"/>
        <v>13</v>
      </c>
      <c r="K32" s="2">
        <f t="shared" si="4"/>
        <v>14</v>
      </c>
      <c r="L32" s="2">
        <f t="shared" si="4"/>
        <v>15.275</v>
      </c>
      <c r="M32" s="2">
        <f t="shared" si="4"/>
        <v>6</v>
      </c>
      <c r="N32" s="2">
        <f t="shared" si="4"/>
        <v>5.75</v>
      </c>
      <c r="O32" s="2">
        <f t="shared" si="4"/>
        <v>14.25</v>
      </c>
      <c r="P32" s="2">
        <f t="shared" si="3"/>
        <v>13.5</v>
      </c>
      <c r="Q32" s="2">
        <f t="shared" si="4"/>
        <v>18.25</v>
      </c>
      <c r="R32" s="2">
        <f t="shared" si="4"/>
        <v>16</v>
      </c>
      <c r="S32" s="72">
        <f t="shared" si="4"/>
        <v>12.169827586206896</v>
      </c>
    </row>
    <row r="33" spans="1:23" ht="18.75" x14ac:dyDescent="0.3">
      <c r="B33" s="75" t="s">
        <v>21</v>
      </c>
      <c r="C33" s="75"/>
      <c r="D33" s="75"/>
      <c r="E33" s="76">
        <f t="shared" ref="E33:S33" si="5">AVERAGE(E28:E31)</f>
        <v>12.583333333333334</v>
      </c>
      <c r="F33" s="76">
        <f t="shared" si="5"/>
        <v>13.333333333333334</v>
      </c>
      <c r="G33" s="76">
        <f t="shared" si="5"/>
        <v>12.166666666666666</v>
      </c>
      <c r="H33" s="76">
        <f t="shared" si="5"/>
        <v>10.458333333333334</v>
      </c>
      <c r="I33" s="76">
        <f t="shared" si="5"/>
        <v>11.5</v>
      </c>
      <c r="J33" s="76">
        <f t="shared" si="5"/>
        <v>11.833333333333334</v>
      </c>
      <c r="K33" s="76">
        <f t="shared" si="5"/>
        <v>8</v>
      </c>
      <c r="L33" s="76">
        <f t="shared" si="5"/>
        <v>13.865</v>
      </c>
      <c r="M33" s="76">
        <f t="shared" si="5"/>
        <v>7.75</v>
      </c>
      <c r="N33" s="76">
        <f t="shared" si="5"/>
        <v>7.833333333333333</v>
      </c>
      <c r="O33" s="76">
        <f t="shared" si="5"/>
        <v>13.583333333333334</v>
      </c>
      <c r="P33" s="76">
        <f t="shared" si="5"/>
        <v>15.125</v>
      </c>
      <c r="Q33" s="76">
        <f t="shared" si="5"/>
        <v>17.333333333333332</v>
      </c>
      <c r="R33" s="76">
        <f t="shared" si="5"/>
        <v>15.833333333333334</v>
      </c>
      <c r="S33" s="78">
        <f t="shared" si="5"/>
        <v>11.842701149425286</v>
      </c>
      <c r="U33" s="3"/>
    </row>
    <row r="34" spans="1:23" x14ac:dyDescent="0.25">
      <c r="U34" s="3"/>
    </row>
    <row r="35" spans="1:23" x14ac:dyDescent="0.25">
      <c r="B35" s="90" t="s">
        <v>76</v>
      </c>
      <c r="C35" s="90"/>
      <c r="D35" s="90"/>
      <c r="E35" s="90"/>
      <c r="F35" s="91"/>
      <c r="G35" s="90" t="s">
        <v>77</v>
      </c>
      <c r="H35" s="90"/>
      <c r="I35" s="90"/>
      <c r="J35" s="90"/>
      <c r="K35" s="48"/>
      <c r="L35" s="48"/>
      <c r="M35" s="90" t="s">
        <v>78</v>
      </c>
      <c r="N35" s="90"/>
      <c r="O35" s="90"/>
      <c r="P35" s="90"/>
      <c r="Q35" s="48"/>
      <c r="R35" s="48"/>
      <c r="S35" s="48"/>
      <c r="T35" s="48"/>
      <c r="U35" s="48"/>
      <c r="V35" s="48"/>
      <c r="W35" s="48"/>
    </row>
    <row r="36" spans="1:23" x14ac:dyDescent="0.25">
      <c r="A36" s="49" t="s">
        <v>22</v>
      </c>
      <c r="B36" s="49" t="s">
        <v>0</v>
      </c>
      <c r="C36" s="49" t="s">
        <v>79</v>
      </c>
      <c r="D36" s="49" t="s">
        <v>80</v>
      </c>
      <c r="E36" s="49" t="s">
        <v>20</v>
      </c>
      <c r="F36" s="52"/>
      <c r="G36" s="50" t="s">
        <v>22</v>
      </c>
      <c r="H36" s="50" t="s">
        <v>0</v>
      </c>
      <c r="I36" s="50" t="s">
        <v>79</v>
      </c>
      <c r="J36" s="50" t="s">
        <v>80</v>
      </c>
      <c r="K36" s="50" t="s">
        <v>20</v>
      </c>
      <c r="L36" s="52"/>
      <c r="M36" s="51" t="s">
        <v>22</v>
      </c>
      <c r="N36" s="51" t="s">
        <v>0</v>
      </c>
      <c r="O36" s="51" t="s">
        <v>79</v>
      </c>
      <c r="P36" s="51" t="s">
        <v>80</v>
      </c>
      <c r="Q36" s="51" t="s">
        <v>20</v>
      </c>
      <c r="R36" s="52"/>
      <c r="S36" s="52"/>
    </row>
    <row r="37" spans="1:23" ht="15.75" x14ac:dyDescent="0.25">
      <c r="A37" s="54" t="s">
        <v>83</v>
      </c>
      <c r="B37" s="55" t="str">
        <f>INDEX(B5:B9,MATCH(A37:A46,A5:A9,0))</f>
        <v>MVINDI BESSALA Johanne Kendhal</v>
      </c>
      <c r="C37" s="55" t="str">
        <f>INDEX(C5:C9,MATCH(B37:B45,B5:B9,0))</f>
        <v>F</v>
      </c>
      <c r="D37" s="60">
        <f>INDEX(D5:D9,MATCH(B37:B45,B5:B9,0))</f>
        <v>241607863</v>
      </c>
      <c r="E37" s="54">
        <v>12.38</v>
      </c>
      <c r="G37" s="54" t="s">
        <v>83</v>
      </c>
      <c r="H37" s="55" t="str">
        <f>INDEX(B17:B21,MATCH(G37:G41,A17:A21,0))</f>
        <v>MVINDI BESSALA Johanne Kendhal</v>
      </c>
      <c r="I37" s="55" t="str">
        <f>INDEX(C17:C21,MATCH(H37:H41,B17:B21,0))</f>
        <v>F</v>
      </c>
      <c r="J37" s="60">
        <f>INDEX(D28:D32,MATCH(H37:H41,B28:B32,0))</f>
        <v>241607863</v>
      </c>
      <c r="K37" s="63">
        <f>INDEX(S17:S21,MATCH(H37:H41,B17:B21,0))</f>
        <v>14.158275862068967</v>
      </c>
      <c r="M37" s="54" t="s">
        <v>83</v>
      </c>
      <c r="N37" s="55" t="str">
        <f>INDEX(B28:B32,MATCH(M37:M41,A28:A32,0))</f>
        <v>MVINDI BESSALA Johanne Kendhal</v>
      </c>
      <c r="O37" s="55" t="str">
        <f>INDEX(C28:C32,MATCH(N37:N41,B28:B32,0))</f>
        <v>F</v>
      </c>
      <c r="P37" s="60">
        <f>INDEX(D28:D32,MATCH(N37:N41,B28:B32,0))</f>
        <v>241607863</v>
      </c>
      <c r="Q37" s="69">
        <f>INDEX(S28:S32,MATCH(N37:N41,B28:B32,0))</f>
        <v>13.268793103448276</v>
      </c>
    </row>
    <row r="38" spans="1:23" ht="15.75" x14ac:dyDescent="0.25">
      <c r="A38" s="54" t="s">
        <v>84</v>
      </c>
      <c r="B38" s="55" t="str">
        <f>INDEX(B6:B10,MATCH(A38:A47,A6:A10,0))</f>
        <v>NILOMENE Chanselle Dorine</v>
      </c>
      <c r="C38" s="55" t="str">
        <f t="shared" ref="C38" si="6">INDEX(C6:C10,MATCH(B38:B47,B6:B10,0))</f>
        <v>F</v>
      </c>
      <c r="D38" s="60">
        <f t="shared" ref="D38" si="7">INDEX(D6:D10,MATCH(B38:B47,B6:B10,0))</f>
        <v>241512278</v>
      </c>
      <c r="E38" s="54">
        <v>11.59</v>
      </c>
      <c r="G38" s="54" t="s">
        <v>84</v>
      </c>
      <c r="H38" s="55" t="str">
        <f>INDEX(B18:B22,MATCH(G38:G42,A18:A22,0))</f>
        <v>NILOMENE Chanselle Dorine</v>
      </c>
      <c r="I38" s="55" t="str">
        <f>INDEX(C18:C22,MATCH(H38:H42,B18:B22,0))</f>
        <v>F</v>
      </c>
      <c r="J38" s="60">
        <f>INDEX(D29:D33,MATCH(H38:H42,B29:B33,0))</f>
        <v>241512278</v>
      </c>
      <c r="K38" s="63">
        <f>INDEX(S18:S22,MATCH(H38:H42,B18:B22,0))</f>
        <v>12.75344827586207</v>
      </c>
      <c r="M38" s="54" t="s">
        <v>84</v>
      </c>
      <c r="N38" s="55" t="str">
        <f>INDEX(B29:B33,MATCH(M38:M42,A29:A33,0))</f>
        <v>NILOMENE Chanselle Dorine</v>
      </c>
      <c r="O38" s="55" t="str">
        <f>INDEX(C29:C33,MATCH(N38:N42,B29:B33,0))</f>
        <v>F</v>
      </c>
      <c r="P38" s="60">
        <f>INDEX(D29:D33,MATCH(N38:N42,B29:B33,0))</f>
        <v>241512278</v>
      </c>
      <c r="Q38" s="69">
        <f>INDEX(S29:S33,MATCH(N38:N42,B29:B33,0))</f>
        <v>12.169827586206896</v>
      </c>
    </row>
    <row r="39" spans="1:23" ht="15.75" x14ac:dyDescent="0.25">
      <c r="A39" s="54" t="s">
        <v>85</v>
      </c>
      <c r="B39" s="55" t="str">
        <f>INDEX(B5:B9,MATCH(A39:A48,A5:A9,0))</f>
        <v>BALANA Reine Flora</v>
      </c>
      <c r="C39" s="55" t="str">
        <f>INDEX(C5:C9,MATCH(B39:B48,B5:B9,0))</f>
        <v>F</v>
      </c>
      <c r="D39" s="60">
        <f>INDEX(D5:D9,MATCH(B39:B48,B5:B9,0))</f>
        <v>241521017</v>
      </c>
      <c r="E39" s="54">
        <v>10.29</v>
      </c>
      <c r="G39" s="54" t="s">
        <v>85</v>
      </c>
      <c r="H39" s="55" t="str">
        <f>INDEX(B28:B32,MATCH(G39:G43,A28:A32,0))</f>
        <v>MENGING KENVO Lynn Chloé</v>
      </c>
      <c r="I39" s="55" t="str">
        <f>INDEX(C28:C32,MATCH(H39:H43,B28:B32,0))</f>
        <v>F</v>
      </c>
      <c r="J39" s="60">
        <f>INDEX(D28:D32,MATCH(H39:H43,B28:B32,0))</f>
        <v>241521086</v>
      </c>
      <c r="K39" s="63">
        <f>INDEX(S17:S21,MATCH(H39:H43,B17:B21,0))</f>
        <v>11.558620689655172</v>
      </c>
      <c r="M39" s="54" t="s">
        <v>85</v>
      </c>
      <c r="N39" s="55" t="str">
        <f>INDEX(B28:B32,MATCH(M39:M43,A28:A32,0))</f>
        <v>MENGING KENVO Lynn Chloé</v>
      </c>
      <c r="O39" s="55" t="str">
        <f>INDEX(C28:C32,MATCH(N39:N43,B28:B32,0))</f>
        <v>F</v>
      </c>
      <c r="P39" s="60">
        <f>INDEX(D28:D32,MATCH(N39:N43,B28:B32,0))</f>
        <v>241521086</v>
      </c>
      <c r="Q39" s="69">
        <f>INDEX(S28:S32,MATCH(N39:N43,B28:B32,0))</f>
        <v>11.558620689655172</v>
      </c>
    </row>
    <row r="40" spans="1:23" ht="15.75" x14ac:dyDescent="0.25">
      <c r="A40" s="57" t="s">
        <v>86</v>
      </c>
      <c r="B40" s="58" t="str">
        <f>INDEX(B6:B10,MATCH(A40:A49,A6:A10,0))</f>
        <v>MOUSSI MPENE Suzanne Fortune</v>
      </c>
      <c r="C40" s="58" t="str">
        <f>INDEX(C5:C9,MATCH(B40:B49,B5:B9,0))</f>
        <v>F</v>
      </c>
      <c r="D40" s="68">
        <f>INDEX(D6:D10,MATCH(B40:B49,B6:B10,0))</f>
        <v>241521133</v>
      </c>
      <c r="E40" s="57" t="s">
        <v>89</v>
      </c>
      <c r="G40" s="61" t="s">
        <v>86</v>
      </c>
      <c r="H40" s="55" t="str">
        <f>INDEX(B28:B32,MATCH(G40:G44,A28:A32,0))</f>
        <v>BALANA Reine Flora</v>
      </c>
      <c r="I40" s="55" t="str">
        <f>INDEX(C28:C32,MATCH(H40:H44,B28:B32,0))</f>
        <v>F</v>
      </c>
      <c r="J40" s="60">
        <f>INDEX(D28:D32,MATCH(H40:H44,B28:B32,0))</f>
        <v>241521017</v>
      </c>
      <c r="K40" s="63">
        <f>INDEX(S17:S21,MATCH(H40:H44,B17:B21,0))</f>
        <v>11.108275862068965</v>
      </c>
      <c r="M40" s="61" t="s">
        <v>86</v>
      </c>
      <c r="N40" s="55" t="str">
        <f>INDEX(B28:B32,MATCH(M40:M44,A28:A32,0))</f>
        <v>BALANA Reine Flora</v>
      </c>
      <c r="O40" s="55" t="str">
        <f>INDEX(C28:C32,MATCH(N40:N44,B28:B32,0))</f>
        <v>F</v>
      </c>
      <c r="P40" s="60">
        <f>INDEX(D28:D32,MATCH(N40:N44,B28:B32,0))</f>
        <v>241521017</v>
      </c>
      <c r="Q40" s="69">
        <f>INDEX(S28:S32,MATCH(N40:N44,B28:B32,0))</f>
        <v>10.700689655172413</v>
      </c>
    </row>
    <row r="41" spans="1:23" ht="15.75" x14ac:dyDescent="0.25">
      <c r="A41" s="57" t="s">
        <v>87</v>
      </c>
      <c r="B41" s="58" t="str">
        <f>INDEX(B5:B9,MATCH(A41:A50,A5:A9,0))</f>
        <v>MENGING KENVO Lynn Chloé</v>
      </c>
      <c r="C41" s="58" t="str">
        <f>INDEX(C5:C9,MATCH(B41:B50,B5:B9,0))</f>
        <v>F</v>
      </c>
      <c r="D41" s="68">
        <f>INDEX(D5:D9,MATCH(B41:B50,B5:B9,0))</f>
        <v>241521086</v>
      </c>
      <c r="E41" s="57" t="s">
        <v>89</v>
      </c>
      <c r="G41" s="64" t="s">
        <v>87</v>
      </c>
      <c r="H41" s="65" t="s">
        <v>73</v>
      </c>
      <c r="I41" s="66" t="s">
        <v>88</v>
      </c>
      <c r="J41" s="67">
        <v>241521133</v>
      </c>
      <c r="K41" s="64" t="s">
        <v>89</v>
      </c>
      <c r="M41" s="64" t="s">
        <v>87</v>
      </c>
      <c r="N41" s="65" t="s">
        <v>73</v>
      </c>
      <c r="O41" s="66" t="s">
        <v>88</v>
      </c>
      <c r="P41" s="67">
        <v>241521133</v>
      </c>
      <c r="Q41" s="64" t="s">
        <v>89</v>
      </c>
    </row>
    <row r="42" spans="1:23" ht="15.75" x14ac:dyDescent="0.25">
      <c r="A42" s="87" t="s">
        <v>21</v>
      </c>
      <c r="B42" s="88"/>
      <c r="C42" s="88"/>
      <c r="D42" s="89"/>
      <c r="E42" s="56">
        <v>11.42</v>
      </c>
      <c r="F42" s="53"/>
      <c r="G42" s="92" t="s">
        <v>21</v>
      </c>
      <c r="H42" s="93"/>
      <c r="I42" s="93"/>
      <c r="J42" s="93"/>
      <c r="K42" s="70">
        <v>12.39</v>
      </c>
      <c r="M42" s="94" t="s">
        <v>21</v>
      </c>
      <c r="N42" s="95"/>
      <c r="O42" s="95"/>
      <c r="P42" s="96"/>
      <c r="Q42" s="62">
        <v>11.84</v>
      </c>
    </row>
    <row r="43" spans="1:23" x14ac:dyDescent="0.25">
      <c r="J43" s="3"/>
    </row>
    <row r="44" spans="1:23" x14ac:dyDescent="0.25">
      <c r="C44" s="3"/>
      <c r="D44" s="3"/>
    </row>
    <row r="45" spans="1:23" x14ac:dyDescent="0.25">
      <c r="B45" s="3"/>
      <c r="C45" s="3"/>
      <c r="D45" s="3"/>
    </row>
  </sheetData>
  <mergeCells count="6">
    <mergeCell ref="A42:D42"/>
    <mergeCell ref="M35:P35"/>
    <mergeCell ref="G35:J35"/>
    <mergeCell ref="B35:F35"/>
    <mergeCell ref="G42:J42"/>
    <mergeCell ref="M42:P4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6"/>
  <sheetViews>
    <sheetView topLeftCell="A28" zoomScale="90" zoomScaleNormal="90" workbookViewId="0">
      <selection activeCell="B4" sqref="B4:K46"/>
    </sheetView>
  </sheetViews>
  <sheetFormatPr baseColWidth="10" defaultRowHeight="15" x14ac:dyDescent="0.25"/>
  <cols>
    <col min="2" max="2" width="41.42578125" customWidth="1"/>
    <col min="3" max="3" width="12.140625" customWidth="1"/>
    <col min="5" max="5" width="15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9" t="s">
        <v>28</v>
      </c>
      <c r="H4" s="160" t="s">
        <v>29</v>
      </c>
      <c r="I4" s="161"/>
      <c r="J4" s="10" t="s">
        <v>22</v>
      </c>
      <c r="K4" s="10" t="s">
        <v>30</v>
      </c>
      <c r="L4" s="11"/>
      <c r="M4" s="11"/>
      <c r="N4" s="11"/>
      <c r="O4" s="11"/>
    </row>
    <row r="5" spans="2:15" ht="32.25" thickBot="1" x14ac:dyDescent="0.3">
      <c r="B5" s="12" t="s">
        <v>66</v>
      </c>
      <c r="C5" s="13">
        <f>(D5+E5)/2</f>
        <v>9.75</v>
      </c>
      <c r="D5" s="42">
        <v>9.5</v>
      </c>
      <c r="E5" s="42">
        <v>10</v>
      </c>
      <c r="F5" s="14">
        <v>4</v>
      </c>
      <c r="G5" s="15">
        <f>C5*F5</f>
        <v>39</v>
      </c>
      <c r="H5" s="145">
        <v>12.58</v>
      </c>
      <c r="I5" s="146"/>
      <c r="J5" s="45" t="s">
        <v>102</v>
      </c>
      <c r="K5" s="13" t="str">
        <f>IF(C5&lt;10,"D",IF(C5&lt;12,"C",IF(C5&lt;14,"C+",IF(C5&lt;15,"B",IF(C5&lt;16,"B+",IF(C5&lt;18,"A",IF(C5&lt;20,"A+")))))))</f>
        <v>D</v>
      </c>
      <c r="L5" s="11"/>
      <c r="M5" s="11"/>
      <c r="N5" s="16">
        <f>D5*F5</f>
        <v>38</v>
      </c>
      <c r="O5" s="16">
        <f>E5*F5</f>
        <v>40</v>
      </c>
    </row>
    <row r="6" spans="2:15" ht="32.25" thickBot="1" x14ac:dyDescent="0.3">
      <c r="B6" s="12" t="s">
        <v>91</v>
      </c>
      <c r="C6" s="13">
        <f t="shared" ref="C6:C8" si="0">(D6+E6)/2</f>
        <v>12</v>
      </c>
      <c r="D6" s="42">
        <v>10</v>
      </c>
      <c r="E6" s="42">
        <v>14</v>
      </c>
      <c r="F6" s="14">
        <v>2</v>
      </c>
      <c r="G6" s="15">
        <f t="shared" ref="G6:G8" si="1">C6*F6</f>
        <v>24</v>
      </c>
      <c r="H6" s="145">
        <v>13.33</v>
      </c>
      <c r="I6" s="146"/>
      <c r="J6" s="45" t="s">
        <v>103</v>
      </c>
      <c r="K6" s="13" t="str">
        <f>IF(C6&lt;10,"D",IF(C6&lt;12,"C",IF(C6&lt;14,"C+",IF(C6&lt;15,"B",IF(C6&lt;16,"B+",IF(C6&lt;18,"A",IF(C6&lt;20,"A+")))))))</f>
        <v>C+</v>
      </c>
      <c r="L6" s="11"/>
      <c r="M6" s="11"/>
      <c r="N6" s="16">
        <f t="shared" ref="N6:N8" si="2">D6*F6</f>
        <v>20</v>
      </c>
      <c r="O6" s="16">
        <f t="shared" ref="O6:O8" si="3">E6*F6</f>
        <v>28</v>
      </c>
    </row>
    <row r="7" spans="2:15" ht="32.25" thickBot="1" x14ac:dyDescent="0.3">
      <c r="B7" s="12" t="s">
        <v>92</v>
      </c>
      <c r="C7" s="13">
        <f t="shared" si="0"/>
        <v>12.25</v>
      </c>
      <c r="D7" s="42">
        <v>14</v>
      </c>
      <c r="E7" s="42">
        <v>10.5</v>
      </c>
      <c r="F7" s="14">
        <v>3</v>
      </c>
      <c r="G7" s="15">
        <f t="shared" si="1"/>
        <v>36.75</v>
      </c>
      <c r="H7" s="145">
        <v>12.17</v>
      </c>
      <c r="I7" s="146"/>
      <c r="J7" s="45" t="s">
        <v>103</v>
      </c>
      <c r="K7" s="13" t="str">
        <f>IF(C7&lt;10,"D",IF(C7&lt;12,"C",IF(C7&lt;14,"C+",IF(C7&lt;15,"B",IF(C7&lt;16,"B+",IF(C7&lt;18,"A",IF(C7&lt;20,"A+")))))))</f>
        <v>C+</v>
      </c>
      <c r="L7" s="11"/>
      <c r="M7" s="11"/>
      <c r="N7" s="16">
        <f t="shared" si="2"/>
        <v>42</v>
      </c>
      <c r="O7" s="16">
        <f t="shared" si="3"/>
        <v>31.5</v>
      </c>
    </row>
    <row r="8" spans="2:15" ht="32.25" thickBot="1" x14ac:dyDescent="0.3">
      <c r="B8" s="12" t="s">
        <v>67</v>
      </c>
      <c r="C8" s="13">
        <f t="shared" si="0"/>
        <v>8.5</v>
      </c>
      <c r="D8" s="42">
        <v>5.5</v>
      </c>
      <c r="E8" s="43">
        <v>11.5</v>
      </c>
      <c r="F8" s="14">
        <v>3</v>
      </c>
      <c r="G8" s="15">
        <f t="shared" si="1"/>
        <v>25.5</v>
      </c>
      <c r="H8" s="145">
        <v>10.46</v>
      </c>
      <c r="I8" s="146"/>
      <c r="J8" s="45" t="s">
        <v>103</v>
      </c>
      <c r="K8" s="13" t="str">
        <f>IF(C8&lt;10,"D",IF(C8&lt;12,"C",IF(C8&lt;14,"C+",IF(C8&lt;15,"B",IF(C8&lt;16,"B+",IF(C8&lt;18,"A",IF(C8&lt;20,"A+")))))))</f>
        <v>D</v>
      </c>
      <c r="L8" s="11"/>
      <c r="M8" s="11"/>
      <c r="N8" s="16">
        <f t="shared" si="2"/>
        <v>16.5</v>
      </c>
      <c r="O8" s="16">
        <f t="shared" si="3"/>
        <v>34.5</v>
      </c>
    </row>
    <row r="9" spans="2:15" ht="16.5" thickBot="1" x14ac:dyDescent="0.3">
      <c r="B9" s="154" t="s">
        <v>31</v>
      </c>
      <c r="C9" s="155"/>
      <c r="D9" s="155"/>
      <c r="E9" s="155"/>
      <c r="F9" s="155"/>
      <c r="G9" s="155"/>
      <c r="H9" s="155"/>
      <c r="I9" s="155"/>
      <c r="J9" s="155"/>
      <c r="K9" s="156"/>
      <c r="L9" s="11"/>
      <c r="M9" s="11"/>
      <c r="N9" s="11"/>
      <c r="O9" s="11"/>
    </row>
    <row r="10" spans="2:15" ht="16.5" thickBot="1" x14ac:dyDescent="0.3">
      <c r="B10" s="17" t="s">
        <v>32</v>
      </c>
      <c r="C10" s="147">
        <f>(SUM(G5:G8)/SUM(F5:F8))</f>
        <v>10.4375</v>
      </c>
      <c r="D10" s="147"/>
      <c r="E10" s="147"/>
      <c r="F10" s="152" t="s">
        <v>33</v>
      </c>
      <c r="G10" s="152"/>
      <c r="H10" s="18"/>
      <c r="I10" s="149"/>
      <c r="J10" s="149"/>
      <c r="K10" s="153"/>
      <c r="L10" s="11"/>
      <c r="M10" s="11"/>
      <c r="N10" s="11"/>
      <c r="O10" s="11"/>
    </row>
    <row r="11" spans="2:15" ht="16.5" thickBot="1" x14ac:dyDescent="0.3">
      <c r="B11" s="141"/>
      <c r="C11" s="142"/>
      <c r="D11" s="142"/>
      <c r="E11" s="142"/>
      <c r="F11" s="142"/>
      <c r="G11" s="142"/>
      <c r="H11" s="142"/>
      <c r="I11" s="142"/>
      <c r="J11" s="142"/>
      <c r="K11" s="144"/>
      <c r="L11" s="11"/>
      <c r="M11" s="11"/>
      <c r="N11" s="11"/>
      <c r="O11" s="11"/>
    </row>
    <row r="12" spans="2:15" ht="32.25" thickBot="1" x14ac:dyDescent="0.3">
      <c r="B12" s="12" t="s">
        <v>93</v>
      </c>
      <c r="C12" s="13">
        <f t="shared" ref="C12:C15" si="4">(D12+E12)/2</f>
        <v>9</v>
      </c>
      <c r="D12" s="43">
        <v>7</v>
      </c>
      <c r="E12" s="43">
        <v>11</v>
      </c>
      <c r="F12" s="14">
        <v>2</v>
      </c>
      <c r="G12" s="15">
        <f t="shared" ref="G12:G15" si="5">C12*F12</f>
        <v>18</v>
      </c>
      <c r="H12" s="145">
        <v>11.5</v>
      </c>
      <c r="I12" s="146"/>
      <c r="J12" s="45" t="s">
        <v>102</v>
      </c>
      <c r="K12" s="13" t="str">
        <f>IF(C12&lt;10,"D",IF(C12&lt;12,"C",IF(C12&lt;14,"C+",IF(C12&lt;15,"B",IF(C12&lt;16,"B+",IF(C12&lt;18,"A",IF(C12&lt;20,"A+")))))))</f>
        <v>D</v>
      </c>
      <c r="L12" s="11"/>
      <c r="M12" s="11"/>
      <c r="N12" s="16">
        <f t="shared" ref="N12:N15" si="6">D12*F12</f>
        <v>14</v>
      </c>
      <c r="O12" s="16">
        <f t="shared" ref="O12:O15" si="7">E12*F12</f>
        <v>22</v>
      </c>
    </row>
    <row r="13" spans="2:15" ht="32.25" thickBot="1" x14ac:dyDescent="0.3">
      <c r="B13" s="12" t="s">
        <v>94</v>
      </c>
      <c r="C13" s="13">
        <f t="shared" si="4"/>
        <v>12</v>
      </c>
      <c r="D13" s="42">
        <v>12</v>
      </c>
      <c r="E13" s="42">
        <v>12</v>
      </c>
      <c r="F13" s="14">
        <v>2</v>
      </c>
      <c r="G13" s="15">
        <f t="shared" si="5"/>
        <v>24</v>
      </c>
      <c r="H13" s="145">
        <v>11.83</v>
      </c>
      <c r="I13" s="146"/>
      <c r="J13" s="45" t="s">
        <v>103</v>
      </c>
      <c r="K13" s="13" t="str">
        <f>IF(C13&lt;10,"D",IF(C13&lt;12,"C",IF(C13&lt;14,"C+",IF(C13&lt;15,"B",IF(C13&lt;16,"B+",IF(C13&lt;18,"A",IF(C13&lt;20,"A+")))))))</f>
        <v>C+</v>
      </c>
      <c r="L13" s="11"/>
      <c r="M13" s="11"/>
      <c r="N13" s="16">
        <f t="shared" si="6"/>
        <v>24</v>
      </c>
      <c r="O13" s="16">
        <f t="shared" si="7"/>
        <v>24</v>
      </c>
    </row>
    <row r="14" spans="2:15" ht="32.25" thickBot="1" x14ac:dyDescent="0.3">
      <c r="B14" s="12" t="s">
        <v>68</v>
      </c>
      <c r="C14" s="13">
        <f t="shared" si="4"/>
        <v>6</v>
      </c>
      <c r="D14" s="42">
        <v>7</v>
      </c>
      <c r="E14" s="42">
        <v>5</v>
      </c>
      <c r="F14" s="14">
        <v>2</v>
      </c>
      <c r="G14" s="15">
        <f t="shared" si="5"/>
        <v>12</v>
      </c>
      <c r="H14" s="145">
        <v>8</v>
      </c>
      <c r="I14" s="146"/>
      <c r="J14" s="45" t="s">
        <v>103</v>
      </c>
      <c r="K14" s="13" t="str">
        <f>IF(C14&lt;10,"D",IF(C14&lt;12,"C",IF(C14&lt;14,"C+",IF(C14&lt;15,"B",IF(C14&lt;16,"B+",IF(C14&lt;18,"A",IF(C14&lt;20,"A+")))))))</f>
        <v>D</v>
      </c>
      <c r="L14" s="11"/>
      <c r="M14" s="11"/>
      <c r="N14" s="16">
        <f t="shared" si="6"/>
        <v>14</v>
      </c>
      <c r="O14" s="16">
        <f t="shared" si="7"/>
        <v>10</v>
      </c>
    </row>
    <row r="15" spans="2:15" ht="32.25" thickBot="1" x14ac:dyDescent="0.3">
      <c r="B15" s="12" t="s">
        <v>95</v>
      </c>
      <c r="C15" s="13">
        <f t="shared" si="4"/>
        <v>12.41</v>
      </c>
      <c r="D15" s="42">
        <v>10</v>
      </c>
      <c r="E15" s="42">
        <v>14.82</v>
      </c>
      <c r="F15" s="14">
        <v>2</v>
      </c>
      <c r="G15" s="15">
        <f t="shared" si="5"/>
        <v>24.82</v>
      </c>
      <c r="H15" s="145">
        <v>13.87</v>
      </c>
      <c r="I15" s="146"/>
      <c r="J15" s="45" t="s">
        <v>102</v>
      </c>
      <c r="K15" s="13" t="str">
        <f>IF(C15&lt;10,"D",IF(C15&lt;12,"C",IF(C15&lt;14,"C+",IF(C15&lt;15,"B",IF(C15&lt;16,"B+",IF(C15&lt;18,"A",IF(C15&lt;20,"A+")))))))</f>
        <v>C+</v>
      </c>
      <c r="L15" s="11"/>
      <c r="M15" s="11"/>
      <c r="N15" s="16">
        <f t="shared" si="6"/>
        <v>20</v>
      </c>
      <c r="O15" s="16">
        <f t="shared" si="7"/>
        <v>29.64</v>
      </c>
    </row>
    <row r="16" spans="2:15" ht="16.5" thickBot="1" x14ac:dyDescent="0.3">
      <c r="B16" s="154" t="s">
        <v>34</v>
      </c>
      <c r="C16" s="155"/>
      <c r="D16" s="155"/>
      <c r="E16" s="155"/>
      <c r="F16" s="155"/>
      <c r="G16" s="155"/>
      <c r="H16" s="155"/>
      <c r="I16" s="155"/>
      <c r="J16" s="155"/>
      <c r="K16" s="156"/>
      <c r="L16" s="11"/>
      <c r="M16" s="11"/>
      <c r="N16" s="11"/>
      <c r="O16" s="11"/>
    </row>
    <row r="17" spans="2:15" ht="16.5" thickBot="1" x14ac:dyDescent="0.3">
      <c r="B17" s="17" t="s">
        <v>35</v>
      </c>
      <c r="C17" s="147">
        <f>(SUM(G12:G15)/SUM(F12:F15))</f>
        <v>9.8524999999999991</v>
      </c>
      <c r="D17" s="147"/>
      <c r="E17" s="147"/>
      <c r="F17" s="152" t="s">
        <v>33</v>
      </c>
      <c r="G17" s="152"/>
      <c r="H17" s="18"/>
      <c r="I17" s="149"/>
      <c r="J17" s="149"/>
      <c r="K17" s="153"/>
      <c r="L17" s="11"/>
      <c r="M17" s="11"/>
      <c r="N17" s="11"/>
      <c r="O17" s="11"/>
    </row>
    <row r="18" spans="2:15" ht="16.5" thickBot="1" x14ac:dyDescent="0.3">
      <c r="B18" s="157"/>
      <c r="C18" s="158"/>
      <c r="D18" s="158"/>
      <c r="E18" s="158"/>
      <c r="F18" s="158"/>
      <c r="G18" s="158"/>
      <c r="H18" s="158"/>
      <c r="I18" s="158"/>
      <c r="J18" s="158"/>
      <c r="K18" s="159"/>
      <c r="L18" s="11"/>
      <c r="M18" s="11"/>
      <c r="N18" s="11"/>
      <c r="O18" s="11"/>
    </row>
    <row r="19" spans="2:15" ht="32.25" thickBot="1" x14ac:dyDescent="0.3">
      <c r="B19" s="12" t="s">
        <v>96</v>
      </c>
      <c r="C19" s="13">
        <f t="shared" ref="C19:C21" si="8">(D19+E19)/2</f>
        <v>7.125</v>
      </c>
      <c r="D19" s="42">
        <v>8.5</v>
      </c>
      <c r="E19" s="42">
        <v>5.75</v>
      </c>
      <c r="F19" s="14">
        <v>2</v>
      </c>
      <c r="G19" s="15">
        <f t="shared" ref="G19:G21" si="9">C19*F19</f>
        <v>14.25</v>
      </c>
      <c r="H19" s="145">
        <v>7.75</v>
      </c>
      <c r="I19" s="146"/>
      <c r="J19" s="45" t="s">
        <v>103</v>
      </c>
      <c r="K19" s="13" t="str">
        <f>IF(C19&lt;10,"D",IF(C19&lt;12,"C",IF(C19&lt;14,"C+",IF(C19&lt;15,"B",IF(C19&lt;16,"B+",IF(C19&lt;18,"A",IF(C19&lt;20,"A+")))))))</f>
        <v>D</v>
      </c>
      <c r="L19" s="11"/>
      <c r="M19" s="11"/>
      <c r="N19" s="16">
        <f t="shared" ref="N19:N21" si="10">D19*F19</f>
        <v>17</v>
      </c>
      <c r="O19" s="16">
        <f t="shared" ref="O19:O21" si="11">E19*F19</f>
        <v>11.5</v>
      </c>
    </row>
    <row r="20" spans="2:15" ht="32.25" thickBot="1" x14ac:dyDescent="0.3">
      <c r="B20" s="12" t="s">
        <v>97</v>
      </c>
      <c r="C20" s="13">
        <f t="shared" si="8"/>
        <v>10</v>
      </c>
      <c r="D20" s="42">
        <v>11.5</v>
      </c>
      <c r="E20" s="42">
        <v>8.5</v>
      </c>
      <c r="F20" s="14">
        <v>2</v>
      </c>
      <c r="G20" s="15">
        <f t="shared" si="9"/>
        <v>20</v>
      </c>
      <c r="H20" s="145">
        <v>7.83</v>
      </c>
      <c r="I20" s="146"/>
      <c r="J20" s="45" t="s">
        <v>104</v>
      </c>
      <c r="K20" s="13" t="str">
        <f>IF(C20&lt;10,"D",IF(C20&lt;12,"C",IF(C20&lt;14,"C+",IF(C20&lt;15,"B",IF(C20&lt;16,"B+",IF(C20&lt;18,"A",IF(C20&lt;20,"A+")))))))</f>
        <v>C</v>
      </c>
      <c r="L20" s="11"/>
      <c r="M20" s="11"/>
      <c r="N20" s="16">
        <f t="shared" si="10"/>
        <v>23</v>
      </c>
      <c r="O20" s="16">
        <f t="shared" si="11"/>
        <v>17</v>
      </c>
    </row>
    <row r="21" spans="2:15" ht="32.25" thickBot="1" x14ac:dyDescent="0.3">
      <c r="B21" s="12" t="s">
        <v>98</v>
      </c>
      <c r="C21" s="13">
        <f t="shared" si="8"/>
        <v>12.25</v>
      </c>
      <c r="D21" s="42">
        <v>15</v>
      </c>
      <c r="E21" s="42">
        <v>9.5</v>
      </c>
      <c r="F21" s="14">
        <v>1</v>
      </c>
      <c r="G21" s="15">
        <f t="shared" si="9"/>
        <v>12.25</v>
      </c>
      <c r="H21" s="145">
        <v>13.58</v>
      </c>
      <c r="I21" s="146"/>
      <c r="J21" s="45" t="s">
        <v>102</v>
      </c>
      <c r="K21" s="13" t="str">
        <f>IF(C21&lt;10,"D",IF(C21&lt;12,"C",IF(C21&lt;14,"C+",IF(C21&lt;15,"B",IF(C21&lt;16,"B+",IF(C21&lt;18,"A",IF(C21&lt;20,"A+")))))))</f>
        <v>C+</v>
      </c>
      <c r="L21" s="11"/>
      <c r="M21" s="11"/>
      <c r="N21" s="16">
        <f t="shared" si="10"/>
        <v>15</v>
      </c>
      <c r="O21" s="16">
        <f t="shared" si="11"/>
        <v>9.5</v>
      </c>
    </row>
    <row r="22" spans="2:15" ht="16.5" thickBot="1" x14ac:dyDescent="0.3">
      <c r="B22" s="154" t="s">
        <v>36</v>
      </c>
      <c r="C22" s="155"/>
      <c r="D22" s="155"/>
      <c r="E22" s="155"/>
      <c r="F22" s="155"/>
      <c r="G22" s="155"/>
      <c r="H22" s="155"/>
      <c r="I22" s="155"/>
      <c r="J22" s="155"/>
      <c r="K22" s="156"/>
      <c r="L22" s="11"/>
      <c r="M22" s="11"/>
      <c r="N22" s="11"/>
      <c r="O22" s="11"/>
    </row>
    <row r="23" spans="2:15" ht="16.5" thickBot="1" x14ac:dyDescent="0.3">
      <c r="B23" s="17" t="s">
        <v>32</v>
      </c>
      <c r="C23" s="147">
        <f>(SUM(G19:G21)/SUM(F19:F21))</f>
        <v>9.3000000000000007</v>
      </c>
      <c r="D23" s="147"/>
      <c r="E23" s="147"/>
      <c r="F23" s="152" t="s">
        <v>33</v>
      </c>
      <c r="G23" s="152"/>
      <c r="H23" s="18"/>
      <c r="I23" s="149"/>
      <c r="J23" s="149"/>
      <c r="K23" s="153"/>
      <c r="L23" s="11"/>
      <c r="M23" s="11"/>
      <c r="N23" s="11"/>
      <c r="O23" s="11"/>
    </row>
    <row r="24" spans="2:15" ht="16.5" thickBot="1" x14ac:dyDescent="0.3">
      <c r="B24" s="141"/>
      <c r="C24" s="142"/>
      <c r="D24" s="142"/>
      <c r="E24" s="142"/>
      <c r="F24" s="142"/>
      <c r="G24" s="142"/>
      <c r="H24" s="143"/>
      <c r="I24" s="143"/>
      <c r="J24" s="143"/>
      <c r="K24" s="144"/>
      <c r="L24" s="11"/>
      <c r="M24" s="11"/>
      <c r="N24" s="11"/>
      <c r="O24" s="11"/>
    </row>
    <row r="25" spans="2:15" ht="32.25" thickBot="1" x14ac:dyDescent="0.3">
      <c r="B25" s="41" t="s">
        <v>69</v>
      </c>
      <c r="C25" s="13">
        <f t="shared" ref="C25:C27" si="12">(D25+E25)/2</f>
        <v>13.5</v>
      </c>
      <c r="D25" s="42">
        <v>11.5</v>
      </c>
      <c r="E25" s="42">
        <v>15.5</v>
      </c>
      <c r="F25" s="14">
        <v>2</v>
      </c>
      <c r="G25" s="15">
        <f t="shared" ref="G25:G27" si="13">C25*F25</f>
        <v>27</v>
      </c>
      <c r="H25" s="145">
        <v>15.13</v>
      </c>
      <c r="I25" s="146"/>
      <c r="J25" s="45" t="s">
        <v>103</v>
      </c>
      <c r="K25" s="13" t="str">
        <f>IF(C25&lt;10,"D",IF(C25&lt;12,"C",IF(C25&lt;14,"C+",IF(C25&lt;15,"B",IF(C25&lt;16,"B+",IF(C25&lt;18,"A",IF(C25&lt;20,"A+")))))))</f>
        <v>C+</v>
      </c>
      <c r="L25" s="11"/>
      <c r="M25" s="11"/>
      <c r="N25" s="16">
        <f t="shared" ref="N25:N27" si="14">D25*F25</f>
        <v>23</v>
      </c>
      <c r="O25" s="16">
        <f t="shared" ref="O25:O27" si="15">E25*F25</f>
        <v>31</v>
      </c>
    </row>
    <row r="26" spans="2:15" ht="33" customHeight="1" thickBot="1" x14ac:dyDescent="0.3">
      <c r="B26" s="44" t="s">
        <v>99</v>
      </c>
      <c r="C26" s="13">
        <f t="shared" si="12"/>
        <v>18.25</v>
      </c>
      <c r="D26" s="42">
        <v>20</v>
      </c>
      <c r="E26" s="42">
        <v>16.5</v>
      </c>
      <c r="F26" s="14">
        <v>1</v>
      </c>
      <c r="G26" s="15">
        <f t="shared" si="13"/>
        <v>18.25</v>
      </c>
      <c r="H26" s="145">
        <v>17.329999999999998</v>
      </c>
      <c r="I26" s="146"/>
      <c r="J26" s="45" t="s">
        <v>105</v>
      </c>
      <c r="K26" s="13" t="str">
        <f>IF(C26&lt;10,"D",IF(C26&lt;12,"C",IF(C26&lt;14,"C+",IF(C26&lt;15,"B",IF(C26&lt;16,"B+",IF(C26&lt;18,"A",IF(C26&lt;20,"A+")))))))</f>
        <v>A+</v>
      </c>
      <c r="L26" s="11"/>
      <c r="M26" s="11"/>
      <c r="N26" s="16">
        <f t="shared" si="14"/>
        <v>20</v>
      </c>
      <c r="O26" s="16">
        <f t="shared" si="15"/>
        <v>16.5</v>
      </c>
    </row>
    <row r="27" spans="2:15" ht="32.25" thickBot="1" x14ac:dyDescent="0.3">
      <c r="B27" s="12" t="s">
        <v>100</v>
      </c>
      <c r="C27" s="13">
        <f t="shared" si="12"/>
        <v>14.5</v>
      </c>
      <c r="D27" s="42">
        <v>12</v>
      </c>
      <c r="E27" s="42">
        <v>17</v>
      </c>
      <c r="F27" s="14">
        <v>1</v>
      </c>
      <c r="G27" s="15">
        <f t="shared" si="13"/>
        <v>14.5</v>
      </c>
      <c r="H27" s="145">
        <v>15.83</v>
      </c>
      <c r="I27" s="146"/>
      <c r="J27" s="45" t="s">
        <v>103</v>
      </c>
      <c r="K27" s="13" t="str">
        <f>IF(C27&lt;10,"D",IF(C27&lt;12,"C",IF(C27&lt;14,"C+",IF(C27&lt;15,"B",IF(C27&lt;16,"B+",IF(C27&lt;18,"A",IF(C27&lt;20,"A+")))))))</f>
        <v>B</v>
      </c>
      <c r="L27" s="11"/>
      <c r="M27" s="11"/>
      <c r="N27" s="16">
        <f t="shared" si="14"/>
        <v>12</v>
      </c>
      <c r="O27" s="16">
        <f t="shared" si="15"/>
        <v>17</v>
      </c>
    </row>
    <row r="28" spans="2:15" ht="16.5" thickBot="1" x14ac:dyDescent="0.3">
      <c r="B28" s="20" t="s">
        <v>37</v>
      </c>
      <c r="C28" s="21"/>
      <c r="D28" s="21"/>
      <c r="E28" s="21"/>
      <c r="F28" s="21"/>
      <c r="G28" s="21"/>
      <c r="H28" s="21"/>
      <c r="I28" s="21"/>
      <c r="J28" s="21"/>
      <c r="K28" s="22"/>
      <c r="L28" s="11"/>
      <c r="M28" s="11"/>
      <c r="N28" s="11">
        <f>SUM(N5:N27)</f>
        <v>298.5</v>
      </c>
      <c r="O28" s="11">
        <f>SUM(O5:O27)</f>
        <v>322.14</v>
      </c>
    </row>
    <row r="29" spans="2:15" ht="16.5" thickBot="1" x14ac:dyDescent="0.3">
      <c r="B29" s="23" t="s">
        <v>35</v>
      </c>
      <c r="C29" s="147">
        <f>(SUM(G25:G27)/SUM(F25:F27))</f>
        <v>14.9375</v>
      </c>
      <c r="D29" s="147"/>
      <c r="E29" s="147"/>
      <c r="F29" s="148" t="s">
        <v>33</v>
      </c>
      <c r="G29" s="148"/>
      <c r="H29" s="24"/>
      <c r="I29" s="106"/>
      <c r="J29" s="106"/>
      <c r="K29" s="107"/>
      <c r="L29" s="11"/>
      <c r="M29" s="11"/>
      <c r="N29" s="11">
        <v>29</v>
      </c>
      <c r="O29" s="11">
        <v>29</v>
      </c>
    </row>
    <row r="30" spans="2:15" ht="16.5" thickBot="1" x14ac:dyDescent="0.3">
      <c r="B30" s="126"/>
      <c r="C30" s="127"/>
      <c r="D30" s="127"/>
      <c r="E30" s="127"/>
      <c r="F30" s="127"/>
      <c r="G30" s="127"/>
      <c r="H30" s="127"/>
      <c r="I30" s="127"/>
      <c r="J30" s="127"/>
      <c r="K30" s="128"/>
      <c r="L30" s="11"/>
      <c r="M30" s="11"/>
      <c r="N30" s="11">
        <f>N28/N29</f>
        <v>10.293103448275861</v>
      </c>
      <c r="O30" s="11">
        <f>O28/O29</f>
        <v>11.108275862068965</v>
      </c>
    </row>
    <row r="31" spans="2:15" ht="48" thickBot="1" x14ac:dyDescent="0.3">
      <c r="B31" s="20" t="s">
        <v>38</v>
      </c>
      <c r="C31" s="25" t="s">
        <v>39</v>
      </c>
      <c r="D31" s="19">
        <v>11.84</v>
      </c>
      <c r="E31" s="26" t="s">
        <v>40</v>
      </c>
      <c r="F31" s="149">
        <v>13.27</v>
      </c>
      <c r="G31" s="149"/>
      <c r="H31" s="26" t="s">
        <v>41</v>
      </c>
      <c r="I31" s="149">
        <v>10.7</v>
      </c>
      <c r="J31" s="149"/>
      <c r="K31" s="27"/>
      <c r="L31" s="28"/>
      <c r="M31" s="28"/>
      <c r="N31" s="28"/>
      <c r="O31" s="28"/>
    </row>
    <row r="32" spans="2:15" ht="15.75" x14ac:dyDescent="0.25">
      <c r="B32" s="162"/>
      <c r="C32" s="163" t="s">
        <v>25</v>
      </c>
      <c r="D32" s="163" t="s">
        <v>26</v>
      </c>
      <c r="E32" s="164"/>
      <c r="F32" s="164"/>
      <c r="G32" s="165"/>
      <c r="H32" s="112"/>
      <c r="I32" s="113"/>
      <c r="J32" s="113"/>
      <c r="K32" s="114"/>
      <c r="L32" s="11"/>
      <c r="M32" s="11"/>
      <c r="N32" s="11"/>
      <c r="O32" s="11"/>
    </row>
    <row r="33" spans="2:15" ht="15.75" x14ac:dyDescent="0.25">
      <c r="B33" s="166" t="s">
        <v>42</v>
      </c>
      <c r="C33" s="167">
        <f>N30</f>
        <v>10.293103448275861</v>
      </c>
      <c r="D33" s="167">
        <f>O30</f>
        <v>11.108275862068965</v>
      </c>
      <c r="E33" s="168" t="s">
        <v>43</v>
      </c>
      <c r="F33" s="169">
        <f>(G5+G6+G7+G8+G12+G13+G14+G15+G19+G20+G21+G25+G26+G27)/29</f>
        <v>10.700689655172413</v>
      </c>
      <c r="G33" s="168" t="s">
        <v>44</v>
      </c>
      <c r="H33" s="150" t="s">
        <v>45</v>
      </c>
      <c r="I33" s="151"/>
      <c r="J33" s="37" t="s">
        <v>86</v>
      </c>
      <c r="K33" s="38" t="s">
        <v>70</v>
      </c>
      <c r="L33" s="11"/>
      <c r="M33" s="11"/>
      <c r="N33" s="11"/>
      <c r="O33" s="11"/>
    </row>
    <row r="34" spans="2:15" ht="16.5" thickBot="1" x14ac:dyDescent="0.3">
      <c r="B34" s="170"/>
      <c r="C34" s="171"/>
      <c r="D34" s="171"/>
      <c r="E34" s="171"/>
      <c r="F34" s="171"/>
      <c r="G34" s="171"/>
      <c r="H34" s="97"/>
      <c r="I34" s="140"/>
      <c r="J34" s="140"/>
      <c r="K34" s="98"/>
      <c r="L34" s="11"/>
      <c r="M34" s="11"/>
      <c r="N34" s="11"/>
      <c r="O34" s="11"/>
    </row>
    <row r="35" spans="2:15" ht="16.5" thickBot="1" x14ac:dyDescent="0.3">
      <c r="B35" s="123" t="s">
        <v>46</v>
      </c>
      <c r="C35" s="124"/>
      <c r="D35" s="124"/>
      <c r="E35" s="124"/>
      <c r="F35" s="124"/>
      <c r="G35" s="124"/>
      <c r="H35" s="124"/>
      <c r="I35" s="124"/>
      <c r="J35" s="124"/>
      <c r="K35" s="125"/>
      <c r="L35" s="11"/>
      <c r="M35" s="11"/>
      <c r="N35" s="11"/>
      <c r="O35" s="11"/>
    </row>
    <row r="36" spans="2:15" ht="16.5" thickBot="1" x14ac:dyDescent="0.3">
      <c r="B36" s="105" t="s">
        <v>47</v>
      </c>
      <c r="C36" s="106"/>
      <c r="D36" s="106"/>
      <c r="E36" s="106"/>
      <c r="F36" s="106"/>
      <c r="G36" s="106"/>
      <c r="H36" s="106"/>
      <c r="I36" s="106"/>
      <c r="J36" s="106"/>
      <c r="K36" s="107"/>
      <c r="L36" s="11"/>
      <c r="M36" s="11"/>
      <c r="N36" s="11"/>
      <c r="O36" s="11"/>
    </row>
    <row r="37" spans="2:15" ht="16.5" thickBot="1" x14ac:dyDescent="0.3">
      <c r="B37" s="20" t="s">
        <v>48</v>
      </c>
      <c r="C37" s="126" t="s">
        <v>49</v>
      </c>
      <c r="D37" s="127"/>
      <c r="E37" s="128"/>
      <c r="F37" s="99" t="s">
        <v>50</v>
      </c>
      <c r="G37" s="100"/>
      <c r="H37" s="100"/>
      <c r="I37" s="100"/>
      <c r="J37" s="100"/>
      <c r="K37" s="101"/>
      <c r="L37" s="11"/>
      <c r="M37" s="11"/>
      <c r="N37" s="11"/>
      <c r="O37" s="11"/>
    </row>
    <row r="38" spans="2:15" ht="16.5" thickBot="1" x14ac:dyDescent="0.3">
      <c r="B38" s="173" t="s">
        <v>51</v>
      </c>
      <c r="C38" s="130" t="str">
        <f>IF(F33&lt;10,"CNA",IF(F33&lt;12,"CMA",IF(F33&lt;14,"CA",IF(F33&lt;16,"CBA",IF(F33&lt;20,"CTBA")))))</f>
        <v>CMA</v>
      </c>
      <c r="D38" s="130" t="e">
        <f>IF(#REF!&lt;10,"D",IF(#REF!&lt;12,"C",IF(#REF!&lt;14,"C+",IF(#REF!&lt;15,"B",IF(#REF!&lt;16,"B+",IF(#REF!&lt;18,"A",IF(#REF!&lt;20,"A+")))))))</f>
        <v>#REF!</v>
      </c>
      <c r="E38" s="131" t="e">
        <f>IF(#REF!&lt;10,"D",IF(#REF!&lt;12,"C",IF(#REF!&lt;14,"C+",IF(#REF!&lt;15,"B",IF(#REF!&lt;16,"B+",IF(#REF!&lt;18,"A",IF(#REF!&lt;20,"A+")))))))</f>
        <v>#REF!</v>
      </c>
      <c r="F38" s="102"/>
      <c r="G38" s="103"/>
      <c r="H38" s="103"/>
      <c r="I38" s="103"/>
      <c r="J38" s="103"/>
      <c r="K38" s="104"/>
      <c r="L38" s="11"/>
      <c r="M38" s="11"/>
      <c r="N38" s="11"/>
      <c r="O38" s="11"/>
    </row>
    <row r="39" spans="2:15" ht="16.5" thickBot="1" x14ac:dyDescent="0.3">
      <c r="B39" s="173" t="s">
        <v>52</v>
      </c>
      <c r="C39" s="172" t="e">
        <f>IF(#REF!&lt;10,"D",IF(#REF!&lt;12,"C",IF(#REF!&lt;14,"C+",IF(#REF!&lt;15,"B",IF(#REF!&lt;16,"B+",IF(#REF!&lt;18,"A",IF(#REF!&lt;20,"A+")))))))</f>
        <v>#REF!</v>
      </c>
      <c r="D39" s="133" t="e">
        <f>IF(#REF!&lt;10,"D",IF(#REF!&lt;12,"C",IF(#REF!&lt;14,"C+",IF(#REF!&lt;15,"B",IF(#REF!&lt;16,"B+",IF(#REF!&lt;18,"A",IF(#REF!&lt;20,"A+")))))))</f>
        <v>#REF!</v>
      </c>
      <c r="E39" s="134" t="e">
        <f>IF(#REF!&lt;10,"D",IF(#REF!&lt;12,"C",IF(#REF!&lt;14,"C+",IF(#REF!&lt;15,"B",IF(#REF!&lt;16,"B+",IF(#REF!&lt;18,"A",IF(#REF!&lt;20,"A+")))))))</f>
        <v>#REF!</v>
      </c>
      <c r="F39" s="105" t="s">
        <v>53</v>
      </c>
      <c r="G39" s="106"/>
      <c r="H39" s="106"/>
      <c r="I39" s="107"/>
      <c r="J39" s="99" t="s">
        <v>54</v>
      </c>
      <c r="K39" s="101"/>
      <c r="L39" s="11"/>
      <c r="M39" s="11"/>
      <c r="N39" s="11"/>
      <c r="O39" s="11"/>
    </row>
    <row r="40" spans="2:15" ht="16.5" thickBot="1" x14ac:dyDescent="0.3">
      <c r="B40" s="40" t="s">
        <v>55</v>
      </c>
      <c r="C40" s="135" t="e">
        <f>IF(#REF!&lt;10,"D",IF(#REF!&lt;12,"C",IF(#REF!&lt;14,"C+",IF(#REF!&lt;15,"B",IF(#REF!&lt;16,"B+",IF(#REF!&lt;18,"A",IF(#REF!&lt;20,"A+")))))))</f>
        <v>#REF!</v>
      </c>
      <c r="D40" s="136" t="e">
        <f>IF(#REF!&lt;10,"D",IF(#REF!&lt;12,"C",IF(#REF!&lt;14,"C+",IF(#REF!&lt;15,"B",IF(#REF!&lt;16,"B+",IF(#REF!&lt;18,"A",IF(#REF!&lt;20,"A+")))))))</f>
        <v>#REF!</v>
      </c>
      <c r="E40" s="137" t="e">
        <f>IF(#REF!&lt;10,"D",IF(#REF!&lt;12,"C",IF(#REF!&lt;14,"C+",IF(#REF!&lt;15,"B",IF(#REF!&lt;16,"B+",IF(#REF!&lt;18,"A",IF(#REF!&lt;20,"A+")))))))</f>
        <v>#REF!</v>
      </c>
      <c r="F40" s="105" t="s">
        <v>56</v>
      </c>
      <c r="G40" s="106"/>
      <c r="H40" s="106"/>
      <c r="I40" s="107"/>
      <c r="J40" s="108" t="s">
        <v>57</v>
      </c>
      <c r="K40" s="109"/>
      <c r="L40" s="11"/>
      <c r="M40" s="11"/>
      <c r="N40" s="11"/>
      <c r="O40" s="11"/>
    </row>
    <row r="41" spans="2:15" ht="16.5" thickBot="1" x14ac:dyDescent="0.3">
      <c r="B41" s="25" t="s">
        <v>58</v>
      </c>
      <c r="C41" s="99" t="s">
        <v>59</v>
      </c>
      <c r="D41" s="100"/>
      <c r="E41" s="101"/>
      <c r="F41" s="105" t="s">
        <v>60</v>
      </c>
      <c r="G41" s="106"/>
      <c r="H41" s="106"/>
      <c r="I41" s="107"/>
      <c r="J41" s="108"/>
      <c r="K41" s="109"/>
      <c r="L41" s="11"/>
      <c r="M41" s="11"/>
      <c r="N41" s="11"/>
      <c r="O41" s="11"/>
    </row>
    <row r="42" spans="2:15" ht="16.5" thickBot="1" x14ac:dyDescent="0.3">
      <c r="B42" s="25" t="s">
        <v>61</v>
      </c>
      <c r="C42" s="102"/>
      <c r="D42" s="103"/>
      <c r="E42" s="104"/>
      <c r="F42" s="105" t="s">
        <v>62</v>
      </c>
      <c r="G42" s="106"/>
      <c r="H42" s="106"/>
      <c r="I42" s="107"/>
      <c r="J42" s="110" t="s">
        <v>63</v>
      </c>
      <c r="K42" s="111"/>
      <c r="L42" s="11"/>
      <c r="M42" s="11"/>
      <c r="N42" s="11"/>
      <c r="O42" s="11"/>
    </row>
    <row r="43" spans="2:15" ht="31.5" x14ac:dyDescent="0.25">
      <c r="B43" s="20" t="s">
        <v>64</v>
      </c>
      <c r="C43" s="112"/>
      <c r="D43" s="113"/>
      <c r="E43" s="114"/>
      <c r="F43" s="112"/>
      <c r="G43" s="113"/>
      <c r="H43" s="113"/>
      <c r="I43" s="114"/>
      <c r="J43" s="110" t="s">
        <v>65</v>
      </c>
      <c r="K43" s="111"/>
      <c r="L43" s="11"/>
      <c r="M43" s="11"/>
      <c r="N43" s="11"/>
      <c r="O43" s="11"/>
    </row>
    <row r="44" spans="2:15" ht="15.75" x14ac:dyDescent="0.25">
      <c r="B44" s="39"/>
      <c r="C44" s="115"/>
      <c r="D44" s="116"/>
      <c r="E44" s="117"/>
      <c r="F44" s="115"/>
      <c r="G44" s="116"/>
      <c r="H44" s="116"/>
      <c r="I44" s="117"/>
      <c r="J44" s="121"/>
      <c r="K44" s="122"/>
      <c r="L44" s="11"/>
      <c r="M44" s="11"/>
      <c r="N44" s="11"/>
      <c r="O44" s="11"/>
    </row>
    <row r="45" spans="2:15" ht="15.75" x14ac:dyDescent="0.25">
      <c r="B45" s="39"/>
      <c r="C45" s="115"/>
      <c r="D45" s="116"/>
      <c r="E45" s="117"/>
      <c r="F45" s="115"/>
      <c r="G45" s="116"/>
      <c r="H45" s="116"/>
      <c r="I45" s="117"/>
      <c r="J45" s="121"/>
      <c r="K45" s="122"/>
      <c r="L45" s="11"/>
      <c r="M45" s="11"/>
      <c r="N45" s="11"/>
      <c r="O45" s="11"/>
    </row>
    <row r="46" spans="2:15" ht="16.5" thickBot="1" x14ac:dyDescent="0.3">
      <c r="B46" s="40"/>
      <c r="C46" s="118"/>
      <c r="D46" s="119"/>
      <c r="E46" s="120"/>
      <c r="F46" s="118"/>
      <c r="G46" s="119"/>
      <c r="H46" s="119"/>
      <c r="I46" s="120"/>
      <c r="J46" s="97"/>
      <c r="K46" s="98"/>
      <c r="L46" s="11"/>
      <c r="M46" s="11"/>
      <c r="N46" s="11"/>
      <c r="O46" s="11"/>
    </row>
  </sheetData>
  <mergeCells count="60">
    <mergeCell ref="H13:I13"/>
    <mergeCell ref="H4:I4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  <mergeCell ref="C23:E23"/>
    <mergeCell ref="F23:G23"/>
    <mergeCell ref="I23:K23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B34:G34"/>
    <mergeCell ref="H34:K34"/>
    <mergeCell ref="B24:K24"/>
    <mergeCell ref="H25:I25"/>
    <mergeCell ref="H26:I26"/>
    <mergeCell ref="H27:I27"/>
    <mergeCell ref="C29:E29"/>
    <mergeCell ref="F29:G29"/>
    <mergeCell ref="I29:K29"/>
    <mergeCell ref="B30:K30"/>
    <mergeCell ref="F31:G31"/>
    <mergeCell ref="I31:J31"/>
    <mergeCell ref="H32:K32"/>
    <mergeCell ref="H33:I33"/>
    <mergeCell ref="B35:K35"/>
    <mergeCell ref="B36:K36"/>
    <mergeCell ref="C37:E37"/>
    <mergeCell ref="F37:K38"/>
    <mergeCell ref="C38:E40"/>
    <mergeCell ref="F39:I39"/>
    <mergeCell ref="J39:K39"/>
    <mergeCell ref="F40:I40"/>
    <mergeCell ref="J40:K40"/>
    <mergeCell ref="J46:K46"/>
    <mergeCell ref="C41:E42"/>
    <mergeCell ref="F41:I41"/>
    <mergeCell ref="J41:K41"/>
    <mergeCell ref="F42:I42"/>
    <mergeCell ref="J42:K42"/>
    <mergeCell ref="C43:E46"/>
    <mergeCell ref="F43:I46"/>
    <mergeCell ref="J43:K43"/>
    <mergeCell ref="J44:K44"/>
    <mergeCell ref="J45:K4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6"/>
  <sheetViews>
    <sheetView topLeftCell="A32" zoomScale="90" zoomScaleNormal="90" workbookViewId="0">
      <selection activeCell="B4" sqref="B4:K46"/>
    </sheetView>
  </sheetViews>
  <sheetFormatPr baseColWidth="10" defaultRowHeight="15" x14ac:dyDescent="0.25"/>
  <cols>
    <col min="2" max="2" width="41.42578125" customWidth="1"/>
    <col min="3" max="3" width="12.140625" customWidth="1"/>
    <col min="5" max="5" width="15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81" t="s">
        <v>23</v>
      </c>
      <c r="C4" s="82" t="s">
        <v>24</v>
      </c>
      <c r="D4" s="82" t="s">
        <v>25</v>
      </c>
      <c r="E4" s="82" t="s">
        <v>26</v>
      </c>
      <c r="F4" s="82" t="s">
        <v>27</v>
      </c>
      <c r="G4" s="81" t="s">
        <v>28</v>
      </c>
      <c r="H4" s="160" t="s">
        <v>29</v>
      </c>
      <c r="I4" s="161"/>
      <c r="J4" s="82" t="s">
        <v>22</v>
      </c>
      <c r="K4" s="82" t="s">
        <v>30</v>
      </c>
      <c r="L4" s="11"/>
      <c r="M4" s="11"/>
      <c r="N4" s="11"/>
      <c r="O4" s="11"/>
    </row>
    <row r="5" spans="2:15" ht="32.25" thickBot="1" x14ac:dyDescent="0.3">
      <c r="B5" s="83" t="s">
        <v>66</v>
      </c>
      <c r="C5" s="42">
        <v>14.5</v>
      </c>
      <c r="D5" s="42"/>
      <c r="E5" s="42">
        <v>14.5</v>
      </c>
      <c r="F5" s="14">
        <v>4</v>
      </c>
      <c r="G5" s="15">
        <f>C5*F5</f>
        <v>58</v>
      </c>
      <c r="H5" s="145">
        <v>12.58</v>
      </c>
      <c r="I5" s="146"/>
      <c r="J5" s="45" t="s">
        <v>106</v>
      </c>
      <c r="K5" s="13" t="str">
        <f>IF(C5&lt;10,"D",IF(C5&lt;12,"C",IF(C5&lt;14,"C+",IF(C5&lt;15,"B",IF(C5&lt;16,"B+",IF(C5&lt;18,"A",IF(C5&lt;20,"A+")))))))</f>
        <v>B</v>
      </c>
      <c r="L5" s="11"/>
      <c r="M5" s="11"/>
      <c r="N5" s="16">
        <f>D5*F5</f>
        <v>0</v>
      </c>
      <c r="O5" s="16">
        <f>E5*F5</f>
        <v>58</v>
      </c>
    </row>
    <row r="6" spans="2:15" ht="32.25" thickBot="1" x14ac:dyDescent="0.3">
      <c r="B6" s="83" t="s">
        <v>91</v>
      </c>
      <c r="C6" s="42">
        <v>13.5</v>
      </c>
      <c r="D6" s="42"/>
      <c r="E6" s="42">
        <v>13.5</v>
      </c>
      <c r="F6" s="14">
        <v>2</v>
      </c>
      <c r="G6" s="15">
        <f t="shared" ref="G6:G8" si="0">C6*F6</f>
        <v>27</v>
      </c>
      <c r="H6" s="145">
        <v>13.33</v>
      </c>
      <c r="I6" s="146"/>
      <c r="J6" s="45" t="s">
        <v>104</v>
      </c>
      <c r="K6" s="13" t="str">
        <f>IF(C6&lt;10,"D",IF(C6&lt;12,"C",IF(C6&lt;14,"C+",IF(C6&lt;15,"B",IF(C6&lt;16,"B+",IF(C6&lt;18,"A",IF(C6&lt;20,"A+")))))))</f>
        <v>C+</v>
      </c>
      <c r="L6" s="11"/>
      <c r="M6" s="11"/>
      <c r="N6" s="16">
        <f t="shared" ref="N6:N8" si="1">D6*F6</f>
        <v>0</v>
      </c>
      <c r="O6" s="16">
        <f t="shared" ref="O6:O8" si="2">E6*F6</f>
        <v>27</v>
      </c>
    </row>
    <row r="7" spans="2:15" ht="32.25" thickBot="1" x14ac:dyDescent="0.3">
      <c r="B7" s="83" t="s">
        <v>92</v>
      </c>
      <c r="C7" s="42">
        <v>11</v>
      </c>
      <c r="D7" s="42"/>
      <c r="E7" s="42">
        <v>11</v>
      </c>
      <c r="F7" s="14">
        <v>3</v>
      </c>
      <c r="G7" s="15">
        <f t="shared" si="0"/>
        <v>33</v>
      </c>
      <c r="H7" s="145">
        <v>12.17</v>
      </c>
      <c r="I7" s="146"/>
      <c r="J7" s="45" t="s">
        <v>102</v>
      </c>
      <c r="K7" s="13" t="str">
        <f>IF(C7&lt;10,"D",IF(C7&lt;12,"C",IF(C7&lt;14,"C+",IF(C7&lt;15,"B",IF(C7&lt;16,"B+",IF(C7&lt;18,"A",IF(C7&lt;20,"A+")))))))</f>
        <v>C</v>
      </c>
      <c r="L7" s="11"/>
      <c r="M7" s="11"/>
      <c r="N7" s="16">
        <f t="shared" si="1"/>
        <v>0</v>
      </c>
      <c r="O7" s="16">
        <f t="shared" si="2"/>
        <v>33</v>
      </c>
    </row>
    <row r="8" spans="2:15" ht="32.25" thickBot="1" x14ac:dyDescent="0.3">
      <c r="B8" s="83" t="s">
        <v>67</v>
      </c>
      <c r="C8" s="42">
        <v>14.5</v>
      </c>
      <c r="D8" s="42"/>
      <c r="E8" s="42">
        <v>14.5</v>
      </c>
      <c r="F8" s="14">
        <v>3</v>
      </c>
      <c r="G8" s="15">
        <f t="shared" si="0"/>
        <v>43.5</v>
      </c>
      <c r="H8" s="145">
        <v>10.46</v>
      </c>
      <c r="I8" s="146"/>
      <c r="J8" s="45" t="s">
        <v>106</v>
      </c>
      <c r="K8" s="13" t="str">
        <f>IF(C8&lt;10,"D",IF(C8&lt;12,"C",IF(C8&lt;14,"C+",IF(C8&lt;15,"B",IF(C8&lt;16,"B+",IF(C8&lt;18,"A",IF(C8&lt;20,"A+")))))))</f>
        <v>B</v>
      </c>
      <c r="L8" s="11"/>
      <c r="M8" s="11"/>
      <c r="N8" s="16">
        <f t="shared" si="1"/>
        <v>0</v>
      </c>
      <c r="O8" s="16">
        <f t="shared" si="2"/>
        <v>43.5</v>
      </c>
    </row>
    <row r="9" spans="2:15" ht="16.5" thickBot="1" x14ac:dyDescent="0.3">
      <c r="B9" s="154" t="s">
        <v>31</v>
      </c>
      <c r="C9" s="155"/>
      <c r="D9" s="155"/>
      <c r="E9" s="155"/>
      <c r="F9" s="155"/>
      <c r="G9" s="155"/>
      <c r="H9" s="155"/>
      <c r="I9" s="155"/>
      <c r="J9" s="155"/>
      <c r="K9" s="156"/>
      <c r="L9" s="11"/>
      <c r="M9" s="11"/>
      <c r="N9" s="11"/>
      <c r="O9" s="11"/>
    </row>
    <row r="10" spans="2:15" ht="16.5" thickBot="1" x14ac:dyDescent="0.3">
      <c r="B10" s="17" t="s">
        <v>32</v>
      </c>
      <c r="C10" s="147">
        <f>(SUM(G5:G8)/SUM(F5:F8))</f>
        <v>13.458333333333334</v>
      </c>
      <c r="D10" s="147"/>
      <c r="E10" s="147"/>
      <c r="F10" s="152" t="s">
        <v>33</v>
      </c>
      <c r="G10" s="152"/>
      <c r="H10" s="84"/>
      <c r="I10" s="149"/>
      <c r="J10" s="149"/>
      <c r="K10" s="153"/>
      <c r="L10" s="11"/>
      <c r="M10" s="11"/>
      <c r="N10" s="11"/>
      <c r="O10" s="11"/>
    </row>
    <row r="11" spans="2:15" ht="16.5" thickBot="1" x14ac:dyDescent="0.3">
      <c r="B11" s="141"/>
      <c r="C11" s="142"/>
      <c r="D11" s="142"/>
      <c r="E11" s="142"/>
      <c r="F11" s="142"/>
      <c r="G11" s="142"/>
      <c r="H11" s="142"/>
      <c r="I11" s="142"/>
      <c r="J11" s="142"/>
      <c r="K11" s="144"/>
      <c r="L11" s="11"/>
      <c r="M11" s="11"/>
      <c r="N11" s="11"/>
      <c r="O11" s="11"/>
    </row>
    <row r="12" spans="2:15" ht="32.25" thickBot="1" x14ac:dyDescent="0.3">
      <c r="B12" s="83" t="s">
        <v>93</v>
      </c>
      <c r="C12" s="43">
        <v>10</v>
      </c>
      <c r="D12" s="43"/>
      <c r="E12" s="43">
        <v>10</v>
      </c>
      <c r="F12" s="14">
        <v>2</v>
      </c>
      <c r="G12" s="15">
        <f t="shared" ref="G12:G15" si="3">C12*F12</f>
        <v>20</v>
      </c>
      <c r="H12" s="145">
        <v>11.5</v>
      </c>
      <c r="I12" s="146"/>
      <c r="J12" s="45" t="s">
        <v>103</v>
      </c>
      <c r="K12" s="13" t="str">
        <f>IF(C12&lt;10,"D",IF(C12&lt;12,"C",IF(C12&lt;14,"C+",IF(C12&lt;15,"B",IF(C12&lt;16,"B+",IF(C12&lt;18,"A",IF(C12&lt;20,"A+")))))))</f>
        <v>C</v>
      </c>
      <c r="L12" s="11"/>
      <c r="M12" s="11"/>
      <c r="N12" s="16">
        <f t="shared" ref="N12:N15" si="4">D12*F12</f>
        <v>0</v>
      </c>
      <c r="O12" s="16">
        <f t="shared" ref="O12:O15" si="5">E12*F12</f>
        <v>20</v>
      </c>
    </row>
    <row r="13" spans="2:15" ht="32.25" thickBot="1" x14ac:dyDescent="0.3">
      <c r="B13" s="83" t="s">
        <v>94</v>
      </c>
      <c r="C13" s="42">
        <v>9</v>
      </c>
      <c r="D13" s="42"/>
      <c r="E13" s="42">
        <v>9</v>
      </c>
      <c r="F13" s="14">
        <v>2</v>
      </c>
      <c r="G13" s="15">
        <f t="shared" si="3"/>
        <v>18</v>
      </c>
      <c r="H13" s="145">
        <v>11.83</v>
      </c>
      <c r="I13" s="146"/>
      <c r="J13" s="45" t="s">
        <v>102</v>
      </c>
      <c r="K13" s="13" t="str">
        <f>IF(C13&lt;10,"D",IF(C13&lt;12,"C",IF(C13&lt;14,"C+",IF(C13&lt;15,"B",IF(C13&lt;16,"B+",IF(C13&lt;18,"A",IF(C13&lt;20,"A+")))))))</f>
        <v>D</v>
      </c>
      <c r="L13" s="11"/>
      <c r="M13" s="11"/>
      <c r="N13" s="16">
        <f t="shared" si="4"/>
        <v>0</v>
      </c>
      <c r="O13" s="16">
        <f t="shared" si="5"/>
        <v>18</v>
      </c>
    </row>
    <row r="14" spans="2:15" ht="32.25" thickBot="1" x14ac:dyDescent="0.3">
      <c r="B14" s="83" t="s">
        <v>68</v>
      </c>
      <c r="C14" s="42">
        <v>4</v>
      </c>
      <c r="D14" s="42"/>
      <c r="E14" s="42">
        <v>4</v>
      </c>
      <c r="F14" s="14">
        <v>2</v>
      </c>
      <c r="G14" s="15">
        <f t="shared" si="3"/>
        <v>8</v>
      </c>
      <c r="H14" s="145">
        <v>8</v>
      </c>
      <c r="I14" s="146"/>
      <c r="J14" s="45" t="s">
        <v>102</v>
      </c>
      <c r="K14" s="13" t="str">
        <f>IF(C14&lt;10,"D",IF(C14&lt;12,"C",IF(C14&lt;14,"C+",IF(C14&lt;15,"B",IF(C14&lt;16,"B+",IF(C14&lt;18,"A",IF(C14&lt;20,"A+")))))))</f>
        <v>D</v>
      </c>
      <c r="L14" s="11"/>
      <c r="M14" s="11"/>
      <c r="N14" s="16">
        <f t="shared" si="4"/>
        <v>0</v>
      </c>
      <c r="O14" s="16">
        <f t="shared" si="5"/>
        <v>8</v>
      </c>
    </row>
    <row r="15" spans="2:15" ht="32.25" thickBot="1" x14ac:dyDescent="0.3">
      <c r="B15" s="83" t="s">
        <v>95</v>
      </c>
      <c r="C15" s="42">
        <v>13.6</v>
      </c>
      <c r="D15" s="42"/>
      <c r="E15" s="42">
        <v>13.6</v>
      </c>
      <c r="F15" s="14">
        <v>2</v>
      </c>
      <c r="G15" s="15">
        <f t="shared" si="3"/>
        <v>27.2</v>
      </c>
      <c r="H15" s="145">
        <v>13.87</v>
      </c>
      <c r="I15" s="146"/>
      <c r="J15" s="45" t="s">
        <v>103</v>
      </c>
      <c r="K15" s="13" t="str">
        <f>IF(C15&lt;10,"D",IF(C15&lt;12,"C",IF(C15&lt;14,"C+",IF(C15&lt;15,"B",IF(C15&lt;16,"B+",IF(C15&lt;18,"A",IF(C15&lt;20,"A+")))))))</f>
        <v>C+</v>
      </c>
      <c r="L15" s="11"/>
      <c r="M15" s="11"/>
      <c r="N15" s="16">
        <f t="shared" si="4"/>
        <v>0</v>
      </c>
      <c r="O15" s="16">
        <f t="shared" si="5"/>
        <v>27.2</v>
      </c>
    </row>
    <row r="16" spans="2:15" ht="16.5" thickBot="1" x14ac:dyDescent="0.3">
      <c r="B16" s="154" t="s">
        <v>34</v>
      </c>
      <c r="C16" s="155"/>
      <c r="D16" s="155"/>
      <c r="E16" s="155"/>
      <c r="F16" s="155"/>
      <c r="G16" s="155"/>
      <c r="H16" s="155"/>
      <c r="I16" s="155"/>
      <c r="J16" s="155"/>
      <c r="K16" s="156"/>
      <c r="L16" s="11"/>
      <c r="M16" s="11"/>
      <c r="N16" s="11"/>
      <c r="O16" s="11"/>
    </row>
    <row r="17" spans="2:15" ht="16.5" thickBot="1" x14ac:dyDescent="0.3">
      <c r="B17" s="17" t="s">
        <v>35</v>
      </c>
      <c r="C17" s="147">
        <f>(SUM(G12:G15)/SUM(F12:F15))</f>
        <v>9.15</v>
      </c>
      <c r="D17" s="147"/>
      <c r="E17" s="147"/>
      <c r="F17" s="152" t="s">
        <v>33</v>
      </c>
      <c r="G17" s="152"/>
      <c r="H17" s="84"/>
      <c r="I17" s="149"/>
      <c r="J17" s="149"/>
      <c r="K17" s="153"/>
      <c r="L17" s="11"/>
      <c r="M17" s="11"/>
      <c r="N17" s="11"/>
      <c r="O17" s="11"/>
    </row>
    <row r="18" spans="2:15" ht="16.5" thickBot="1" x14ac:dyDescent="0.3">
      <c r="B18" s="157"/>
      <c r="C18" s="158"/>
      <c r="D18" s="158"/>
      <c r="E18" s="158"/>
      <c r="F18" s="158"/>
      <c r="G18" s="158"/>
      <c r="H18" s="158"/>
      <c r="I18" s="158"/>
      <c r="J18" s="158"/>
      <c r="K18" s="159"/>
      <c r="L18" s="11"/>
      <c r="M18" s="11"/>
      <c r="N18" s="11"/>
      <c r="O18" s="11"/>
    </row>
    <row r="19" spans="2:15" ht="32.25" thickBot="1" x14ac:dyDescent="0.3">
      <c r="B19" s="83" t="s">
        <v>96</v>
      </c>
      <c r="C19" s="42">
        <v>8.25</v>
      </c>
      <c r="D19" s="42"/>
      <c r="E19" s="42">
        <v>8.25</v>
      </c>
      <c r="F19" s="14">
        <v>2</v>
      </c>
      <c r="G19" s="15">
        <f t="shared" ref="G19:G21" si="6">C19*F19</f>
        <v>16.5</v>
      </c>
      <c r="H19" s="145">
        <v>7.75</v>
      </c>
      <c r="I19" s="146"/>
      <c r="J19" s="45" t="s">
        <v>106</v>
      </c>
      <c r="K19" s="13" t="str">
        <f>IF(C19&lt;10,"D",IF(C19&lt;12,"C",IF(C19&lt;14,"C+",IF(C19&lt;15,"B",IF(C19&lt;16,"B+",IF(C19&lt;18,"A",IF(C19&lt;20,"A+")))))))</f>
        <v>D</v>
      </c>
      <c r="L19" s="11"/>
      <c r="M19" s="11"/>
      <c r="N19" s="16">
        <f t="shared" ref="N19:N21" si="7">D19*F19</f>
        <v>0</v>
      </c>
      <c r="O19" s="16">
        <f t="shared" ref="O19:O21" si="8">E19*F19</f>
        <v>16.5</v>
      </c>
    </row>
    <row r="20" spans="2:15" ht="32.25" thickBot="1" x14ac:dyDescent="0.3">
      <c r="B20" s="83" t="s">
        <v>97</v>
      </c>
      <c r="C20" s="42">
        <v>2</v>
      </c>
      <c r="D20" s="42"/>
      <c r="E20" s="42">
        <v>2</v>
      </c>
      <c r="F20" s="14">
        <v>2</v>
      </c>
      <c r="G20" s="15">
        <f t="shared" si="6"/>
        <v>4</v>
      </c>
      <c r="H20" s="145">
        <v>7.83</v>
      </c>
      <c r="I20" s="146"/>
      <c r="J20" s="45" t="s">
        <v>102</v>
      </c>
      <c r="K20" s="13" t="str">
        <f>IF(C20&lt;10,"D",IF(C20&lt;12,"C",IF(C20&lt;14,"C+",IF(C20&lt;15,"B",IF(C20&lt;16,"B+",IF(C20&lt;18,"A",IF(C20&lt;20,"A+")))))))</f>
        <v>D</v>
      </c>
      <c r="L20" s="11"/>
      <c r="M20" s="11"/>
      <c r="N20" s="16">
        <f t="shared" si="7"/>
        <v>0</v>
      </c>
      <c r="O20" s="16">
        <f t="shared" si="8"/>
        <v>4</v>
      </c>
    </row>
    <row r="21" spans="2:15" ht="32.25" thickBot="1" x14ac:dyDescent="0.3">
      <c r="B21" s="83" t="s">
        <v>98</v>
      </c>
      <c r="C21" s="42">
        <v>14</v>
      </c>
      <c r="D21" s="42"/>
      <c r="E21" s="42">
        <v>14</v>
      </c>
      <c r="F21" s="14">
        <v>1</v>
      </c>
      <c r="G21" s="15">
        <f t="shared" si="6"/>
        <v>14</v>
      </c>
      <c r="H21" s="145">
        <v>13.58</v>
      </c>
      <c r="I21" s="146"/>
      <c r="J21" s="45" t="s">
        <v>103</v>
      </c>
      <c r="K21" s="13" t="str">
        <f>IF(C21&lt;10,"D",IF(C21&lt;12,"C",IF(C21&lt;14,"C+",IF(C21&lt;15,"B",IF(C21&lt;16,"B+",IF(C21&lt;18,"A",IF(C21&lt;20,"A+")))))))</f>
        <v>B</v>
      </c>
      <c r="L21" s="11"/>
      <c r="M21" s="11"/>
      <c r="N21" s="16">
        <f t="shared" si="7"/>
        <v>0</v>
      </c>
      <c r="O21" s="16">
        <f t="shared" si="8"/>
        <v>14</v>
      </c>
    </row>
    <row r="22" spans="2:15" ht="16.5" thickBot="1" x14ac:dyDescent="0.3">
      <c r="B22" s="154" t="s">
        <v>36</v>
      </c>
      <c r="C22" s="155"/>
      <c r="D22" s="155"/>
      <c r="E22" s="155"/>
      <c r="F22" s="155"/>
      <c r="G22" s="155"/>
      <c r="H22" s="155"/>
      <c r="I22" s="155"/>
      <c r="J22" s="155"/>
      <c r="K22" s="156"/>
      <c r="L22" s="11"/>
      <c r="M22" s="11"/>
      <c r="N22" s="11"/>
      <c r="O22" s="11"/>
    </row>
    <row r="23" spans="2:15" ht="16.5" thickBot="1" x14ac:dyDescent="0.3">
      <c r="B23" s="17" t="s">
        <v>32</v>
      </c>
      <c r="C23" s="147">
        <f>(SUM(G19:G21)/SUM(F19:F21))</f>
        <v>6.9</v>
      </c>
      <c r="D23" s="147"/>
      <c r="E23" s="147"/>
      <c r="F23" s="152" t="s">
        <v>33</v>
      </c>
      <c r="G23" s="152"/>
      <c r="H23" s="84"/>
      <c r="I23" s="149"/>
      <c r="J23" s="149"/>
      <c r="K23" s="153"/>
      <c r="L23" s="11"/>
      <c r="M23" s="11"/>
      <c r="N23" s="11"/>
      <c r="O23" s="11"/>
    </row>
    <row r="24" spans="2:15" ht="16.5" thickBot="1" x14ac:dyDescent="0.3">
      <c r="B24" s="141"/>
      <c r="C24" s="142"/>
      <c r="D24" s="142"/>
      <c r="E24" s="142"/>
      <c r="F24" s="142"/>
      <c r="G24" s="142"/>
      <c r="H24" s="143"/>
      <c r="I24" s="143"/>
      <c r="J24" s="143"/>
      <c r="K24" s="144"/>
      <c r="L24" s="11"/>
      <c r="M24" s="11"/>
      <c r="N24" s="11"/>
      <c r="O24" s="11"/>
    </row>
    <row r="25" spans="2:15" ht="32.25" thickBot="1" x14ac:dyDescent="0.3">
      <c r="B25" s="83" t="s">
        <v>69</v>
      </c>
      <c r="C25" s="42">
        <v>16.25</v>
      </c>
      <c r="D25" s="42"/>
      <c r="E25" s="42">
        <v>16.25</v>
      </c>
      <c r="F25" s="14">
        <v>2</v>
      </c>
      <c r="G25" s="15">
        <f t="shared" ref="G25:G27" si="9">C25*F25</f>
        <v>32.5</v>
      </c>
      <c r="H25" s="145">
        <v>15.13</v>
      </c>
      <c r="I25" s="146"/>
      <c r="J25" s="45" t="s">
        <v>106</v>
      </c>
      <c r="K25" s="13" t="str">
        <f>IF(C25&lt;10,"D",IF(C25&lt;12,"C",IF(C25&lt;14,"C+",IF(C25&lt;15,"B",IF(C25&lt;16,"B+",IF(C25&lt;18,"A",IF(C25&lt;20,"A+")))))))</f>
        <v>A</v>
      </c>
      <c r="L25" s="11"/>
      <c r="M25" s="11"/>
      <c r="N25" s="16">
        <f t="shared" ref="N25:N27" si="10">D25*F25</f>
        <v>0</v>
      </c>
      <c r="O25" s="16">
        <f t="shared" ref="O25:O27" si="11">E25*F25</f>
        <v>32.5</v>
      </c>
    </row>
    <row r="26" spans="2:15" ht="33" customHeight="1" thickBot="1" x14ac:dyDescent="0.3">
      <c r="B26" s="44" t="s">
        <v>99</v>
      </c>
      <c r="C26" s="42">
        <v>16.5</v>
      </c>
      <c r="D26" s="42"/>
      <c r="E26" s="42">
        <v>16.5</v>
      </c>
      <c r="F26" s="14">
        <v>1</v>
      </c>
      <c r="G26" s="15">
        <f t="shared" si="9"/>
        <v>16.5</v>
      </c>
      <c r="H26" s="145">
        <v>17.329999999999998</v>
      </c>
      <c r="I26" s="146"/>
      <c r="J26" s="45" t="s">
        <v>102</v>
      </c>
      <c r="K26" s="13" t="str">
        <f>IF(C26&lt;10,"D",IF(C26&lt;12,"C",IF(C26&lt;14,"C+",IF(C26&lt;15,"B",IF(C26&lt;16,"B+",IF(C26&lt;18,"A",IF(C26&lt;20,"A+")))))))</f>
        <v>A</v>
      </c>
      <c r="L26" s="11"/>
      <c r="M26" s="11"/>
      <c r="N26" s="16">
        <f t="shared" si="10"/>
        <v>0</v>
      </c>
      <c r="O26" s="16">
        <f t="shared" si="11"/>
        <v>16.5</v>
      </c>
    </row>
    <row r="27" spans="2:15" ht="32.25" thickBot="1" x14ac:dyDescent="0.3">
      <c r="B27" s="83" t="s">
        <v>100</v>
      </c>
      <c r="C27" s="42">
        <v>17</v>
      </c>
      <c r="D27" s="42"/>
      <c r="E27" s="42">
        <v>17</v>
      </c>
      <c r="F27" s="14">
        <v>1</v>
      </c>
      <c r="G27" s="15">
        <f t="shared" si="9"/>
        <v>17</v>
      </c>
      <c r="H27" s="145">
        <v>15.83</v>
      </c>
      <c r="I27" s="146"/>
      <c r="J27" s="45" t="s">
        <v>106</v>
      </c>
      <c r="K27" s="13" t="str">
        <f>IF(C27&lt;10,"D",IF(C27&lt;12,"C",IF(C27&lt;14,"C+",IF(C27&lt;15,"B",IF(C27&lt;16,"B+",IF(C27&lt;18,"A",IF(C27&lt;20,"A+")))))))</f>
        <v>A</v>
      </c>
      <c r="L27" s="11"/>
      <c r="M27" s="11"/>
      <c r="N27" s="16">
        <f t="shared" si="10"/>
        <v>0</v>
      </c>
      <c r="O27" s="16">
        <f t="shared" si="11"/>
        <v>17</v>
      </c>
    </row>
    <row r="28" spans="2:15" ht="16.5" thickBot="1" x14ac:dyDescent="0.3">
      <c r="B28" s="20" t="s">
        <v>37</v>
      </c>
      <c r="C28" s="21"/>
      <c r="D28" s="21"/>
      <c r="E28" s="21"/>
      <c r="F28" s="21"/>
      <c r="G28" s="21"/>
      <c r="H28" s="21"/>
      <c r="I28" s="21"/>
      <c r="J28" s="21"/>
      <c r="K28" s="22"/>
      <c r="L28" s="11"/>
      <c r="M28" s="11"/>
      <c r="N28" s="11">
        <f>SUM(N5:N27)</f>
        <v>0</v>
      </c>
      <c r="O28" s="11">
        <f>SUM(O5:O27)</f>
        <v>335.2</v>
      </c>
    </row>
    <row r="29" spans="2:15" ht="16.5" thickBot="1" x14ac:dyDescent="0.3">
      <c r="B29" s="23" t="s">
        <v>35</v>
      </c>
      <c r="C29" s="147">
        <f>(SUM(G25:G27)/SUM(F25:F27))</f>
        <v>16.5</v>
      </c>
      <c r="D29" s="147"/>
      <c r="E29" s="147"/>
      <c r="F29" s="148" t="s">
        <v>33</v>
      </c>
      <c r="G29" s="148"/>
      <c r="H29" s="85"/>
      <c r="I29" s="106"/>
      <c r="J29" s="106"/>
      <c r="K29" s="107"/>
      <c r="L29" s="11"/>
      <c r="M29" s="11"/>
      <c r="N29" s="11">
        <v>29</v>
      </c>
      <c r="O29" s="11">
        <v>29</v>
      </c>
    </row>
    <row r="30" spans="2:15" ht="16.5" thickBot="1" x14ac:dyDescent="0.3">
      <c r="B30" s="126"/>
      <c r="C30" s="127"/>
      <c r="D30" s="127"/>
      <c r="E30" s="127"/>
      <c r="F30" s="127"/>
      <c r="G30" s="127"/>
      <c r="H30" s="127"/>
      <c r="I30" s="127"/>
      <c r="J30" s="127"/>
      <c r="K30" s="128"/>
      <c r="L30" s="11"/>
      <c r="M30" s="11"/>
      <c r="N30" s="11">
        <f>N28/N29</f>
        <v>0</v>
      </c>
      <c r="O30" s="11">
        <f>O28/O29</f>
        <v>11.558620689655172</v>
      </c>
    </row>
    <row r="31" spans="2:15" ht="48" thickBot="1" x14ac:dyDescent="0.3">
      <c r="B31" s="20" t="s">
        <v>38</v>
      </c>
      <c r="C31" s="25" t="s">
        <v>39</v>
      </c>
      <c r="D31" s="84">
        <v>11.84</v>
      </c>
      <c r="E31" s="26" t="s">
        <v>40</v>
      </c>
      <c r="F31" s="149">
        <v>13.27</v>
      </c>
      <c r="G31" s="149"/>
      <c r="H31" s="26" t="s">
        <v>41</v>
      </c>
      <c r="I31" s="149">
        <v>10.7</v>
      </c>
      <c r="J31" s="149"/>
      <c r="K31" s="27"/>
      <c r="L31" s="28"/>
      <c r="M31" s="28"/>
      <c r="N31" s="28"/>
      <c r="O31" s="28"/>
    </row>
    <row r="32" spans="2:15" ht="15.75" x14ac:dyDescent="0.25">
      <c r="B32" s="162"/>
      <c r="C32" s="163" t="s">
        <v>25</v>
      </c>
      <c r="D32" s="163" t="s">
        <v>26</v>
      </c>
      <c r="E32" s="164"/>
      <c r="F32" s="164"/>
      <c r="G32" s="165"/>
      <c r="H32" s="112"/>
      <c r="I32" s="113"/>
      <c r="J32" s="113"/>
      <c r="K32" s="114"/>
      <c r="L32" s="11"/>
      <c r="M32" s="11"/>
      <c r="N32" s="11"/>
      <c r="O32" s="11"/>
    </row>
    <row r="33" spans="2:15" ht="15.75" x14ac:dyDescent="0.25">
      <c r="B33" s="166" t="s">
        <v>42</v>
      </c>
      <c r="C33" s="167"/>
      <c r="D33" s="167">
        <f>O30</f>
        <v>11.558620689655172</v>
      </c>
      <c r="E33" s="168" t="s">
        <v>43</v>
      </c>
      <c r="F33" s="169">
        <f>(G5+G6+G7+G8+G12+G13+G14+G15+G19+G20+G21+G25+G26+G27)/29</f>
        <v>11.558620689655172</v>
      </c>
      <c r="G33" s="168" t="s">
        <v>44</v>
      </c>
      <c r="H33" s="150" t="s">
        <v>45</v>
      </c>
      <c r="I33" s="151"/>
      <c r="J33" s="37" t="s">
        <v>85</v>
      </c>
      <c r="K33" s="38" t="s">
        <v>70</v>
      </c>
      <c r="L33" s="11"/>
      <c r="M33" s="11"/>
      <c r="N33" s="11"/>
      <c r="O33" s="11"/>
    </row>
    <row r="34" spans="2:15" ht="16.5" thickBot="1" x14ac:dyDescent="0.3">
      <c r="B34" s="170"/>
      <c r="C34" s="171"/>
      <c r="D34" s="171"/>
      <c r="E34" s="171"/>
      <c r="F34" s="171"/>
      <c r="G34" s="171"/>
      <c r="H34" s="97"/>
      <c r="I34" s="140"/>
      <c r="J34" s="140"/>
      <c r="K34" s="98"/>
      <c r="L34" s="11"/>
      <c r="M34" s="11"/>
      <c r="N34" s="11"/>
      <c r="O34" s="11"/>
    </row>
    <row r="35" spans="2:15" ht="16.5" thickBot="1" x14ac:dyDescent="0.3">
      <c r="B35" s="123" t="s">
        <v>46</v>
      </c>
      <c r="C35" s="124"/>
      <c r="D35" s="124"/>
      <c r="E35" s="124"/>
      <c r="F35" s="124"/>
      <c r="G35" s="124"/>
      <c r="H35" s="124"/>
      <c r="I35" s="124"/>
      <c r="J35" s="124"/>
      <c r="K35" s="125"/>
      <c r="L35" s="11"/>
      <c r="M35" s="11"/>
      <c r="N35" s="11"/>
      <c r="O35" s="11"/>
    </row>
    <row r="36" spans="2:15" ht="16.5" thickBot="1" x14ac:dyDescent="0.3">
      <c r="B36" s="105" t="s">
        <v>47</v>
      </c>
      <c r="C36" s="106"/>
      <c r="D36" s="106"/>
      <c r="E36" s="106"/>
      <c r="F36" s="106"/>
      <c r="G36" s="106"/>
      <c r="H36" s="106"/>
      <c r="I36" s="106"/>
      <c r="J36" s="106"/>
      <c r="K36" s="107"/>
      <c r="L36" s="11"/>
      <c r="M36" s="11"/>
      <c r="N36" s="11"/>
      <c r="O36" s="11"/>
    </row>
    <row r="37" spans="2:15" ht="16.5" thickBot="1" x14ac:dyDescent="0.3">
      <c r="B37" s="20" t="s">
        <v>48</v>
      </c>
      <c r="C37" s="126" t="s">
        <v>49</v>
      </c>
      <c r="D37" s="127"/>
      <c r="E37" s="128"/>
      <c r="F37" s="99" t="s">
        <v>50</v>
      </c>
      <c r="G37" s="100"/>
      <c r="H37" s="100"/>
      <c r="I37" s="100"/>
      <c r="J37" s="100"/>
      <c r="K37" s="101"/>
      <c r="L37" s="11"/>
      <c r="M37" s="11"/>
      <c r="N37" s="11"/>
      <c r="O37" s="11"/>
    </row>
    <row r="38" spans="2:15" ht="16.5" thickBot="1" x14ac:dyDescent="0.3">
      <c r="B38" s="173" t="s">
        <v>51</v>
      </c>
      <c r="C38" s="130" t="str">
        <f>IF(F33&lt;10,"CNA",IF(F33&lt;12,"CMA",IF(F33&lt;14,"CA",IF(F33&lt;16,"CBA",IF(F33&lt;20,"CTBA")))))</f>
        <v>CMA</v>
      </c>
      <c r="D38" s="130" t="e">
        <f>IF(#REF!&lt;10,"D",IF(#REF!&lt;12,"C",IF(#REF!&lt;14,"C+",IF(#REF!&lt;15,"B",IF(#REF!&lt;16,"B+",IF(#REF!&lt;18,"A",IF(#REF!&lt;20,"A+")))))))</f>
        <v>#REF!</v>
      </c>
      <c r="E38" s="131" t="e">
        <f>IF(#REF!&lt;10,"D",IF(#REF!&lt;12,"C",IF(#REF!&lt;14,"C+",IF(#REF!&lt;15,"B",IF(#REF!&lt;16,"B+",IF(#REF!&lt;18,"A",IF(#REF!&lt;20,"A+")))))))</f>
        <v>#REF!</v>
      </c>
      <c r="F38" s="102"/>
      <c r="G38" s="103"/>
      <c r="H38" s="103"/>
      <c r="I38" s="103"/>
      <c r="J38" s="103"/>
      <c r="K38" s="104"/>
      <c r="L38" s="11"/>
      <c r="M38" s="11"/>
      <c r="N38" s="11"/>
      <c r="O38" s="11"/>
    </row>
    <row r="39" spans="2:15" ht="16.5" thickBot="1" x14ac:dyDescent="0.3">
      <c r="B39" s="173" t="s">
        <v>52</v>
      </c>
      <c r="C39" s="172" t="e">
        <f>IF(#REF!&lt;10,"D",IF(#REF!&lt;12,"C",IF(#REF!&lt;14,"C+",IF(#REF!&lt;15,"B",IF(#REF!&lt;16,"B+",IF(#REF!&lt;18,"A",IF(#REF!&lt;20,"A+")))))))</f>
        <v>#REF!</v>
      </c>
      <c r="D39" s="133" t="e">
        <f>IF(#REF!&lt;10,"D",IF(#REF!&lt;12,"C",IF(#REF!&lt;14,"C+",IF(#REF!&lt;15,"B",IF(#REF!&lt;16,"B+",IF(#REF!&lt;18,"A",IF(#REF!&lt;20,"A+")))))))</f>
        <v>#REF!</v>
      </c>
      <c r="E39" s="134" t="e">
        <f>IF(#REF!&lt;10,"D",IF(#REF!&lt;12,"C",IF(#REF!&lt;14,"C+",IF(#REF!&lt;15,"B",IF(#REF!&lt;16,"B+",IF(#REF!&lt;18,"A",IF(#REF!&lt;20,"A+")))))))</f>
        <v>#REF!</v>
      </c>
      <c r="F39" s="105" t="s">
        <v>53</v>
      </c>
      <c r="G39" s="106"/>
      <c r="H39" s="106"/>
      <c r="I39" s="107"/>
      <c r="J39" s="99" t="s">
        <v>54</v>
      </c>
      <c r="K39" s="101"/>
      <c r="L39" s="11"/>
      <c r="M39" s="11"/>
      <c r="N39" s="11"/>
      <c r="O39" s="11"/>
    </row>
    <row r="40" spans="2:15" ht="16.5" thickBot="1" x14ac:dyDescent="0.3">
      <c r="B40" s="40" t="s">
        <v>55</v>
      </c>
      <c r="C40" s="135" t="e">
        <f>IF(#REF!&lt;10,"D",IF(#REF!&lt;12,"C",IF(#REF!&lt;14,"C+",IF(#REF!&lt;15,"B",IF(#REF!&lt;16,"B+",IF(#REF!&lt;18,"A",IF(#REF!&lt;20,"A+")))))))</f>
        <v>#REF!</v>
      </c>
      <c r="D40" s="136" t="e">
        <f>IF(#REF!&lt;10,"D",IF(#REF!&lt;12,"C",IF(#REF!&lt;14,"C+",IF(#REF!&lt;15,"B",IF(#REF!&lt;16,"B+",IF(#REF!&lt;18,"A",IF(#REF!&lt;20,"A+")))))))</f>
        <v>#REF!</v>
      </c>
      <c r="E40" s="137" t="e">
        <f>IF(#REF!&lt;10,"D",IF(#REF!&lt;12,"C",IF(#REF!&lt;14,"C+",IF(#REF!&lt;15,"B",IF(#REF!&lt;16,"B+",IF(#REF!&lt;18,"A",IF(#REF!&lt;20,"A+")))))))</f>
        <v>#REF!</v>
      </c>
      <c r="F40" s="105" t="s">
        <v>56</v>
      </c>
      <c r="G40" s="106"/>
      <c r="H40" s="106"/>
      <c r="I40" s="107"/>
      <c r="J40" s="108" t="s">
        <v>57</v>
      </c>
      <c r="K40" s="109"/>
      <c r="L40" s="11"/>
      <c r="M40" s="11"/>
      <c r="N40" s="11"/>
      <c r="O40" s="11"/>
    </row>
    <row r="41" spans="2:15" ht="16.5" thickBot="1" x14ac:dyDescent="0.3">
      <c r="B41" s="25" t="s">
        <v>58</v>
      </c>
      <c r="C41" s="99" t="s">
        <v>59</v>
      </c>
      <c r="D41" s="100"/>
      <c r="E41" s="101"/>
      <c r="F41" s="105" t="s">
        <v>60</v>
      </c>
      <c r="G41" s="106"/>
      <c r="H41" s="106"/>
      <c r="I41" s="107"/>
      <c r="J41" s="108"/>
      <c r="K41" s="109"/>
      <c r="L41" s="11"/>
      <c r="M41" s="11"/>
      <c r="N41" s="11"/>
      <c r="O41" s="11"/>
    </row>
    <row r="42" spans="2:15" ht="16.5" thickBot="1" x14ac:dyDescent="0.3">
      <c r="B42" s="25" t="s">
        <v>61</v>
      </c>
      <c r="C42" s="102"/>
      <c r="D42" s="103"/>
      <c r="E42" s="104"/>
      <c r="F42" s="105" t="s">
        <v>62</v>
      </c>
      <c r="G42" s="106"/>
      <c r="H42" s="106"/>
      <c r="I42" s="107"/>
      <c r="J42" s="110" t="s">
        <v>63</v>
      </c>
      <c r="K42" s="111"/>
      <c r="L42" s="11"/>
      <c r="M42" s="11"/>
      <c r="N42" s="11"/>
      <c r="O42" s="11"/>
    </row>
    <row r="43" spans="2:15" ht="31.5" x14ac:dyDescent="0.25">
      <c r="B43" s="20" t="s">
        <v>64</v>
      </c>
      <c r="C43" s="112"/>
      <c r="D43" s="113"/>
      <c r="E43" s="114"/>
      <c r="F43" s="112"/>
      <c r="G43" s="113"/>
      <c r="H43" s="113"/>
      <c r="I43" s="114"/>
      <c r="J43" s="110" t="s">
        <v>65</v>
      </c>
      <c r="K43" s="111"/>
      <c r="L43" s="11"/>
      <c r="M43" s="11"/>
      <c r="N43" s="11"/>
      <c r="O43" s="11"/>
    </row>
    <row r="44" spans="2:15" ht="15.75" x14ac:dyDescent="0.25">
      <c r="B44" s="39"/>
      <c r="C44" s="115"/>
      <c r="D44" s="116"/>
      <c r="E44" s="117"/>
      <c r="F44" s="115"/>
      <c r="G44" s="116"/>
      <c r="H44" s="116"/>
      <c r="I44" s="117"/>
      <c r="J44" s="121"/>
      <c r="K44" s="122"/>
      <c r="L44" s="11"/>
      <c r="M44" s="11"/>
      <c r="N44" s="11"/>
      <c r="O44" s="11"/>
    </row>
    <row r="45" spans="2:15" ht="15.75" x14ac:dyDescent="0.25">
      <c r="B45" s="39"/>
      <c r="C45" s="115"/>
      <c r="D45" s="116"/>
      <c r="E45" s="117"/>
      <c r="F45" s="115"/>
      <c r="G45" s="116"/>
      <c r="H45" s="116"/>
      <c r="I45" s="117"/>
      <c r="J45" s="121"/>
      <c r="K45" s="122"/>
      <c r="L45" s="11"/>
      <c r="M45" s="11"/>
      <c r="N45" s="11"/>
      <c r="O45" s="11"/>
    </row>
    <row r="46" spans="2:15" ht="16.5" thickBot="1" x14ac:dyDescent="0.3">
      <c r="B46" s="40"/>
      <c r="C46" s="118"/>
      <c r="D46" s="119"/>
      <c r="E46" s="120"/>
      <c r="F46" s="118"/>
      <c r="G46" s="119"/>
      <c r="H46" s="119"/>
      <c r="I46" s="120"/>
      <c r="J46" s="97"/>
      <c r="K46" s="98"/>
      <c r="L46" s="11"/>
      <c r="M46" s="11"/>
      <c r="N46" s="11"/>
      <c r="O46" s="11"/>
    </row>
  </sheetData>
  <mergeCells count="60">
    <mergeCell ref="H13:I13"/>
    <mergeCell ref="H4:I4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  <mergeCell ref="C23:E23"/>
    <mergeCell ref="F23:G23"/>
    <mergeCell ref="I23:K23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B34:G34"/>
    <mergeCell ref="H34:K34"/>
    <mergeCell ref="B24:K24"/>
    <mergeCell ref="H25:I25"/>
    <mergeCell ref="H26:I26"/>
    <mergeCell ref="H27:I27"/>
    <mergeCell ref="C29:E29"/>
    <mergeCell ref="F29:G29"/>
    <mergeCell ref="I29:K29"/>
    <mergeCell ref="B30:K30"/>
    <mergeCell ref="F31:G31"/>
    <mergeCell ref="I31:J31"/>
    <mergeCell ref="H32:K32"/>
    <mergeCell ref="H33:I33"/>
    <mergeCell ref="B35:K35"/>
    <mergeCell ref="B36:K36"/>
    <mergeCell ref="C37:E37"/>
    <mergeCell ref="F37:K38"/>
    <mergeCell ref="C38:E40"/>
    <mergeCell ref="F39:I39"/>
    <mergeCell ref="J39:K39"/>
    <mergeCell ref="F40:I40"/>
    <mergeCell ref="J40:K40"/>
    <mergeCell ref="J46:K46"/>
    <mergeCell ref="C41:E42"/>
    <mergeCell ref="F41:I41"/>
    <mergeCell ref="J41:K41"/>
    <mergeCell ref="F42:I42"/>
    <mergeCell ref="J42:K42"/>
    <mergeCell ref="C43:E46"/>
    <mergeCell ref="F43:I46"/>
    <mergeCell ref="J43:K43"/>
    <mergeCell ref="J44:K44"/>
    <mergeCell ref="J45:K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6"/>
  <sheetViews>
    <sheetView zoomScale="80" zoomScaleNormal="80" workbookViewId="0">
      <selection sqref="A1:XFD1048576"/>
    </sheetView>
  </sheetViews>
  <sheetFormatPr baseColWidth="10" defaultRowHeight="15" x14ac:dyDescent="0.25"/>
  <cols>
    <col min="2" max="2" width="41.42578125" customWidth="1"/>
    <col min="3" max="3" width="12.140625" customWidth="1"/>
    <col min="5" max="5" width="15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81" t="s">
        <v>23</v>
      </c>
      <c r="C4" s="82" t="s">
        <v>24</v>
      </c>
      <c r="D4" s="82" t="s">
        <v>25</v>
      </c>
      <c r="E4" s="82" t="s">
        <v>26</v>
      </c>
      <c r="F4" s="82" t="s">
        <v>27</v>
      </c>
      <c r="G4" s="81" t="s">
        <v>28</v>
      </c>
      <c r="H4" s="160" t="s">
        <v>29</v>
      </c>
      <c r="I4" s="161"/>
      <c r="J4" s="82" t="s">
        <v>22</v>
      </c>
      <c r="K4" s="82" t="s">
        <v>30</v>
      </c>
      <c r="L4" s="11"/>
      <c r="M4" s="11"/>
      <c r="N4" s="11"/>
      <c r="O4" s="11"/>
    </row>
    <row r="5" spans="2:15" ht="32.25" thickBot="1" x14ac:dyDescent="0.3">
      <c r="B5" s="83" t="s">
        <v>66</v>
      </c>
      <c r="C5" s="13">
        <f>(D5+E5)/2</f>
        <v>0</v>
      </c>
      <c r="D5" s="42"/>
      <c r="E5" s="42"/>
      <c r="F5" s="14">
        <v>4</v>
      </c>
      <c r="G5" s="15">
        <f>C5*F5</f>
        <v>0</v>
      </c>
      <c r="H5" s="145">
        <v>12.58</v>
      </c>
      <c r="I5" s="146"/>
      <c r="J5" s="45" t="s">
        <v>90</v>
      </c>
      <c r="K5" s="13" t="str">
        <f>IF(C5&lt;10,"D",IF(C5&lt;12,"C",IF(C5&lt;14,"C+",IF(C5&lt;15,"B",IF(C5&lt;16,"B+",IF(C5&lt;18,"A",IF(C5&lt;20,"A+")))))))</f>
        <v>D</v>
      </c>
      <c r="L5" s="11"/>
      <c r="M5" s="11"/>
      <c r="N5" s="16">
        <f>D5*F5</f>
        <v>0</v>
      </c>
      <c r="O5" s="16">
        <f>E5*F5</f>
        <v>0</v>
      </c>
    </row>
    <row r="6" spans="2:15" ht="32.25" thickBot="1" x14ac:dyDescent="0.3">
      <c r="B6" s="83" t="s">
        <v>91</v>
      </c>
      <c r="C6" s="13">
        <f t="shared" ref="C6:C8" si="0">(D6+E6)/2</f>
        <v>0</v>
      </c>
      <c r="D6" s="42"/>
      <c r="E6" s="42"/>
      <c r="F6" s="14">
        <v>2</v>
      </c>
      <c r="G6" s="15">
        <f t="shared" ref="G6:G8" si="1">C6*F6</f>
        <v>0</v>
      </c>
      <c r="H6" s="145">
        <v>13.33</v>
      </c>
      <c r="I6" s="146"/>
      <c r="J6" s="45" t="s">
        <v>90</v>
      </c>
      <c r="K6" s="13" t="str">
        <f>IF(C6&lt;10,"D",IF(C6&lt;12,"C",IF(C6&lt;14,"C+",IF(C6&lt;15,"B",IF(C6&lt;16,"B+",IF(C6&lt;18,"A",IF(C6&lt;20,"A+")))))))</f>
        <v>D</v>
      </c>
      <c r="L6" s="11"/>
      <c r="M6" s="11"/>
      <c r="N6" s="16">
        <f t="shared" ref="N6:N8" si="2">D6*F6</f>
        <v>0</v>
      </c>
      <c r="O6" s="16">
        <f t="shared" ref="O6:O8" si="3">E6*F6</f>
        <v>0</v>
      </c>
    </row>
    <row r="7" spans="2:15" ht="32.25" thickBot="1" x14ac:dyDescent="0.3">
      <c r="B7" s="83" t="s">
        <v>92</v>
      </c>
      <c r="C7" s="13">
        <f t="shared" si="0"/>
        <v>0</v>
      </c>
      <c r="D7" s="42"/>
      <c r="E7" s="42"/>
      <c r="F7" s="14">
        <v>3</v>
      </c>
      <c r="G7" s="15">
        <f t="shared" si="1"/>
        <v>0</v>
      </c>
      <c r="H7" s="145">
        <v>12.17</v>
      </c>
      <c r="I7" s="146"/>
      <c r="J7" s="45" t="s">
        <v>90</v>
      </c>
      <c r="K7" s="13" t="str">
        <f>IF(C7&lt;10,"D",IF(C7&lt;12,"C",IF(C7&lt;14,"C+",IF(C7&lt;15,"B",IF(C7&lt;16,"B+",IF(C7&lt;18,"A",IF(C7&lt;20,"A+")))))))</f>
        <v>D</v>
      </c>
      <c r="L7" s="11"/>
      <c r="M7" s="11"/>
      <c r="N7" s="16">
        <f t="shared" si="2"/>
        <v>0</v>
      </c>
      <c r="O7" s="16">
        <f t="shared" si="3"/>
        <v>0</v>
      </c>
    </row>
    <row r="8" spans="2:15" ht="32.25" thickBot="1" x14ac:dyDescent="0.3">
      <c r="B8" s="83" t="s">
        <v>67</v>
      </c>
      <c r="C8" s="13">
        <f t="shared" si="0"/>
        <v>0</v>
      </c>
      <c r="D8" s="42"/>
      <c r="E8" s="43"/>
      <c r="F8" s="14">
        <v>3</v>
      </c>
      <c r="G8" s="15">
        <f t="shared" si="1"/>
        <v>0</v>
      </c>
      <c r="H8" s="145">
        <v>10.46</v>
      </c>
      <c r="I8" s="146"/>
      <c r="J8" s="45" t="s">
        <v>90</v>
      </c>
      <c r="K8" s="13" t="str">
        <f>IF(C8&lt;10,"D",IF(C8&lt;12,"C",IF(C8&lt;14,"C+",IF(C8&lt;15,"B",IF(C8&lt;16,"B+",IF(C8&lt;18,"A",IF(C8&lt;20,"A+")))))))</f>
        <v>D</v>
      </c>
      <c r="L8" s="11"/>
      <c r="M8" s="11"/>
      <c r="N8" s="16">
        <f t="shared" si="2"/>
        <v>0</v>
      </c>
      <c r="O8" s="16">
        <f t="shared" si="3"/>
        <v>0</v>
      </c>
    </row>
    <row r="9" spans="2:15" ht="16.5" thickBot="1" x14ac:dyDescent="0.3">
      <c r="B9" s="154" t="s">
        <v>31</v>
      </c>
      <c r="C9" s="155"/>
      <c r="D9" s="155"/>
      <c r="E9" s="155"/>
      <c r="F9" s="155"/>
      <c r="G9" s="155"/>
      <c r="H9" s="155"/>
      <c r="I9" s="155"/>
      <c r="J9" s="155"/>
      <c r="K9" s="156"/>
      <c r="L9" s="11"/>
      <c r="M9" s="11"/>
      <c r="N9" s="11"/>
      <c r="O9" s="11"/>
    </row>
    <row r="10" spans="2:15" ht="16.5" thickBot="1" x14ac:dyDescent="0.3">
      <c r="B10" s="17" t="s">
        <v>32</v>
      </c>
      <c r="C10" s="147">
        <f>(SUM(G5:G8)/SUM(F5:F8))</f>
        <v>0</v>
      </c>
      <c r="D10" s="147"/>
      <c r="E10" s="147"/>
      <c r="F10" s="152" t="s">
        <v>33</v>
      </c>
      <c r="G10" s="152"/>
      <c r="H10" s="84"/>
      <c r="I10" s="149"/>
      <c r="J10" s="149"/>
      <c r="K10" s="153"/>
      <c r="L10" s="11"/>
      <c r="M10" s="11"/>
      <c r="N10" s="11"/>
      <c r="O10" s="11"/>
    </row>
    <row r="11" spans="2:15" ht="16.5" thickBot="1" x14ac:dyDescent="0.3">
      <c r="B11" s="141"/>
      <c r="C11" s="142"/>
      <c r="D11" s="142"/>
      <c r="E11" s="142"/>
      <c r="F11" s="142"/>
      <c r="G11" s="142"/>
      <c r="H11" s="142"/>
      <c r="I11" s="142"/>
      <c r="J11" s="142"/>
      <c r="K11" s="144"/>
      <c r="L11" s="11"/>
      <c r="M11" s="11"/>
      <c r="N11" s="11"/>
      <c r="O11" s="11"/>
    </row>
    <row r="12" spans="2:15" ht="32.25" thickBot="1" x14ac:dyDescent="0.3">
      <c r="B12" s="83" t="s">
        <v>93</v>
      </c>
      <c r="C12" s="13">
        <f t="shared" ref="C12:C15" si="4">(D12+E12)/2</f>
        <v>0</v>
      </c>
      <c r="D12" s="43"/>
      <c r="E12" s="43"/>
      <c r="F12" s="14">
        <v>2</v>
      </c>
      <c r="G12" s="15">
        <f t="shared" ref="G12:G15" si="5">C12*F12</f>
        <v>0</v>
      </c>
      <c r="H12" s="145">
        <v>11.5</v>
      </c>
      <c r="I12" s="146"/>
      <c r="J12" s="45" t="s">
        <v>90</v>
      </c>
      <c r="K12" s="13" t="str">
        <f>IF(C12&lt;10,"D",IF(C12&lt;12,"C",IF(C12&lt;14,"C+",IF(C12&lt;15,"B",IF(C12&lt;16,"B+",IF(C12&lt;18,"A",IF(C12&lt;20,"A+")))))))</f>
        <v>D</v>
      </c>
      <c r="L12" s="11"/>
      <c r="M12" s="11"/>
      <c r="N12" s="16">
        <f t="shared" ref="N12:N15" si="6">D12*F12</f>
        <v>0</v>
      </c>
      <c r="O12" s="16">
        <f t="shared" ref="O12:O15" si="7">E12*F12</f>
        <v>0</v>
      </c>
    </row>
    <row r="13" spans="2:15" ht="32.25" thickBot="1" x14ac:dyDescent="0.3">
      <c r="B13" s="83" t="s">
        <v>94</v>
      </c>
      <c r="C13" s="13">
        <f t="shared" si="4"/>
        <v>0</v>
      </c>
      <c r="D13" s="42"/>
      <c r="E13" s="42"/>
      <c r="F13" s="14">
        <v>2</v>
      </c>
      <c r="G13" s="15">
        <f t="shared" si="5"/>
        <v>0</v>
      </c>
      <c r="H13" s="145">
        <v>11.83</v>
      </c>
      <c r="I13" s="146"/>
      <c r="J13" s="45" t="s">
        <v>90</v>
      </c>
      <c r="K13" s="13" t="str">
        <f>IF(C13&lt;10,"D",IF(C13&lt;12,"C",IF(C13&lt;14,"C+",IF(C13&lt;15,"B",IF(C13&lt;16,"B+",IF(C13&lt;18,"A",IF(C13&lt;20,"A+")))))))</f>
        <v>D</v>
      </c>
      <c r="L13" s="11"/>
      <c r="M13" s="11"/>
      <c r="N13" s="16">
        <f t="shared" si="6"/>
        <v>0</v>
      </c>
      <c r="O13" s="16">
        <f t="shared" si="7"/>
        <v>0</v>
      </c>
    </row>
    <row r="14" spans="2:15" ht="32.25" thickBot="1" x14ac:dyDescent="0.3">
      <c r="B14" s="83" t="s">
        <v>68</v>
      </c>
      <c r="C14" s="13">
        <f t="shared" si="4"/>
        <v>0</v>
      </c>
      <c r="D14" s="42"/>
      <c r="E14" s="42"/>
      <c r="F14" s="14">
        <v>2</v>
      </c>
      <c r="G14" s="15">
        <f t="shared" si="5"/>
        <v>0</v>
      </c>
      <c r="H14" s="145">
        <v>8</v>
      </c>
      <c r="I14" s="146"/>
      <c r="J14" s="45" t="s">
        <v>90</v>
      </c>
      <c r="K14" s="13" t="str">
        <f>IF(C14&lt;10,"D",IF(C14&lt;12,"C",IF(C14&lt;14,"C+",IF(C14&lt;15,"B",IF(C14&lt;16,"B+",IF(C14&lt;18,"A",IF(C14&lt;20,"A+")))))))</f>
        <v>D</v>
      </c>
      <c r="L14" s="11"/>
      <c r="M14" s="11"/>
      <c r="N14" s="16">
        <f t="shared" si="6"/>
        <v>0</v>
      </c>
      <c r="O14" s="16">
        <f t="shared" si="7"/>
        <v>0</v>
      </c>
    </row>
    <row r="15" spans="2:15" ht="32.25" thickBot="1" x14ac:dyDescent="0.3">
      <c r="B15" s="83" t="s">
        <v>95</v>
      </c>
      <c r="C15" s="13">
        <f t="shared" si="4"/>
        <v>0</v>
      </c>
      <c r="D15" s="42"/>
      <c r="E15" s="42"/>
      <c r="F15" s="14">
        <v>2</v>
      </c>
      <c r="G15" s="15">
        <f t="shared" si="5"/>
        <v>0</v>
      </c>
      <c r="H15" s="145">
        <v>13.87</v>
      </c>
      <c r="I15" s="146"/>
      <c r="J15" s="45" t="s">
        <v>90</v>
      </c>
      <c r="K15" s="13" t="str">
        <f>IF(C15&lt;10,"D",IF(C15&lt;12,"C",IF(C15&lt;14,"C+",IF(C15&lt;15,"B",IF(C15&lt;16,"B+",IF(C15&lt;18,"A",IF(C15&lt;20,"A+")))))))</f>
        <v>D</v>
      </c>
      <c r="L15" s="11"/>
      <c r="M15" s="11"/>
      <c r="N15" s="16">
        <f t="shared" si="6"/>
        <v>0</v>
      </c>
      <c r="O15" s="16">
        <f t="shared" si="7"/>
        <v>0</v>
      </c>
    </row>
    <row r="16" spans="2:15" ht="16.5" thickBot="1" x14ac:dyDescent="0.3">
      <c r="B16" s="154" t="s">
        <v>34</v>
      </c>
      <c r="C16" s="155"/>
      <c r="D16" s="155"/>
      <c r="E16" s="155"/>
      <c r="F16" s="155"/>
      <c r="G16" s="155"/>
      <c r="H16" s="155"/>
      <c r="I16" s="155"/>
      <c r="J16" s="155"/>
      <c r="K16" s="156"/>
      <c r="L16" s="11"/>
      <c r="M16" s="11"/>
      <c r="N16" s="11"/>
      <c r="O16" s="11"/>
    </row>
    <row r="17" spans="2:15" ht="16.5" thickBot="1" x14ac:dyDescent="0.3">
      <c r="B17" s="17" t="s">
        <v>35</v>
      </c>
      <c r="C17" s="147">
        <f>(SUM(G12:G15)/SUM(F12:F15))</f>
        <v>0</v>
      </c>
      <c r="D17" s="147"/>
      <c r="E17" s="147"/>
      <c r="F17" s="152" t="s">
        <v>33</v>
      </c>
      <c r="G17" s="152"/>
      <c r="H17" s="84"/>
      <c r="I17" s="149"/>
      <c r="J17" s="149"/>
      <c r="K17" s="153"/>
      <c r="L17" s="11"/>
      <c r="M17" s="11"/>
      <c r="N17" s="11"/>
      <c r="O17" s="11"/>
    </row>
    <row r="18" spans="2:15" ht="16.5" thickBot="1" x14ac:dyDescent="0.3">
      <c r="B18" s="157"/>
      <c r="C18" s="158"/>
      <c r="D18" s="158"/>
      <c r="E18" s="158"/>
      <c r="F18" s="158"/>
      <c r="G18" s="158"/>
      <c r="H18" s="158"/>
      <c r="I18" s="158"/>
      <c r="J18" s="158"/>
      <c r="K18" s="159"/>
      <c r="L18" s="11"/>
      <c r="M18" s="11"/>
      <c r="N18" s="11"/>
      <c r="O18" s="11"/>
    </row>
    <row r="19" spans="2:15" ht="32.25" thickBot="1" x14ac:dyDescent="0.3">
      <c r="B19" s="83" t="s">
        <v>96</v>
      </c>
      <c r="C19" s="13">
        <f t="shared" ref="C19:C21" si="8">(D19+E19)/2</f>
        <v>0</v>
      </c>
      <c r="D19" s="42"/>
      <c r="E19" s="42"/>
      <c r="F19" s="14">
        <v>2</v>
      </c>
      <c r="G19" s="15">
        <f t="shared" ref="G19:G21" si="9">C19*F19</f>
        <v>0</v>
      </c>
      <c r="H19" s="145">
        <v>7.75</v>
      </c>
      <c r="I19" s="146"/>
      <c r="J19" s="45" t="s">
        <v>90</v>
      </c>
      <c r="K19" s="13" t="str">
        <f>IF(C19&lt;10,"D",IF(C19&lt;12,"C",IF(C19&lt;14,"C+",IF(C19&lt;15,"B",IF(C19&lt;16,"B+",IF(C19&lt;18,"A",IF(C19&lt;20,"A+")))))))</f>
        <v>D</v>
      </c>
      <c r="L19" s="11"/>
      <c r="M19" s="11"/>
      <c r="N19" s="16">
        <f t="shared" ref="N19:N21" si="10">D19*F19</f>
        <v>0</v>
      </c>
      <c r="O19" s="16">
        <f t="shared" ref="O19:O21" si="11">E19*F19</f>
        <v>0</v>
      </c>
    </row>
    <row r="20" spans="2:15" ht="32.25" thickBot="1" x14ac:dyDescent="0.3">
      <c r="B20" s="83" t="s">
        <v>97</v>
      </c>
      <c r="C20" s="13">
        <f t="shared" si="8"/>
        <v>0</v>
      </c>
      <c r="D20" s="42"/>
      <c r="E20" s="42"/>
      <c r="F20" s="14">
        <v>2</v>
      </c>
      <c r="G20" s="15">
        <f t="shared" si="9"/>
        <v>0</v>
      </c>
      <c r="H20" s="145">
        <v>7.83</v>
      </c>
      <c r="I20" s="146"/>
      <c r="J20" s="45" t="s">
        <v>90</v>
      </c>
      <c r="K20" s="13" t="str">
        <f>IF(C20&lt;10,"D",IF(C20&lt;12,"C",IF(C20&lt;14,"C+",IF(C20&lt;15,"B",IF(C20&lt;16,"B+",IF(C20&lt;18,"A",IF(C20&lt;20,"A+")))))))</f>
        <v>D</v>
      </c>
      <c r="L20" s="11"/>
      <c r="M20" s="11"/>
      <c r="N20" s="16">
        <f t="shared" si="10"/>
        <v>0</v>
      </c>
      <c r="O20" s="16">
        <f t="shared" si="11"/>
        <v>0</v>
      </c>
    </row>
    <row r="21" spans="2:15" ht="32.25" thickBot="1" x14ac:dyDescent="0.3">
      <c r="B21" s="83" t="s">
        <v>98</v>
      </c>
      <c r="C21" s="13">
        <f t="shared" si="8"/>
        <v>0</v>
      </c>
      <c r="D21" s="42"/>
      <c r="E21" s="42"/>
      <c r="F21" s="14">
        <v>1</v>
      </c>
      <c r="G21" s="15">
        <f t="shared" si="9"/>
        <v>0</v>
      </c>
      <c r="H21" s="145">
        <v>13.58</v>
      </c>
      <c r="I21" s="146"/>
      <c r="J21" s="45" t="s">
        <v>90</v>
      </c>
      <c r="K21" s="13" t="str">
        <f>IF(C21&lt;10,"D",IF(C21&lt;12,"C",IF(C21&lt;14,"C+",IF(C21&lt;15,"B",IF(C21&lt;16,"B+",IF(C21&lt;18,"A",IF(C21&lt;20,"A+")))))))</f>
        <v>D</v>
      </c>
      <c r="L21" s="11"/>
      <c r="M21" s="11"/>
      <c r="N21" s="16">
        <f t="shared" si="10"/>
        <v>0</v>
      </c>
      <c r="O21" s="16">
        <f t="shared" si="11"/>
        <v>0</v>
      </c>
    </row>
    <row r="22" spans="2:15" ht="16.5" thickBot="1" x14ac:dyDescent="0.3">
      <c r="B22" s="154" t="s">
        <v>36</v>
      </c>
      <c r="C22" s="155"/>
      <c r="D22" s="155"/>
      <c r="E22" s="155"/>
      <c r="F22" s="155"/>
      <c r="G22" s="155"/>
      <c r="H22" s="155"/>
      <c r="I22" s="155"/>
      <c r="J22" s="155"/>
      <c r="K22" s="156"/>
      <c r="L22" s="11"/>
      <c r="M22" s="11"/>
      <c r="N22" s="11"/>
      <c r="O22" s="11"/>
    </row>
    <row r="23" spans="2:15" ht="16.5" thickBot="1" x14ac:dyDescent="0.3">
      <c r="B23" s="17" t="s">
        <v>32</v>
      </c>
      <c r="C23" s="147">
        <f>(SUM(G19:G21)/SUM(F19:F21))</f>
        <v>0</v>
      </c>
      <c r="D23" s="147"/>
      <c r="E23" s="147"/>
      <c r="F23" s="152" t="s">
        <v>33</v>
      </c>
      <c r="G23" s="152"/>
      <c r="H23" s="84"/>
      <c r="I23" s="149"/>
      <c r="J23" s="149"/>
      <c r="K23" s="153"/>
      <c r="L23" s="11"/>
      <c r="M23" s="11"/>
      <c r="N23" s="11"/>
      <c r="O23" s="11"/>
    </row>
    <row r="24" spans="2:15" ht="16.5" thickBot="1" x14ac:dyDescent="0.3">
      <c r="B24" s="141"/>
      <c r="C24" s="142"/>
      <c r="D24" s="142"/>
      <c r="E24" s="142"/>
      <c r="F24" s="142"/>
      <c r="G24" s="142"/>
      <c r="H24" s="143"/>
      <c r="I24" s="143"/>
      <c r="J24" s="143"/>
      <c r="K24" s="144"/>
      <c r="L24" s="11"/>
      <c r="M24" s="11"/>
      <c r="N24" s="11"/>
      <c r="O24" s="11"/>
    </row>
    <row r="25" spans="2:15" ht="32.25" thickBot="1" x14ac:dyDescent="0.3">
      <c r="B25" s="83" t="s">
        <v>69</v>
      </c>
      <c r="C25" s="13">
        <f t="shared" ref="C25:C27" si="12">(D25+E25)/2</f>
        <v>0</v>
      </c>
      <c r="D25" s="42"/>
      <c r="E25" s="42"/>
      <c r="F25" s="14">
        <v>2</v>
      </c>
      <c r="G25" s="15">
        <f t="shared" ref="G25:G27" si="13">C25*F25</f>
        <v>0</v>
      </c>
      <c r="H25" s="145">
        <v>15.13</v>
      </c>
      <c r="I25" s="146"/>
      <c r="J25" s="45" t="s">
        <v>90</v>
      </c>
      <c r="K25" s="13" t="str">
        <f>IF(C25&lt;10,"D",IF(C25&lt;12,"C",IF(C25&lt;14,"C+",IF(C25&lt;15,"B",IF(C25&lt;16,"B+",IF(C25&lt;18,"A",IF(C25&lt;20,"A+")))))))</f>
        <v>D</v>
      </c>
      <c r="L25" s="11"/>
      <c r="M25" s="11"/>
      <c r="N25" s="16">
        <f t="shared" ref="N25:N27" si="14">D25*F25</f>
        <v>0</v>
      </c>
      <c r="O25" s="16">
        <f t="shared" ref="O25:O27" si="15">E25*F25</f>
        <v>0</v>
      </c>
    </row>
    <row r="26" spans="2:15" ht="33" customHeight="1" thickBot="1" x14ac:dyDescent="0.3">
      <c r="B26" s="44" t="s">
        <v>99</v>
      </c>
      <c r="C26" s="13">
        <f t="shared" si="12"/>
        <v>0</v>
      </c>
      <c r="D26" s="42"/>
      <c r="E26" s="42"/>
      <c r="F26" s="14">
        <v>1</v>
      </c>
      <c r="G26" s="15">
        <f t="shared" si="13"/>
        <v>0</v>
      </c>
      <c r="H26" s="145">
        <v>17.329999999999998</v>
      </c>
      <c r="I26" s="146"/>
      <c r="J26" s="45" t="s">
        <v>90</v>
      </c>
      <c r="K26" s="13" t="str">
        <f>IF(C26&lt;10,"D",IF(C26&lt;12,"C",IF(C26&lt;14,"C+",IF(C26&lt;15,"B",IF(C26&lt;16,"B+",IF(C26&lt;18,"A",IF(C26&lt;20,"A+")))))))</f>
        <v>D</v>
      </c>
      <c r="L26" s="11"/>
      <c r="M26" s="11"/>
      <c r="N26" s="16">
        <f t="shared" si="14"/>
        <v>0</v>
      </c>
      <c r="O26" s="16">
        <f t="shared" si="15"/>
        <v>0</v>
      </c>
    </row>
    <row r="27" spans="2:15" ht="32.25" thickBot="1" x14ac:dyDescent="0.3">
      <c r="B27" s="83" t="s">
        <v>100</v>
      </c>
      <c r="C27" s="13">
        <f t="shared" si="12"/>
        <v>0</v>
      </c>
      <c r="D27" s="42"/>
      <c r="E27" s="42"/>
      <c r="F27" s="14">
        <v>1</v>
      </c>
      <c r="G27" s="15">
        <f t="shared" si="13"/>
        <v>0</v>
      </c>
      <c r="H27" s="145">
        <v>15.83</v>
      </c>
      <c r="I27" s="146"/>
      <c r="J27" s="45" t="s">
        <v>90</v>
      </c>
      <c r="K27" s="13" t="str">
        <f>IF(C27&lt;10,"D",IF(C27&lt;12,"C",IF(C27&lt;14,"C+",IF(C27&lt;15,"B",IF(C27&lt;16,"B+",IF(C27&lt;18,"A",IF(C27&lt;20,"A+")))))))</f>
        <v>D</v>
      </c>
      <c r="L27" s="11"/>
      <c r="M27" s="11"/>
      <c r="N27" s="16">
        <f t="shared" si="14"/>
        <v>0</v>
      </c>
      <c r="O27" s="16">
        <f t="shared" si="15"/>
        <v>0</v>
      </c>
    </row>
    <row r="28" spans="2:15" ht="16.5" thickBot="1" x14ac:dyDescent="0.3">
      <c r="B28" s="20" t="s">
        <v>37</v>
      </c>
      <c r="C28" s="21"/>
      <c r="D28" s="21"/>
      <c r="E28" s="21"/>
      <c r="F28" s="21"/>
      <c r="G28" s="21"/>
      <c r="H28" s="21"/>
      <c r="I28" s="21"/>
      <c r="J28" s="21"/>
      <c r="K28" s="22"/>
      <c r="L28" s="11"/>
      <c r="M28" s="11"/>
      <c r="N28" s="11">
        <f>SUM(N5:N27)</f>
        <v>0</v>
      </c>
      <c r="O28" s="11">
        <f>SUM(O5:O27)</f>
        <v>0</v>
      </c>
    </row>
    <row r="29" spans="2:15" ht="16.5" thickBot="1" x14ac:dyDescent="0.3">
      <c r="B29" s="23" t="s">
        <v>35</v>
      </c>
      <c r="C29" s="147">
        <f>(SUM(G25:G27)/SUM(F25:F27))</f>
        <v>0</v>
      </c>
      <c r="D29" s="147"/>
      <c r="E29" s="147"/>
      <c r="F29" s="148" t="s">
        <v>33</v>
      </c>
      <c r="G29" s="148"/>
      <c r="H29" s="85"/>
      <c r="I29" s="106"/>
      <c r="J29" s="106"/>
      <c r="K29" s="107"/>
      <c r="L29" s="11"/>
      <c r="M29" s="11"/>
      <c r="N29" s="11">
        <v>29</v>
      </c>
      <c r="O29" s="11">
        <v>29</v>
      </c>
    </row>
    <row r="30" spans="2:15" ht="16.5" thickBot="1" x14ac:dyDescent="0.3">
      <c r="B30" s="126"/>
      <c r="C30" s="127"/>
      <c r="D30" s="127"/>
      <c r="E30" s="127"/>
      <c r="F30" s="127"/>
      <c r="G30" s="127"/>
      <c r="H30" s="127"/>
      <c r="I30" s="127"/>
      <c r="J30" s="127"/>
      <c r="K30" s="128"/>
      <c r="L30" s="11"/>
      <c r="M30" s="11"/>
      <c r="N30" s="11">
        <f>N28/N29</f>
        <v>0</v>
      </c>
      <c r="O30" s="11">
        <f>O28/O29</f>
        <v>0</v>
      </c>
    </row>
    <row r="31" spans="2:15" ht="48" thickBot="1" x14ac:dyDescent="0.3">
      <c r="B31" s="20" t="s">
        <v>38</v>
      </c>
      <c r="C31" s="25" t="s">
        <v>39</v>
      </c>
      <c r="D31" s="84">
        <v>11.84</v>
      </c>
      <c r="E31" s="26" t="s">
        <v>40</v>
      </c>
      <c r="F31" s="149">
        <v>13.27</v>
      </c>
      <c r="G31" s="149"/>
      <c r="H31" s="26" t="s">
        <v>41</v>
      </c>
      <c r="I31" s="149">
        <v>10.7</v>
      </c>
      <c r="J31" s="149"/>
      <c r="K31" s="27"/>
      <c r="L31" s="28"/>
      <c r="M31" s="28"/>
      <c r="N31" s="28"/>
      <c r="O31" s="28"/>
    </row>
    <row r="32" spans="2:15" ht="15.75" x14ac:dyDescent="0.25">
      <c r="B32" s="29"/>
      <c r="C32" s="30" t="s">
        <v>25</v>
      </c>
      <c r="D32" s="30" t="s">
        <v>26</v>
      </c>
      <c r="E32" s="31"/>
      <c r="F32" s="31"/>
      <c r="G32" s="32"/>
      <c r="H32" s="112"/>
      <c r="I32" s="113"/>
      <c r="J32" s="113"/>
      <c r="K32" s="114"/>
      <c r="L32" s="11"/>
      <c r="M32" s="11"/>
      <c r="N32" s="11"/>
      <c r="O32" s="11"/>
    </row>
    <row r="33" spans="2:15" ht="15.75" x14ac:dyDescent="0.25">
      <c r="B33" s="33" t="s">
        <v>42</v>
      </c>
      <c r="C33" s="34">
        <f>N30</f>
        <v>0</v>
      </c>
      <c r="D33" s="34">
        <f>O30</f>
        <v>0</v>
      </c>
      <c r="E33" s="35" t="s">
        <v>43</v>
      </c>
      <c r="F33" s="36">
        <f>(G5+G6+G7+G8+G12+G13+G14+G15+G19+G20+G21+G25+G26+G27)/29</f>
        <v>0</v>
      </c>
      <c r="G33" s="35" t="s">
        <v>44</v>
      </c>
      <c r="H33" s="150" t="s">
        <v>45</v>
      </c>
      <c r="I33" s="151"/>
      <c r="J33" s="37" t="s">
        <v>90</v>
      </c>
      <c r="K33" s="38" t="s">
        <v>70</v>
      </c>
      <c r="L33" s="11"/>
      <c r="M33" s="11"/>
      <c r="N33" s="11"/>
      <c r="O33" s="11"/>
    </row>
    <row r="34" spans="2:15" ht="16.5" thickBot="1" x14ac:dyDescent="0.3">
      <c r="B34" s="138"/>
      <c r="C34" s="139"/>
      <c r="D34" s="139"/>
      <c r="E34" s="139"/>
      <c r="F34" s="139"/>
      <c r="G34" s="139"/>
      <c r="H34" s="97"/>
      <c r="I34" s="140"/>
      <c r="J34" s="140"/>
      <c r="K34" s="98"/>
      <c r="L34" s="11"/>
      <c r="M34" s="11"/>
      <c r="N34" s="11"/>
      <c r="O34" s="11"/>
    </row>
    <row r="35" spans="2:15" ht="16.5" thickBot="1" x14ac:dyDescent="0.3">
      <c r="B35" s="123" t="s">
        <v>46</v>
      </c>
      <c r="C35" s="124"/>
      <c r="D35" s="124"/>
      <c r="E35" s="124"/>
      <c r="F35" s="124"/>
      <c r="G35" s="124"/>
      <c r="H35" s="124"/>
      <c r="I35" s="124"/>
      <c r="J35" s="124"/>
      <c r="K35" s="125"/>
      <c r="L35" s="11"/>
      <c r="M35" s="11"/>
      <c r="N35" s="11"/>
      <c r="O35" s="11"/>
    </row>
    <row r="36" spans="2:15" ht="16.5" thickBot="1" x14ac:dyDescent="0.3">
      <c r="B36" s="105" t="s">
        <v>47</v>
      </c>
      <c r="C36" s="106"/>
      <c r="D36" s="106"/>
      <c r="E36" s="106"/>
      <c r="F36" s="106"/>
      <c r="G36" s="106"/>
      <c r="H36" s="106"/>
      <c r="I36" s="106"/>
      <c r="J36" s="106"/>
      <c r="K36" s="107"/>
      <c r="L36" s="11"/>
      <c r="M36" s="11"/>
      <c r="N36" s="11"/>
      <c r="O36" s="11"/>
    </row>
    <row r="37" spans="2:15" ht="16.5" thickBot="1" x14ac:dyDescent="0.3">
      <c r="B37" s="25" t="s">
        <v>48</v>
      </c>
      <c r="C37" s="126" t="s">
        <v>49</v>
      </c>
      <c r="D37" s="127"/>
      <c r="E37" s="128"/>
      <c r="F37" s="99" t="s">
        <v>50</v>
      </c>
      <c r="G37" s="100"/>
      <c r="H37" s="100"/>
      <c r="I37" s="100"/>
      <c r="J37" s="100"/>
      <c r="K37" s="101"/>
      <c r="L37" s="11"/>
      <c r="M37" s="11"/>
      <c r="N37" s="11"/>
      <c r="O37" s="11"/>
    </row>
    <row r="38" spans="2:15" ht="16.5" thickBot="1" x14ac:dyDescent="0.3">
      <c r="B38" s="86" t="s">
        <v>51</v>
      </c>
      <c r="C38" s="129" t="str">
        <f>IF(F33&lt;10,"CNA",IF(F33&lt;12,"CMA",IF(F33&lt;14,"CA",IF(F33&lt;16,"CBA",IF(F33&lt;20,"CTBA")))))</f>
        <v>CNA</v>
      </c>
      <c r="D38" s="130" t="e">
        <f>IF(#REF!&lt;10,"D",IF(#REF!&lt;12,"C",IF(#REF!&lt;14,"C+",IF(#REF!&lt;15,"B",IF(#REF!&lt;16,"B+",IF(#REF!&lt;18,"A",IF(#REF!&lt;20,"A+")))))))</f>
        <v>#REF!</v>
      </c>
      <c r="E38" s="131" t="e">
        <f>IF(#REF!&lt;10,"D",IF(#REF!&lt;12,"C",IF(#REF!&lt;14,"C+",IF(#REF!&lt;15,"B",IF(#REF!&lt;16,"B+",IF(#REF!&lt;18,"A",IF(#REF!&lt;20,"A+")))))))</f>
        <v>#REF!</v>
      </c>
      <c r="F38" s="102"/>
      <c r="G38" s="103"/>
      <c r="H38" s="103"/>
      <c r="I38" s="103"/>
      <c r="J38" s="103"/>
      <c r="K38" s="104"/>
      <c r="L38" s="11"/>
      <c r="M38" s="11"/>
      <c r="N38" s="11"/>
      <c r="O38" s="11"/>
    </row>
    <row r="39" spans="2:15" ht="16.5" thickBot="1" x14ac:dyDescent="0.3">
      <c r="B39" s="86" t="s">
        <v>52</v>
      </c>
      <c r="C39" s="132" t="e">
        <f>IF(#REF!&lt;10,"D",IF(#REF!&lt;12,"C",IF(#REF!&lt;14,"C+",IF(#REF!&lt;15,"B",IF(#REF!&lt;16,"B+",IF(#REF!&lt;18,"A",IF(#REF!&lt;20,"A+")))))))</f>
        <v>#REF!</v>
      </c>
      <c r="D39" s="133" t="e">
        <f>IF(#REF!&lt;10,"D",IF(#REF!&lt;12,"C",IF(#REF!&lt;14,"C+",IF(#REF!&lt;15,"B",IF(#REF!&lt;16,"B+",IF(#REF!&lt;18,"A",IF(#REF!&lt;20,"A+")))))))</f>
        <v>#REF!</v>
      </c>
      <c r="E39" s="134" t="e">
        <f>IF(#REF!&lt;10,"D",IF(#REF!&lt;12,"C",IF(#REF!&lt;14,"C+",IF(#REF!&lt;15,"B",IF(#REF!&lt;16,"B+",IF(#REF!&lt;18,"A",IF(#REF!&lt;20,"A+")))))))</f>
        <v>#REF!</v>
      </c>
      <c r="F39" s="105" t="s">
        <v>53</v>
      </c>
      <c r="G39" s="106"/>
      <c r="H39" s="106"/>
      <c r="I39" s="107"/>
      <c r="J39" s="99" t="s">
        <v>54</v>
      </c>
      <c r="K39" s="101"/>
      <c r="L39" s="11"/>
      <c r="M39" s="11"/>
      <c r="N39" s="11"/>
      <c r="O39" s="11"/>
    </row>
    <row r="40" spans="2:15" ht="16.5" thickBot="1" x14ac:dyDescent="0.3">
      <c r="B40" s="25" t="s">
        <v>55</v>
      </c>
      <c r="C40" s="135" t="e">
        <f>IF(#REF!&lt;10,"D",IF(#REF!&lt;12,"C",IF(#REF!&lt;14,"C+",IF(#REF!&lt;15,"B",IF(#REF!&lt;16,"B+",IF(#REF!&lt;18,"A",IF(#REF!&lt;20,"A+")))))))</f>
        <v>#REF!</v>
      </c>
      <c r="D40" s="136" t="e">
        <f>IF(#REF!&lt;10,"D",IF(#REF!&lt;12,"C",IF(#REF!&lt;14,"C+",IF(#REF!&lt;15,"B",IF(#REF!&lt;16,"B+",IF(#REF!&lt;18,"A",IF(#REF!&lt;20,"A+")))))))</f>
        <v>#REF!</v>
      </c>
      <c r="E40" s="137" t="e">
        <f>IF(#REF!&lt;10,"D",IF(#REF!&lt;12,"C",IF(#REF!&lt;14,"C+",IF(#REF!&lt;15,"B",IF(#REF!&lt;16,"B+",IF(#REF!&lt;18,"A",IF(#REF!&lt;20,"A+")))))))</f>
        <v>#REF!</v>
      </c>
      <c r="F40" s="105" t="s">
        <v>56</v>
      </c>
      <c r="G40" s="106"/>
      <c r="H40" s="106"/>
      <c r="I40" s="107"/>
      <c r="J40" s="108" t="s">
        <v>57</v>
      </c>
      <c r="K40" s="109"/>
      <c r="L40" s="11"/>
      <c r="M40" s="11"/>
      <c r="N40" s="11"/>
      <c r="O40" s="11"/>
    </row>
    <row r="41" spans="2:15" ht="16.5" thickBot="1" x14ac:dyDescent="0.3">
      <c r="B41" s="25" t="s">
        <v>58</v>
      </c>
      <c r="C41" s="99" t="s">
        <v>59</v>
      </c>
      <c r="D41" s="100"/>
      <c r="E41" s="101"/>
      <c r="F41" s="105" t="s">
        <v>60</v>
      </c>
      <c r="G41" s="106"/>
      <c r="H41" s="106"/>
      <c r="I41" s="107"/>
      <c r="J41" s="108"/>
      <c r="K41" s="109"/>
      <c r="L41" s="11"/>
      <c r="M41" s="11"/>
      <c r="N41" s="11"/>
      <c r="O41" s="11"/>
    </row>
    <row r="42" spans="2:15" ht="16.5" thickBot="1" x14ac:dyDescent="0.3">
      <c r="B42" s="25" t="s">
        <v>61</v>
      </c>
      <c r="C42" s="102"/>
      <c r="D42" s="103"/>
      <c r="E42" s="104"/>
      <c r="F42" s="105" t="s">
        <v>62</v>
      </c>
      <c r="G42" s="106"/>
      <c r="H42" s="106"/>
      <c r="I42" s="107"/>
      <c r="J42" s="110" t="s">
        <v>63</v>
      </c>
      <c r="K42" s="111"/>
      <c r="L42" s="11"/>
      <c r="M42" s="11"/>
      <c r="N42" s="11"/>
      <c r="O42" s="11"/>
    </row>
    <row r="43" spans="2:15" ht="31.5" x14ac:dyDescent="0.25">
      <c r="B43" s="20" t="s">
        <v>64</v>
      </c>
      <c r="C43" s="112"/>
      <c r="D43" s="113"/>
      <c r="E43" s="114"/>
      <c r="F43" s="112"/>
      <c r="G43" s="113"/>
      <c r="H43" s="113"/>
      <c r="I43" s="114"/>
      <c r="J43" s="110" t="s">
        <v>65</v>
      </c>
      <c r="K43" s="111"/>
      <c r="L43" s="11"/>
      <c r="M43" s="11"/>
      <c r="N43" s="11"/>
      <c r="O43" s="11"/>
    </row>
    <row r="44" spans="2:15" ht="15.75" x14ac:dyDescent="0.25">
      <c r="B44" s="39"/>
      <c r="C44" s="115"/>
      <c r="D44" s="116"/>
      <c r="E44" s="117"/>
      <c r="F44" s="115"/>
      <c r="G44" s="116"/>
      <c r="H44" s="116"/>
      <c r="I44" s="117"/>
      <c r="J44" s="121"/>
      <c r="K44" s="122"/>
      <c r="L44" s="11"/>
      <c r="M44" s="11"/>
      <c r="N44" s="11"/>
      <c r="O44" s="11"/>
    </row>
    <row r="45" spans="2:15" ht="15.75" x14ac:dyDescent="0.25">
      <c r="B45" s="39"/>
      <c r="C45" s="115"/>
      <c r="D45" s="116"/>
      <c r="E45" s="117"/>
      <c r="F45" s="115"/>
      <c r="G45" s="116"/>
      <c r="H45" s="116"/>
      <c r="I45" s="117"/>
      <c r="J45" s="121"/>
      <c r="K45" s="122"/>
      <c r="L45" s="11"/>
      <c r="M45" s="11"/>
      <c r="N45" s="11"/>
      <c r="O45" s="11"/>
    </row>
    <row r="46" spans="2:15" ht="16.5" thickBot="1" x14ac:dyDescent="0.3">
      <c r="B46" s="40"/>
      <c r="C46" s="118"/>
      <c r="D46" s="119"/>
      <c r="E46" s="120"/>
      <c r="F46" s="118"/>
      <c r="G46" s="119"/>
      <c r="H46" s="119"/>
      <c r="I46" s="120"/>
      <c r="J46" s="97"/>
      <c r="K46" s="98"/>
      <c r="L46" s="11"/>
      <c r="M46" s="11"/>
      <c r="N46" s="11"/>
      <c r="O46" s="11"/>
    </row>
  </sheetData>
  <mergeCells count="60">
    <mergeCell ref="H13:I13"/>
    <mergeCell ref="H4:I4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  <mergeCell ref="C23:E23"/>
    <mergeCell ref="F23:G23"/>
    <mergeCell ref="I23:K23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B34:G34"/>
    <mergeCell ref="H34:K34"/>
    <mergeCell ref="B24:K24"/>
    <mergeCell ref="H25:I25"/>
    <mergeCell ref="H26:I26"/>
    <mergeCell ref="H27:I27"/>
    <mergeCell ref="C29:E29"/>
    <mergeCell ref="F29:G29"/>
    <mergeCell ref="I29:K29"/>
    <mergeCell ref="B30:K30"/>
    <mergeCell ref="F31:G31"/>
    <mergeCell ref="I31:J31"/>
    <mergeCell ref="H32:K32"/>
    <mergeCell ref="H33:I33"/>
    <mergeCell ref="B35:K35"/>
    <mergeCell ref="B36:K36"/>
    <mergeCell ref="C37:E37"/>
    <mergeCell ref="F37:K38"/>
    <mergeCell ref="C38:E40"/>
    <mergeCell ref="F39:I39"/>
    <mergeCell ref="J39:K39"/>
    <mergeCell ref="F40:I40"/>
    <mergeCell ref="J40:K40"/>
    <mergeCell ref="J46:K46"/>
    <mergeCell ref="C41:E42"/>
    <mergeCell ref="F41:I41"/>
    <mergeCell ref="J41:K41"/>
    <mergeCell ref="F42:I42"/>
    <mergeCell ref="J42:K42"/>
    <mergeCell ref="C43:E46"/>
    <mergeCell ref="F43:I46"/>
    <mergeCell ref="J43:K43"/>
    <mergeCell ref="J44:K44"/>
    <mergeCell ref="J45:K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6"/>
  <sheetViews>
    <sheetView topLeftCell="A41" zoomScale="90" zoomScaleNormal="90" workbookViewId="0">
      <selection activeCell="B4" sqref="B4:K46"/>
    </sheetView>
  </sheetViews>
  <sheetFormatPr baseColWidth="10" defaultRowHeight="15" x14ac:dyDescent="0.25"/>
  <cols>
    <col min="2" max="2" width="41.42578125" customWidth="1"/>
    <col min="3" max="3" width="12.140625" customWidth="1"/>
    <col min="5" max="5" width="15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81" t="s">
        <v>23</v>
      </c>
      <c r="C4" s="82" t="s">
        <v>24</v>
      </c>
      <c r="D4" s="82" t="s">
        <v>25</v>
      </c>
      <c r="E4" s="82" t="s">
        <v>26</v>
      </c>
      <c r="F4" s="82" t="s">
        <v>27</v>
      </c>
      <c r="G4" s="81" t="s">
        <v>28</v>
      </c>
      <c r="H4" s="160" t="s">
        <v>29</v>
      </c>
      <c r="I4" s="161"/>
      <c r="J4" s="82" t="s">
        <v>22</v>
      </c>
      <c r="K4" s="82" t="s">
        <v>30</v>
      </c>
      <c r="L4" s="11"/>
      <c r="M4" s="11"/>
      <c r="N4" s="11"/>
      <c r="O4" s="11"/>
    </row>
    <row r="5" spans="2:15" ht="32.25" thickBot="1" x14ac:dyDescent="0.3">
      <c r="B5" s="83" t="s">
        <v>66</v>
      </c>
      <c r="C5" s="13">
        <f>(D5+E5)/2</f>
        <v>13.5</v>
      </c>
      <c r="D5" s="42">
        <v>14</v>
      </c>
      <c r="E5" s="42">
        <v>13</v>
      </c>
      <c r="F5" s="14">
        <v>4</v>
      </c>
      <c r="G5" s="15">
        <f>C5*F5</f>
        <v>54</v>
      </c>
      <c r="H5" s="145">
        <v>12.58</v>
      </c>
      <c r="I5" s="146"/>
      <c r="J5" s="45" t="s">
        <v>104</v>
      </c>
      <c r="K5" s="13" t="str">
        <f>IF(C5&lt;10,"D",IF(C5&lt;12,"C",IF(C5&lt;14,"C+",IF(C5&lt;15,"B",IF(C5&lt;16,"B+",IF(C5&lt;18,"A",IF(C5&lt;20,"A+")))))))</f>
        <v>C+</v>
      </c>
      <c r="L5" s="11"/>
      <c r="M5" s="11"/>
      <c r="N5" s="16">
        <f>D5*F5</f>
        <v>56</v>
      </c>
      <c r="O5" s="16">
        <f>E5*F5</f>
        <v>52</v>
      </c>
    </row>
    <row r="6" spans="2:15" ht="32.25" thickBot="1" x14ac:dyDescent="0.3">
      <c r="B6" s="83" t="s">
        <v>91</v>
      </c>
      <c r="C6" s="13">
        <f t="shared" ref="C6:C8" si="0">(D6+E6)/2</f>
        <v>14.5</v>
      </c>
      <c r="D6" s="42">
        <v>13</v>
      </c>
      <c r="E6" s="42">
        <v>16</v>
      </c>
      <c r="F6" s="14">
        <v>2</v>
      </c>
      <c r="G6" s="15">
        <f t="shared" ref="G6:G8" si="1">C6*F6</f>
        <v>29</v>
      </c>
      <c r="H6" s="145">
        <v>13.33</v>
      </c>
      <c r="I6" s="146"/>
      <c r="J6" s="45" t="s">
        <v>106</v>
      </c>
      <c r="K6" s="13" t="str">
        <f>IF(C6&lt;10,"D",IF(C6&lt;12,"C",IF(C6&lt;14,"C+",IF(C6&lt;15,"B",IF(C6&lt;16,"B+",IF(C6&lt;18,"A",IF(C6&lt;20,"A+")))))))</f>
        <v>B</v>
      </c>
      <c r="L6" s="11"/>
      <c r="M6" s="11"/>
      <c r="N6" s="16">
        <f t="shared" ref="N6:N8" si="2">D6*F6</f>
        <v>26</v>
      </c>
      <c r="O6" s="16">
        <f t="shared" ref="O6:O8" si="3">E6*F6</f>
        <v>32</v>
      </c>
    </row>
    <row r="7" spans="2:15" ht="32.25" thickBot="1" x14ac:dyDescent="0.3">
      <c r="B7" s="83" t="s">
        <v>92</v>
      </c>
      <c r="C7" s="13">
        <f t="shared" si="0"/>
        <v>13.25</v>
      </c>
      <c r="D7" s="42">
        <v>12</v>
      </c>
      <c r="E7" s="42">
        <v>14.5</v>
      </c>
      <c r="F7" s="14">
        <v>3</v>
      </c>
      <c r="G7" s="15">
        <f t="shared" si="1"/>
        <v>39.75</v>
      </c>
      <c r="H7" s="145">
        <v>12.17</v>
      </c>
      <c r="I7" s="146"/>
      <c r="J7" s="45" t="s">
        <v>106</v>
      </c>
      <c r="K7" s="13" t="str">
        <f>IF(C7&lt;10,"D",IF(C7&lt;12,"C",IF(C7&lt;14,"C+",IF(C7&lt;15,"B",IF(C7&lt;16,"B+",IF(C7&lt;18,"A",IF(C7&lt;20,"A+")))))))</f>
        <v>C+</v>
      </c>
      <c r="L7" s="11"/>
      <c r="M7" s="11"/>
      <c r="N7" s="16">
        <f t="shared" si="2"/>
        <v>36</v>
      </c>
      <c r="O7" s="16">
        <f t="shared" si="3"/>
        <v>43.5</v>
      </c>
    </row>
    <row r="8" spans="2:15" ht="32.25" thickBot="1" x14ac:dyDescent="0.3">
      <c r="B8" s="83" t="s">
        <v>67</v>
      </c>
      <c r="C8" s="13">
        <f t="shared" si="0"/>
        <v>8.375</v>
      </c>
      <c r="D8" s="42">
        <v>5.5</v>
      </c>
      <c r="E8" s="43">
        <v>11.25</v>
      </c>
      <c r="F8" s="14">
        <v>3</v>
      </c>
      <c r="G8" s="15">
        <f t="shared" si="1"/>
        <v>25.125</v>
      </c>
      <c r="H8" s="145">
        <v>10.46</v>
      </c>
      <c r="I8" s="146"/>
      <c r="J8" s="45" t="s">
        <v>102</v>
      </c>
      <c r="K8" s="13" t="str">
        <f>IF(C8&lt;10,"D",IF(C8&lt;12,"C",IF(C8&lt;14,"C+",IF(C8&lt;15,"B",IF(C8&lt;16,"B+",IF(C8&lt;18,"A",IF(C8&lt;20,"A+")))))))</f>
        <v>D</v>
      </c>
      <c r="L8" s="11"/>
      <c r="M8" s="11"/>
      <c r="N8" s="16">
        <f t="shared" si="2"/>
        <v>16.5</v>
      </c>
      <c r="O8" s="16">
        <f t="shared" si="3"/>
        <v>33.75</v>
      </c>
    </row>
    <row r="9" spans="2:15" ht="16.5" thickBot="1" x14ac:dyDescent="0.3">
      <c r="B9" s="154" t="s">
        <v>31</v>
      </c>
      <c r="C9" s="155"/>
      <c r="D9" s="155"/>
      <c r="E9" s="155"/>
      <c r="F9" s="155"/>
      <c r="G9" s="155"/>
      <c r="H9" s="155"/>
      <c r="I9" s="155"/>
      <c r="J9" s="155"/>
      <c r="K9" s="156"/>
      <c r="L9" s="11"/>
      <c r="M9" s="11"/>
      <c r="N9" s="11"/>
      <c r="O9" s="11"/>
    </row>
    <row r="10" spans="2:15" ht="16.5" thickBot="1" x14ac:dyDescent="0.3">
      <c r="B10" s="17" t="s">
        <v>32</v>
      </c>
      <c r="C10" s="147">
        <f>(SUM(G5:G8)/SUM(F5:F8))</f>
        <v>12.322916666666666</v>
      </c>
      <c r="D10" s="147"/>
      <c r="E10" s="147"/>
      <c r="F10" s="152" t="s">
        <v>33</v>
      </c>
      <c r="G10" s="152"/>
      <c r="H10" s="84"/>
      <c r="I10" s="149"/>
      <c r="J10" s="149"/>
      <c r="K10" s="153"/>
      <c r="L10" s="11"/>
      <c r="M10" s="11"/>
      <c r="N10" s="11"/>
      <c r="O10" s="11"/>
    </row>
    <row r="11" spans="2:15" ht="16.5" thickBot="1" x14ac:dyDescent="0.3">
      <c r="B11" s="141"/>
      <c r="C11" s="142"/>
      <c r="D11" s="142"/>
      <c r="E11" s="142"/>
      <c r="F11" s="142"/>
      <c r="G11" s="142"/>
      <c r="H11" s="142"/>
      <c r="I11" s="142"/>
      <c r="J11" s="142"/>
      <c r="K11" s="144"/>
      <c r="L11" s="11"/>
      <c r="M11" s="11"/>
      <c r="N11" s="11"/>
      <c r="O11" s="11"/>
    </row>
    <row r="12" spans="2:15" ht="32.25" thickBot="1" x14ac:dyDescent="0.3">
      <c r="B12" s="83" t="s">
        <v>93</v>
      </c>
      <c r="C12" s="13">
        <f t="shared" ref="C12:C15" si="4">(D12+E12)/2</f>
        <v>15.5</v>
      </c>
      <c r="D12" s="43">
        <v>16</v>
      </c>
      <c r="E12" s="43">
        <v>15</v>
      </c>
      <c r="F12" s="14">
        <v>2</v>
      </c>
      <c r="G12" s="15">
        <f t="shared" ref="G12:G15" si="5">C12*F12</f>
        <v>31</v>
      </c>
      <c r="H12" s="145">
        <v>11.5</v>
      </c>
      <c r="I12" s="146"/>
      <c r="J12" s="45" t="s">
        <v>106</v>
      </c>
      <c r="K12" s="13" t="str">
        <f>IF(C12&lt;10,"D",IF(C12&lt;12,"C",IF(C12&lt;14,"C+",IF(C12&lt;15,"B",IF(C12&lt;16,"B+",IF(C12&lt;18,"A",IF(C12&lt;20,"A+")))))))</f>
        <v>B+</v>
      </c>
      <c r="L12" s="11"/>
      <c r="M12" s="11"/>
      <c r="N12" s="16">
        <f t="shared" ref="N12:N15" si="6">D12*F12</f>
        <v>32</v>
      </c>
      <c r="O12" s="16">
        <f t="shared" ref="O12:O15" si="7">E12*F12</f>
        <v>30</v>
      </c>
    </row>
    <row r="13" spans="2:15" ht="32.25" thickBot="1" x14ac:dyDescent="0.3">
      <c r="B13" s="83" t="s">
        <v>94</v>
      </c>
      <c r="C13" s="13">
        <f t="shared" si="4"/>
        <v>14.5</v>
      </c>
      <c r="D13" s="42">
        <v>14</v>
      </c>
      <c r="E13" s="42">
        <v>15</v>
      </c>
      <c r="F13" s="14">
        <v>2</v>
      </c>
      <c r="G13" s="15">
        <f t="shared" si="5"/>
        <v>29</v>
      </c>
      <c r="H13" s="145">
        <v>11.83</v>
      </c>
      <c r="I13" s="146"/>
      <c r="J13" s="45" t="s">
        <v>106</v>
      </c>
      <c r="K13" s="13" t="str">
        <f>IF(C13&lt;10,"D",IF(C13&lt;12,"C",IF(C13&lt;14,"C+",IF(C13&lt;15,"B",IF(C13&lt;16,"B+",IF(C13&lt;18,"A",IF(C13&lt;20,"A+")))))))</f>
        <v>B</v>
      </c>
      <c r="L13" s="11"/>
      <c r="M13" s="11"/>
      <c r="N13" s="16">
        <f t="shared" si="6"/>
        <v>28</v>
      </c>
      <c r="O13" s="16">
        <f t="shared" si="7"/>
        <v>30</v>
      </c>
    </row>
    <row r="14" spans="2:15" ht="32.25" thickBot="1" x14ac:dyDescent="0.3">
      <c r="B14" s="83" t="s">
        <v>68</v>
      </c>
      <c r="C14" s="13">
        <f t="shared" si="4"/>
        <v>14</v>
      </c>
      <c r="D14" s="42">
        <v>14</v>
      </c>
      <c r="E14" s="42">
        <v>14</v>
      </c>
      <c r="F14" s="14">
        <v>2</v>
      </c>
      <c r="G14" s="15">
        <f t="shared" si="5"/>
        <v>28</v>
      </c>
      <c r="H14" s="145">
        <v>8</v>
      </c>
      <c r="I14" s="146"/>
      <c r="J14" s="45" t="s">
        <v>106</v>
      </c>
      <c r="K14" s="13" t="str">
        <f>IF(C14&lt;10,"D",IF(C14&lt;12,"C",IF(C14&lt;14,"C+",IF(C14&lt;15,"B",IF(C14&lt;16,"B+",IF(C14&lt;18,"A",IF(C14&lt;20,"A+")))))))</f>
        <v>B</v>
      </c>
      <c r="L14" s="11"/>
      <c r="M14" s="11"/>
      <c r="N14" s="16">
        <f t="shared" si="6"/>
        <v>28</v>
      </c>
      <c r="O14" s="16">
        <f t="shared" si="7"/>
        <v>28</v>
      </c>
    </row>
    <row r="15" spans="2:15" ht="32.25" thickBot="1" x14ac:dyDescent="0.3">
      <c r="B15" s="83" t="s">
        <v>95</v>
      </c>
      <c r="C15" s="13">
        <f t="shared" si="4"/>
        <v>15.585000000000001</v>
      </c>
      <c r="D15" s="42">
        <v>13</v>
      </c>
      <c r="E15" s="42">
        <v>18.170000000000002</v>
      </c>
      <c r="F15" s="14">
        <v>2</v>
      </c>
      <c r="G15" s="15">
        <f t="shared" si="5"/>
        <v>31.17</v>
      </c>
      <c r="H15" s="145">
        <v>13.87</v>
      </c>
      <c r="I15" s="146"/>
      <c r="J15" s="45" t="s">
        <v>106</v>
      </c>
      <c r="K15" s="13" t="str">
        <f>IF(C15&lt;10,"D",IF(C15&lt;12,"C",IF(C15&lt;14,"C+",IF(C15&lt;15,"B",IF(C15&lt;16,"B+",IF(C15&lt;18,"A",IF(C15&lt;20,"A+")))))))</f>
        <v>B+</v>
      </c>
      <c r="L15" s="11"/>
      <c r="M15" s="11"/>
      <c r="N15" s="16">
        <f t="shared" si="6"/>
        <v>26</v>
      </c>
      <c r="O15" s="16">
        <f t="shared" si="7"/>
        <v>36.340000000000003</v>
      </c>
    </row>
    <row r="16" spans="2:15" ht="16.5" thickBot="1" x14ac:dyDescent="0.3">
      <c r="B16" s="154" t="s">
        <v>34</v>
      </c>
      <c r="C16" s="155"/>
      <c r="D16" s="155"/>
      <c r="E16" s="155"/>
      <c r="F16" s="155"/>
      <c r="G16" s="155"/>
      <c r="H16" s="155"/>
      <c r="I16" s="155"/>
      <c r="J16" s="155"/>
      <c r="K16" s="156"/>
      <c r="L16" s="11"/>
      <c r="M16" s="11"/>
      <c r="N16" s="11"/>
      <c r="O16" s="11"/>
    </row>
    <row r="17" spans="2:15" ht="16.5" thickBot="1" x14ac:dyDescent="0.3">
      <c r="B17" s="17" t="s">
        <v>35</v>
      </c>
      <c r="C17" s="147">
        <f>(SUM(G12:G15)/SUM(F12:F15))</f>
        <v>14.89625</v>
      </c>
      <c r="D17" s="147"/>
      <c r="E17" s="147"/>
      <c r="F17" s="152" t="s">
        <v>33</v>
      </c>
      <c r="G17" s="152"/>
      <c r="H17" s="84"/>
      <c r="I17" s="149"/>
      <c r="J17" s="149"/>
      <c r="K17" s="153"/>
      <c r="L17" s="11"/>
      <c r="M17" s="11"/>
      <c r="N17" s="11"/>
      <c r="O17" s="11"/>
    </row>
    <row r="18" spans="2:15" ht="16.5" thickBot="1" x14ac:dyDescent="0.3">
      <c r="B18" s="157"/>
      <c r="C18" s="158"/>
      <c r="D18" s="158"/>
      <c r="E18" s="158"/>
      <c r="F18" s="158"/>
      <c r="G18" s="158"/>
      <c r="H18" s="158"/>
      <c r="I18" s="158"/>
      <c r="J18" s="158"/>
      <c r="K18" s="159"/>
      <c r="L18" s="11"/>
      <c r="M18" s="11"/>
      <c r="N18" s="11"/>
      <c r="O18" s="11"/>
    </row>
    <row r="19" spans="2:15" ht="32.25" thickBot="1" x14ac:dyDescent="0.3">
      <c r="B19" s="83" t="s">
        <v>96</v>
      </c>
      <c r="C19" s="13">
        <f t="shared" ref="C19:C21" si="8">(D19+E19)/2</f>
        <v>7.875</v>
      </c>
      <c r="D19" s="42">
        <v>5</v>
      </c>
      <c r="E19" s="42">
        <v>10.75</v>
      </c>
      <c r="F19" s="14">
        <v>2</v>
      </c>
      <c r="G19" s="15">
        <f t="shared" ref="G19:G21" si="9">C19*F19</f>
        <v>15.75</v>
      </c>
      <c r="H19" s="145">
        <v>7.75</v>
      </c>
      <c r="I19" s="146"/>
      <c r="J19" s="45" t="s">
        <v>104</v>
      </c>
      <c r="K19" s="13" t="str">
        <f>IF(C19&lt;10,"D",IF(C19&lt;12,"C",IF(C19&lt;14,"C+",IF(C19&lt;15,"B",IF(C19&lt;16,"B+",IF(C19&lt;18,"A",IF(C19&lt;20,"A+")))))))</f>
        <v>D</v>
      </c>
      <c r="L19" s="11"/>
      <c r="M19" s="11"/>
      <c r="N19" s="16">
        <f t="shared" ref="N19:N21" si="10">D19*F19</f>
        <v>10</v>
      </c>
      <c r="O19" s="16">
        <f t="shared" ref="O19:O21" si="11">E19*F19</f>
        <v>21.5</v>
      </c>
    </row>
    <row r="20" spans="2:15" ht="32.25" thickBot="1" x14ac:dyDescent="0.3">
      <c r="B20" s="83" t="s">
        <v>97</v>
      </c>
      <c r="C20" s="13">
        <f t="shared" si="8"/>
        <v>11.5</v>
      </c>
      <c r="D20" s="42">
        <v>12</v>
      </c>
      <c r="E20" s="42">
        <v>11</v>
      </c>
      <c r="F20" s="14">
        <v>2</v>
      </c>
      <c r="G20" s="15">
        <f t="shared" si="9"/>
        <v>23</v>
      </c>
      <c r="H20" s="145">
        <v>7.83</v>
      </c>
      <c r="I20" s="146"/>
      <c r="J20" s="45" t="s">
        <v>106</v>
      </c>
      <c r="K20" s="13" t="str">
        <f>IF(C20&lt;10,"D",IF(C20&lt;12,"C",IF(C20&lt;14,"C+",IF(C20&lt;15,"B",IF(C20&lt;16,"B+",IF(C20&lt;18,"A",IF(C20&lt;20,"A+")))))))</f>
        <v>C</v>
      </c>
      <c r="L20" s="11"/>
      <c r="M20" s="11"/>
      <c r="N20" s="16">
        <f t="shared" si="10"/>
        <v>24</v>
      </c>
      <c r="O20" s="16">
        <f t="shared" si="11"/>
        <v>22</v>
      </c>
    </row>
    <row r="21" spans="2:15" ht="32.25" thickBot="1" x14ac:dyDescent="0.3">
      <c r="B21" s="83" t="s">
        <v>98</v>
      </c>
      <c r="C21" s="13">
        <f t="shared" si="8"/>
        <v>14.5</v>
      </c>
      <c r="D21" s="42">
        <v>11.5</v>
      </c>
      <c r="E21" s="42">
        <v>17.5</v>
      </c>
      <c r="F21" s="14">
        <v>1</v>
      </c>
      <c r="G21" s="15">
        <f t="shared" si="9"/>
        <v>14.5</v>
      </c>
      <c r="H21" s="145">
        <v>13.58</v>
      </c>
      <c r="I21" s="146"/>
      <c r="J21" s="45" t="s">
        <v>106</v>
      </c>
      <c r="K21" s="13" t="str">
        <f>IF(C21&lt;10,"D",IF(C21&lt;12,"C",IF(C21&lt;14,"C+",IF(C21&lt;15,"B",IF(C21&lt;16,"B+",IF(C21&lt;18,"A",IF(C21&lt;20,"A+")))))))</f>
        <v>B</v>
      </c>
      <c r="L21" s="11"/>
      <c r="M21" s="11"/>
      <c r="N21" s="16">
        <f t="shared" si="10"/>
        <v>11.5</v>
      </c>
      <c r="O21" s="16">
        <f t="shared" si="11"/>
        <v>17.5</v>
      </c>
    </row>
    <row r="22" spans="2:15" ht="16.5" thickBot="1" x14ac:dyDescent="0.3">
      <c r="B22" s="154" t="s">
        <v>36</v>
      </c>
      <c r="C22" s="155"/>
      <c r="D22" s="155"/>
      <c r="E22" s="155"/>
      <c r="F22" s="155"/>
      <c r="G22" s="155"/>
      <c r="H22" s="155"/>
      <c r="I22" s="155"/>
      <c r="J22" s="155"/>
      <c r="K22" s="156"/>
      <c r="L22" s="11"/>
      <c r="M22" s="11"/>
      <c r="N22" s="11"/>
      <c r="O22" s="11"/>
    </row>
    <row r="23" spans="2:15" ht="16.5" thickBot="1" x14ac:dyDescent="0.3">
      <c r="B23" s="17" t="s">
        <v>32</v>
      </c>
      <c r="C23" s="147">
        <f>(SUM(G19:G21)/SUM(F19:F21))</f>
        <v>10.65</v>
      </c>
      <c r="D23" s="147"/>
      <c r="E23" s="147"/>
      <c r="F23" s="152" t="s">
        <v>33</v>
      </c>
      <c r="G23" s="152"/>
      <c r="H23" s="84"/>
      <c r="I23" s="149"/>
      <c r="J23" s="149"/>
      <c r="K23" s="153"/>
      <c r="L23" s="11"/>
      <c r="M23" s="11"/>
      <c r="N23" s="11"/>
      <c r="O23" s="11"/>
    </row>
    <row r="24" spans="2:15" ht="16.5" thickBot="1" x14ac:dyDescent="0.3">
      <c r="B24" s="141"/>
      <c r="C24" s="142"/>
      <c r="D24" s="142"/>
      <c r="E24" s="142"/>
      <c r="F24" s="142"/>
      <c r="G24" s="142"/>
      <c r="H24" s="143"/>
      <c r="I24" s="143"/>
      <c r="J24" s="143"/>
      <c r="K24" s="144"/>
      <c r="L24" s="11"/>
      <c r="M24" s="11"/>
      <c r="N24" s="11"/>
      <c r="O24" s="11"/>
    </row>
    <row r="25" spans="2:15" ht="32.25" thickBot="1" x14ac:dyDescent="0.3">
      <c r="B25" s="83" t="s">
        <v>69</v>
      </c>
      <c r="C25" s="13">
        <f t="shared" ref="C25:C27" si="12">(D25+E25)/2</f>
        <v>15.625</v>
      </c>
      <c r="D25" s="42">
        <v>16</v>
      </c>
      <c r="E25" s="42">
        <v>15.25</v>
      </c>
      <c r="F25" s="14">
        <v>2</v>
      </c>
      <c r="G25" s="15">
        <f t="shared" ref="G25:G27" si="13">C25*F25</f>
        <v>31.25</v>
      </c>
      <c r="H25" s="145">
        <v>15.13</v>
      </c>
      <c r="I25" s="146"/>
      <c r="J25" s="45" t="s">
        <v>104</v>
      </c>
      <c r="K25" s="13" t="str">
        <f>IF(C25&lt;10,"D",IF(C25&lt;12,"C",IF(C25&lt;14,"C+",IF(C25&lt;15,"B",IF(C25&lt;16,"B+",IF(C25&lt;18,"A",IF(C25&lt;20,"A+")))))))</f>
        <v>B+</v>
      </c>
      <c r="L25" s="11"/>
      <c r="M25" s="11"/>
      <c r="N25" s="16">
        <f t="shared" ref="N25:N27" si="14">D25*F25</f>
        <v>32</v>
      </c>
      <c r="O25" s="16">
        <f t="shared" ref="O25:O27" si="15">E25*F25</f>
        <v>30.5</v>
      </c>
    </row>
    <row r="26" spans="2:15" ht="33" customHeight="1" thickBot="1" x14ac:dyDescent="0.3">
      <c r="B26" s="44" t="s">
        <v>99</v>
      </c>
      <c r="C26" s="13">
        <f t="shared" si="12"/>
        <v>17.25</v>
      </c>
      <c r="D26" s="42">
        <v>18</v>
      </c>
      <c r="E26" s="42">
        <v>16.5</v>
      </c>
      <c r="F26" s="14">
        <v>1</v>
      </c>
      <c r="G26" s="15">
        <f t="shared" si="13"/>
        <v>17.25</v>
      </c>
      <c r="H26" s="145">
        <v>17.329999999999998</v>
      </c>
      <c r="I26" s="146"/>
      <c r="J26" s="45" t="s">
        <v>103</v>
      </c>
      <c r="K26" s="13" t="str">
        <f>IF(C26&lt;10,"D",IF(C26&lt;12,"C",IF(C26&lt;14,"C+",IF(C26&lt;15,"B",IF(C26&lt;16,"B+",IF(C26&lt;18,"A",IF(C26&lt;20,"A+")))))))</f>
        <v>A</v>
      </c>
      <c r="L26" s="11"/>
      <c r="M26" s="11"/>
      <c r="N26" s="16">
        <f t="shared" si="14"/>
        <v>18</v>
      </c>
      <c r="O26" s="16">
        <f t="shared" si="15"/>
        <v>16.5</v>
      </c>
    </row>
    <row r="27" spans="2:15" ht="32.25" thickBot="1" x14ac:dyDescent="0.3">
      <c r="B27" s="83" t="s">
        <v>100</v>
      </c>
      <c r="C27" s="13">
        <f t="shared" si="12"/>
        <v>16</v>
      </c>
      <c r="D27" s="42">
        <v>15</v>
      </c>
      <c r="E27" s="42">
        <v>17</v>
      </c>
      <c r="F27" s="14">
        <v>1</v>
      </c>
      <c r="G27" s="15">
        <f t="shared" si="13"/>
        <v>16</v>
      </c>
      <c r="H27" s="145">
        <v>15.83</v>
      </c>
      <c r="I27" s="146"/>
      <c r="J27" s="45" t="s">
        <v>104</v>
      </c>
      <c r="K27" s="13" t="str">
        <f>IF(C27&lt;10,"D",IF(C27&lt;12,"C",IF(C27&lt;14,"C+",IF(C27&lt;15,"B",IF(C27&lt;16,"B+",IF(C27&lt;18,"A",IF(C27&lt;20,"A+")))))))</f>
        <v>A</v>
      </c>
      <c r="L27" s="11"/>
      <c r="M27" s="11"/>
      <c r="N27" s="16">
        <f t="shared" si="14"/>
        <v>15</v>
      </c>
      <c r="O27" s="16">
        <f t="shared" si="15"/>
        <v>17</v>
      </c>
    </row>
    <row r="28" spans="2:15" ht="16.5" thickBot="1" x14ac:dyDescent="0.3">
      <c r="B28" s="20" t="s">
        <v>37</v>
      </c>
      <c r="C28" s="21"/>
      <c r="D28" s="21"/>
      <c r="E28" s="21"/>
      <c r="F28" s="21"/>
      <c r="G28" s="21"/>
      <c r="H28" s="21"/>
      <c r="I28" s="21"/>
      <c r="J28" s="21"/>
      <c r="K28" s="22"/>
      <c r="L28" s="11"/>
      <c r="M28" s="11"/>
      <c r="N28" s="11">
        <f>SUM(N5:N27)</f>
        <v>359</v>
      </c>
      <c r="O28" s="11">
        <f>SUM(O5:O27)</f>
        <v>410.59000000000003</v>
      </c>
    </row>
    <row r="29" spans="2:15" ht="16.5" thickBot="1" x14ac:dyDescent="0.3">
      <c r="B29" s="23" t="s">
        <v>35</v>
      </c>
      <c r="C29" s="147">
        <f>(SUM(G25:G27)/SUM(F25:F27))</f>
        <v>16.125</v>
      </c>
      <c r="D29" s="147"/>
      <c r="E29" s="147"/>
      <c r="F29" s="148" t="s">
        <v>33</v>
      </c>
      <c r="G29" s="148"/>
      <c r="H29" s="85"/>
      <c r="I29" s="106"/>
      <c r="J29" s="106"/>
      <c r="K29" s="107"/>
      <c r="L29" s="11"/>
      <c r="M29" s="11"/>
      <c r="N29" s="11">
        <v>29</v>
      </c>
      <c r="O29" s="11">
        <v>29</v>
      </c>
    </row>
    <row r="30" spans="2:15" ht="16.5" thickBot="1" x14ac:dyDescent="0.3">
      <c r="B30" s="126"/>
      <c r="C30" s="127"/>
      <c r="D30" s="127"/>
      <c r="E30" s="127"/>
      <c r="F30" s="127"/>
      <c r="G30" s="127"/>
      <c r="H30" s="127"/>
      <c r="I30" s="127"/>
      <c r="J30" s="127"/>
      <c r="K30" s="128"/>
      <c r="L30" s="11"/>
      <c r="M30" s="11"/>
      <c r="N30" s="11">
        <f>N28/N29</f>
        <v>12.379310344827585</v>
      </c>
      <c r="O30" s="11">
        <f>O28/O29</f>
        <v>14.158275862068967</v>
      </c>
    </row>
    <row r="31" spans="2:15" ht="48" thickBot="1" x14ac:dyDescent="0.3">
      <c r="B31" s="20" t="s">
        <v>38</v>
      </c>
      <c r="C31" s="25" t="s">
        <v>39</v>
      </c>
      <c r="D31" s="84">
        <v>11.84</v>
      </c>
      <c r="E31" s="26" t="s">
        <v>40</v>
      </c>
      <c r="F31" s="149">
        <v>13.27</v>
      </c>
      <c r="G31" s="149"/>
      <c r="H31" s="26" t="s">
        <v>41</v>
      </c>
      <c r="I31" s="149">
        <v>10.7</v>
      </c>
      <c r="J31" s="149"/>
      <c r="K31" s="27"/>
      <c r="L31" s="28"/>
      <c r="M31" s="28"/>
      <c r="N31" s="28"/>
      <c r="O31" s="28"/>
    </row>
    <row r="32" spans="2:15" ht="15.75" x14ac:dyDescent="0.25">
      <c r="B32" s="162"/>
      <c r="C32" s="163" t="s">
        <v>25</v>
      </c>
      <c r="D32" s="163" t="s">
        <v>26</v>
      </c>
      <c r="E32" s="164"/>
      <c r="F32" s="164"/>
      <c r="G32" s="165"/>
      <c r="H32" s="112"/>
      <c r="I32" s="113"/>
      <c r="J32" s="113"/>
      <c r="K32" s="114"/>
      <c r="L32" s="11"/>
      <c r="M32" s="11"/>
      <c r="N32" s="11"/>
      <c r="O32" s="11"/>
    </row>
    <row r="33" spans="2:15" ht="15.75" x14ac:dyDescent="0.25">
      <c r="B33" s="166" t="s">
        <v>42</v>
      </c>
      <c r="C33" s="167">
        <f>N30</f>
        <v>12.379310344827585</v>
      </c>
      <c r="D33" s="167">
        <f>O30</f>
        <v>14.158275862068967</v>
      </c>
      <c r="E33" s="168" t="s">
        <v>43</v>
      </c>
      <c r="F33" s="169">
        <f>(G5+G6+G7+G8+G12+G13+G14+G15+G19+G20+G21+G25+G26+G27)/29</f>
        <v>13.268793103448276</v>
      </c>
      <c r="G33" s="168" t="s">
        <v>44</v>
      </c>
      <c r="H33" s="150" t="s">
        <v>45</v>
      </c>
      <c r="I33" s="151"/>
      <c r="J33" s="37" t="s">
        <v>101</v>
      </c>
      <c r="K33" s="38" t="s">
        <v>70</v>
      </c>
      <c r="L33" s="11"/>
      <c r="M33" s="11"/>
      <c r="N33" s="11"/>
      <c r="O33" s="11"/>
    </row>
    <row r="34" spans="2:15" ht="16.5" thickBot="1" x14ac:dyDescent="0.3">
      <c r="B34" s="170"/>
      <c r="C34" s="171"/>
      <c r="D34" s="171"/>
      <c r="E34" s="171"/>
      <c r="F34" s="171"/>
      <c r="G34" s="171"/>
      <c r="H34" s="97"/>
      <c r="I34" s="140"/>
      <c r="J34" s="140"/>
      <c r="K34" s="98"/>
      <c r="L34" s="11"/>
      <c r="M34" s="11"/>
      <c r="N34" s="11"/>
      <c r="O34" s="11"/>
    </row>
    <row r="35" spans="2:15" ht="16.5" thickBot="1" x14ac:dyDescent="0.3">
      <c r="B35" s="123" t="s">
        <v>46</v>
      </c>
      <c r="C35" s="124"/>
      <c r="D35" s="124"/>
      <c r="E35" s="124"/>
      <c r="F35" s="124"/>
      <c r="G35" s="124"/>
      <c r="H35" s="124"/>
      <c r="I35" s="124"/>
      <c r="J35" s="124"/>
      <c r="K35" s="125"/>
      <c r="L35" s="11"/>
      <c r="M35" s="11"/>
      <c r="N35" s="11"/>
      <c r="O35" s="11"/>
    </row>
    <row r="36" spans="2:15" ht="16.5" thickBot="1" x14ac:dyDescent="0.3">
      <c r="B36" s="105" t="s">
        <v>47</v>
      </c>
      <c r="C36" s="106"/>
      <c r="D36" s="106"/>
      <c r="E36" s="106"/>
      <c r="F36" s="106"/>
      <c r="G36" s="106"/>
      <c r="H36" s="106"/>
      <c r="I36" s="106"/>
      <c r="J36" s="106"/>
      <c r="K36" s="107"/>
      <c r="L36" s="11"/>
      <c r="M36" s="11"/>
      <c r="N36" s="11"/>
      <c r="O36" s="11"/>
    </row>
    <row r="37" spans="2:15" ht="16.5" thickBot="1" x14ac:dyDescent="0.3">
      <c r="B37" s="20" t="s">
        <v>48</v>
      </c>
      <c r="C37" s="126" t="s">
        <v>49</v>
      </c>
      <c r="D37" s="127"/>
      <c r="E37" s="128"/>
      <c r="F37" s="99" t="s">
        <v>50</v>
      </c>
      <c r="G37" s="100"/>
      <c r="H37" s="100"/>
      <c r="I37" s="100"/>
      <c r="J37" s="100"/>
      <c r="K37" s="101"/>
      <c r="L37" s="11"/>
      <c r="M37" s="11"/>
      <c r="N37" s="11"/>
      <c r="O37" s="11"/>
    </row>
    <row r="38" spans="2:15" ht="16.5" thickBot="1" x14ac:dyDescent="0.3">
      <c r="B38" s="173" t="s">
        <v>51</v>
      </c>
      <c r="C38" s="130" t="str">
        <f>IF(F33&lt;10,"CNA",IF(F33&lt;12,"CMA",IF(F33&lt;14,"CA",IF(F33&lt;16,"CBA",IF(F33&lt;20,"CTBA")))))</f>
        <v>CA</v>
      </c>
      <c r="D38" s="130" t="e">
        <f>IF(#REF!&lt;10,"D",IF(#REF!&lt;12,"C",IF(#REF!&lt;14,"C+",IF(#REF!&lt;15,"B",IF(#REF!&lt;16,"B+",IF(#REF!&lt;18,"A",IF(#REF!&lt;20,"A+")))))))</f>
        <v>#REF!</v>
      </c>
      <c r="E38" s="131" t="e">
        <f>IF(#REF!&lt;10,"D",IF(#REF!&lt;12,"C",IF(#REF!&lt;14,"C+",IF(#REF!&lt;15,"B",IF(#REF!&lt;16,"B+",IF(#REF!&lt;18,"A",IF(#REF!&lt;20,"A+")))))))</f>
        <v>#REF!</v>
      </c>
      <c r="F38" s="102"/>
      <c r="G38" s="103"/>
      <c r="H38" s="103"/>
      <c r="I38" s="103"/>
      <c r="J38" s="103"/>
      <c r="K38" s="104"/>
      <c r="L38" s="11"/>
      <c r="M38" s="11"/>
      <c r="N38" s="11"/>
      <c r="O38" s="11"/>
    </row>
    <row r="39" spans="2:15" ht="16.5" thickBot="1" x14ac:dyDescent="0.3">
      <c r="B39" s="173" t="s">
        <v>52</v>
      </c>
      <c r="C39" s="172" t="e">
        <f>IF(#REF!&lt;10,"D",IF(#REF!&lt;12,"C",IF(#REF!&lt;14,"C+",IF(#REF!&lt;15,"B",IF(#REF!&lt;16,"B+",IF(#REF!&lt;18,"A",IF(#REF!&lt;20,"A+")))))))</f>
        <v>#REF!</v>
      </c>
      <c r="D39" s="133" t="e">
        <f>IF(#REF!&lt;10,"D",IF(#REF!&lt;12,"C",IF(#REF!&lt;14,"C+",IF(#REF!&lt;15,"B",IF(#REF!&lt;16,"B+",IF(#REF!&lt;18,"A",IF(#REF!&lt;20,"A+")))))))</f>
        <v>#REF!</v>
      </c>
      <c r="E39" s="134" t="e">
        <f>IF(#REF!&lt;10,"D",IF(#REF!&lt;12,"C",IF(#REF!&lt;14,"C+",IF(#REF!&lt;15,"B",IF(#REF!&lt;16,"B+",IF(#REF!&lt;18,"A",IF(#REF!&lt;20,"A+")))))))</f>
        <v>#REF!</v>
      </c>
      <c r="F39" s="105" t="s">
        <v>53</v>
      </c>
      <c r="G39" s="106"/>
      <c r="H39" s="106"/>
      <c r="I39" s="107"/>
      <c r="J39" s="99" t="s">
        <v>54</v>
      </c>
      <c r="K39" s="101"/>
      <c r="L39" s="11"/>
      <c r="M39" s="11"/>
      <c r="N39" s="11"/>
      <c r="O39" s="11"/>
    </row>
    <row r="40" spans="2:15" ht="16.5" thickBot="1" x14ac:dyDescent="0.3">
      <c r="B40" s="40" t="s">
        <v>55</v>
      </c>
      <c r="C40" s="135" t="e">
        <f>IF(#REF!&lt;10,"D",IF(#REF!&lt;12,"C",IF(#REF!&lt;14,"C+",IF(#REF!&lt;15,"B",IF(#REF!&lt;16,"B+",IF(#REF!&lt;18,"A",IF(#REF!&lt;20,"A+")))))))</f>
        <v>#REF!</v>
      </c>
      <c r="D40" s="136" t="e">
        <f>IF(#REF!&lt;10,"D",IF(#REF!&lt;12,"C",IF(#REF!&lt;14,"C+",IF(#REF!&lt;15,"B",IF(#REF!&lt;16,"B+",IF(#REF!&lt;18,"A",IF(#REF!&lt;20,"A+")))))))</f>
        <v>#REF!</v>
      </c>
      <c r="E40" s="137" t="e">
        <f>IF(#REF!&lt;10,"D",IF(#REF!&lt;12,"C",IF(#REF!&lt;14,"C+",IF(#REF!&lt;15,"B",IF(#REF!&lt;16,"B+",IF(#REF!&lt;18,"A",IF(#REF!&lt;20,"A+")))))))</f>
        <v>#REF!</v>
      </c>
      <c r="F40" s="105" t="s">
        <v>56</v>
      </c>
      <c r="G40" s="106"/>
      <c r="H40" s="106"/>
      <c r="I40" s="107"/>
      <c r="J40" s="108" t="s">
        <v>57</v>
      </c>
      <c r="K40" s="109"/>
      <c r="L40" s="11"/>
      <c r="M40" s="11"/>
      <c r="N40" s="11"/>
      <c r="O40" s="11"/>
    </row>
    <row r="41" spans="2:15" ht="16.5" thickBot="1" x14ac:dyDescent="0.3">
      <c r="B41" s="25" t="s">
        <v>58</v>
      </c>
      <c r="C41" s="99" t="s">
        <v>59</v>
      </c>
      <c r="D41" s="100"/>
      <c r="E41" s="101"/>
      <c r="F41" s="105" t="s">
        <v>60</v>
      </c>
      <c r="G41" s="106"/>
      <c r="H41" s="106"/>
      <c r="I41" s="107"/>
      <c r="J41" s="108"/>
      <c r="K41" s="109"/>
      <c r="L41" s="11"/>
      <c r="M41" s="11"/>
      <c r="N41" s="11"/>
      <c r="O41" s="11"/>
    </row>
    <row r="42" spans="2:15" ht="16.5" thickBot="1" x14ac:dyDescent="0.3">
      <c r="B42" s="25" t="s">
        <v>61</v>
      </c>
      <c r="C42" s="102"/>
      <c r="D42" s="103"/>
      <c r="E42" s="104"/>
      <c r="F42" s="105" t="s">
        <v>62</v>
      </c>
      <c r="G42" s="106"/>
      <c r="H42" s="106"/>
      <c r="I42" s="107"/>
      <c r="J42" s="110" t="s">
        <v>63</v>
      </c>
      <c r="K42" s="111"/>
      <c r="L42" s="11"/>
      <c r="M42" s="11"/>
      <c r="N42" s="11"/>
      <c r="O42" s="11"/>
    </row>
    <row r="43" spans="2:15" ht="31.5" x14ac:dyDescent="0.25">
      <c r="B43" s="20" t="s">
        <v>64</v>
      </c>
      <c r="C43" s="112"/>
      <c r="D43" s="113"/>
      <c r="E43" s="114"/>
      <c r="F43" s="112"/>
      <c r="G43" s="113"/>
      <c r="H43" s="113"/>
      <c r="I43" s="114"/>
      <c r="J43" s="110" t="s">
        <v>65</v>
      </c>
      <c r="K43" s="111"/>
      <c r="L43" s="11"/>
      <c r="M43" s="11"/>
      <c r="N43" s="11"/>
      <c r="O43" s="11"/>
    </row>
    <row r="44" spans="2:15" ht="15.75" x14ac:dyDescent="0.25">
      <c r="B44" s="39"/>
      <c r="C44" s="115"/>
      <c r="D44" s="116"/>
      <c r="E44" s="117"/>
      <c r="F44" s="115"/>
      <c r="G44" s="116"/>
      <c r="H44" s="116"/>
      <c r="I44" s="117"/>
      <c r="J44" s="121"/>
      <c r="K44" s="122"/>
      <c r="L44" s="11"/>
      <c r="M44" s="11"/>
      <c r="N44" s="11"/>
      <c r="O44" s="11"/>
    </row>
    <row r="45" spans="2:15" ht="15.75" x14ac:dyDescent="0.25">
      <c r="B45" s="39"/>
      <c r="C45" s="115"/>
      <c r="D45" s="116"/>
      <c r="E45" s="117"/>
      <c r="F45" s="115"/>
      <c r="G45" s="116"/>
      <c r="H45" s="116"/>
      <c r="I45" s="117"/>
      <c r="J45" s="121"/>
      <c r="K45" s="122"/>
      <c r="L45" s="11"/>
      <c r="M45" s="11"/>
      <c r="N45" s="11"/>
      <c r="O45" s="11"/>
    </row>
    <row r="46" spans="2:15" ht="16.5" thickBot="1" x14ac:dyDescent="0.3">
      <c r="B46" s="40"/>
      <c r="C46" s="118"/>
      <c r="D46" s="119"/>
      <c r="E46" s="120"/>
      <c r="F46" s="118"/>
      <c r="G46" s="119"/>
      <c r="H46" s="119"/>
      <c r="I46" s="120"/>
      <c r="J46" s="97"/>
      <c r="K46" s="98"/>
      <c r="L46" s="11"/>
      <c r="M46" s="11"/>
      <c r="N46" s="11"/>
      <c r="O46" s="11"/>
    </row>
  </sheetData>
  <mergeCells count="60">
    <mergeCell ref="H13:I13"/>
    <mergeCell ref="H4:I4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  <mergeCell ref="C23:E23"/>
    <mergeCell ref="F23:G23"/>
    <mergeCell ref="I23:K23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B34:G34"/>
    <mergeCell ref="H34:K34"/>
    <mergeCell ref="B24:K24"/>
    <mergeCell ref="H25:I25"/>
    <mergeCell ref="H26:I26"/>
    <mergeCell ref="H27:I27"/>
    <mergeCell ref="C29:E29"/>
    <mergeCell ref="F29:G29"/>
    <mergeCell ref="I29:K29"/>
    <mergeCell ref="B30:K30"/>
    <mergeCell ref="F31:G31"/>
    <mergeCell ref="I31:J31"/>
    <mergeCell ref="H32:K32"/>
    <mergeCell ref="H33:I33"/>
    <mergeCell ref="B35:K35"/>
    <mergeCell ref="B36:K36"/>
    <mergeCell ref="C37:E37"/>
    <mergeCell ref="F37:K38"/>
    <mergeCell ref="C38:E40"/>
    <mergeCell ref="F39:I39"/>
    <mergeCell ref="J39:K39"/>
    <mergeCell ref="F40:I40"/>
    <mergeCell ref="J40:K40"/>
    <mergeCell ref="J46:K46"/>
    <mergeCell ref="C41:E42"/>
    <mergeCell ref="F41:I41"/>
    <mergeCell ref="J41:K41"/>
    <mergeCell ref="F42:I42"/>
    <mergeCell ref="J42:K42"/>
    <mergeCell ref="C43:E46"/>
    <mergeCell ref="F43:I46"/>
    <mergeCell ref="J43:K43"/>
    <mergeCell ref="J44:K44"/>
    <mergeCell ref="J45:K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6"/>
  <sheetViews>
    <sheetView tabSelected="1" topLeftCell="A32" workbookViewId="0">
      <selection activeCell="B4" sqref="B4:K46"/>
    </sheetView>
  </sheetViews>
  <sheetFormatPr baseColWidth="10" defaultRowHeight="15" x14ac:dyDescent="0.25"/>
  <cols>
    <col min="2" max="2" width="41.42578125" customWidth="1"/>
    <col min="3" max="3" width="12.140625" customWidth="1"/>
    <col min="5" max="5" width="15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81" t="s">
        <v>23</v>
      </c>
      <c r="C4" s="82" t="s">
        <v>24</v>
      </c>
      <c r="D4" s="82" t="s">
        <v>25</v>
      </c>
      <c r="E4" s="82" t="s">
        <v>26</v>
      </c>
      <c r="F4" s="82" t="s">
        <v>27</v>
      </c>
      <c r="G4" s="81" t="s">
        <v>28</v>
      </c>
      <c r="H4" s="160" t="s">
        <v>29</v>
      </c>
      <c r="I4" s="161"/>
      <c r="J4" s="82" t="s">
        <v>22</v>
      </c>
      <c r="K4" s="82" t="s">
        <v>30</v>
      </c>
      <c r="L4" s="11"/>
      <c r="M4" s="11"/>
      <c r="N4" s="11"/>
      <c r="O4" s="11"/>
    </row>
    <row r="5" spans="2:15" ht="32.25" thickBot="1" x14ac:dyDescent="0.3">
      <c r="B5" s="83" t="s">
        <v>66</v>
      </c>
      <c r="C5" s="13">
        <f>(D5+E5)/2</f>
        <v>12.25</v>
      </c>
      <c r="D5" s="42">
        <v>12.5</v>
      </c>
      <c r="E5" s="42">
        <v>12</v>
      </c>
      <c r="F5" s="14">
        <v>4</v>
      </c>
      <c r="G5" s="15">
        <f>C5*F5</f>
        <v>49</v>
      </c>
      <c r="H5" s="145">
        <v>12.58</v>
      </c>
      <c r="I5" s="146"/>
      <c r="J5" s="45" t="s">
        <v>103</v>
      </c>
      <c r="K5" s="13" t="str">
        <f>IF(C5&lt;10,"D",IF(C5&lt;12,"C",IF(C5&lt;14,"C+",IF(C5&lt;15,"B",IF(C5&lt;16,"B+",IF(C5&lt;18,"A",IF(C5&lt;20,"A+")))))))</f>
        <v>C+</v>
      </c>
      <c r="L5" s="11"/>
      <c r="M5" s="11"/>
      <c r="N5" s="16">
        <f>D5*F5</f>
        <v>50</v>
      </c>
      <c r="O5" s="16">
        <f>E5*F5</f>
        <v>48</v>
      </c>
    </row>
    <row r="6" spans="2:15" ht="32.25" thickBot="1" x14ac:dyDescent="0.3">
      <c r="B6" s="83" t="s">
        <v>91</v>
      </c>
      <c r="C6" s="13">
        <f t="shared" ref="C6:C8" si="0">(D6+E6)/2</f>
        <v>11.75</v>
      </c>
      <c r="D6" s="42">
        <v>11</v>
      </c>
      <c r="E6" s="42">
        <v>12.5</v>
      </c>
      <c r="F6" s="14">
        <v>2</v>
      </c>
      <c r="G6" s="15">
        <f t="shared" ref="G6:G8" si="1">C6*F6</f>
        <v>23.5</v>
      </c>
      <c r="H6" s="145">
        <v>13.33</v>
      </c>
      <c r="I6" s="146"/>
      <c r="J6" s="45" t="s">
        <v>102</v>
      </c>
      <c r="K6" s="13" t="str">
        <f>IF(C6&lt;10,"D",IF(C6&lt;12,"C",IF(C6&lt;14,"C+",IF(C6&lt;15,"B",IF(C6&lt;16,"B+",IF(C6&lt;18,"A",IF(C6&lt;20,"A+")))))))</f>
        <v>C</v>
      </c>
      <c r="L6" s="11"/>
      <c r="M6" s="11"/>
      <c r="N6" s="16">
        <f t="shared" ref="N6:N8" si="2">D6*F6</f>
        <v>22</v>
      </c>
      <c r="O6" s="16">
        <f t="shared" ref="O6:O8" si="3">E6*F6</f>
        <v>25</v>
      </c>
    </row>
    <row r="7" spans="2:15" ht="32.25" thickBot="1" x14ac:dyDescent="0.3">
      <c r="B7" s="83" t="s">
        <v>92</v>
      </c>
      <c r="C7" s="13">
        <f t="shared" si="0"/>
        <v>12.5</v>
      </c>
      <c r="D7" s="42">
        <v>13</v>
      </c>
      <c r="E7" s="42">
        <v>12</v>
      </c>
      <c r="F7" s="14">
        <v>3</v>
      </c>
      <c r="G7" s="15">
        <f t="shared" si="1"/>
        <v>37.5</v>
      </c>
      <c r="H7" s="145">
        <v>12.17</v>
      </c>
      <c r="I7" s="146"/>
      <c r="J7" s="45" t="s">
        <v>104</v>
      </c>
      <c r="K7" s="13" t="str">
        <f>IF(C7&lt;10,"D",IF(C7&lt;12,"C",IF(C7&lt;14,"C+",IF(C7&lt;15,"B",IF(C7&lt;16,"B+",IF(C7&lt;18,"A",IF(C7&lt;20,"A+")))))))</f>
        <v>C+</v>
      </c>
      <c r="L7" s="11"/>
      <c r="M7" s="11"/>
      <c r="N7" s="16">
        <f t="shared" si="2"/>
        <v>39</v>
      </c>
      <c r="O7" s="16">
        <f t="shared" si="3"/>
        <v>36</v>
      </c>
    </row>
    <row r="8" spans="2:15" ht="32.25" thickBot="1" x14ac:dyDescent="0.3">
      <c r="B8" s="83" t="s">
        <v>67</v>
      </c>
      <c r="C8" s="13">
        <f t="shared" si="0"/>
        <v>11.125</v>
      </c>
      <c r="D8" s="42">
        <v>11.5</v>
      </c>
      <c r="E8" s="43">
        <v>10.75</v>
      </c>
      <c r="F8" s="14">
        <v>3</v>
      </c>
      <c r="G8" s="15">
        <f t="shared" si="1"/>
        <v>33.375</v>
      </c>
      <c r="H8" s="145">
        <v>10.46</v>
      </c>
      <c r="I8" s="146"/>
      <c r="J8" s="45" t="s">
        <v>104</v>
      </c>
      <c r="K8" s="13" t="str">
        <f>IF(C8&lt;10,"D",IF(C8&lt;12,"C",IF(C8&lt;14,"C+",IF(C8&lt;15,"B",IF(C8&lt;16,"B+",IF(C8&lt;18,"A",IF(C8&lt;20,"A+")))))))</f>
        <v>C</v>
      </c>
      <c r="L8" s="11"/>
      <c r="M8" s="11"/>
      <c r="N8" s="16">
        <f t="shared" si="2"/>
        <v>34.5</v>
      </c>
      <c r="O8" s="16">
        <f t="shared" si="3"/>
        <v>32.25</v>
      </c>
    </row>
    <row r="9" spans="2:15" ht="16.5" thickBot="1" x14ac:dyDescent="0.3">
      <c r="B9" s="154" t="s">
        <v>31</v>
      </c>
      <c r="C9" s="155"/>
      <c r="D9" s="155"/>
      <c r="E9" s="155"/>
      <c r="F9" s="155"/>
      <c r="G9" s="155"/>
      <c r="H9" s="155"/>
      <c r="I9" s="155"/>
      <c r="J9" s="155"/>
      <c r="K9" s="156"/>
      <c r="L9" s="11"/>
      <c r="M9" s="11"/>
      <c r="N9" s="11"/>
      <c r="O9" s="11"/>
    </row>
    <row r="10" spans="2:15" ht="16.5" thickBot="1" x14ac:dyDescent="0.3">
      <c r="B10" s="17" t="s">
        <v>32</v>
      </c>
      <c r="C10" s="147">
        <f>(SUM(G5:G8)/SUM(F5:F8))</f>
        <v>11.947916666666666</v>
      </c>
      <c r="D10" s="147"/>
      <c r="E10" s="147"/>
      <c r="F10" s="152" t="s">
        <v>33</v>
      </c>
      <c r="G10" s="152"/>
      <c r="H10" s="84"/>
      <c r="I10" s="149"/>
      <c r="J10" s="149"/>
      <c r="K10" s="153"/>
      <c r="L10" s="11"/>
      <c r="M10" s="11"/>
      <c r="N10" s="11"/>
      <c r="O10" s="11"/>
    </row>
    <row r="11" spans="2:15" ht="16.5" thickBot="1" x14ac:dyDescent="0.3">
      <c r="B11" s="141"/>
      <c r="C11" s="142"/>
      <c r="D11" s="142"/>
      <c r="E11" s="142"/>
      <c r="F11" s="142"/>
      <c r="G11" s="142"/>
      <c r="H11" s="142"/>
      <c r="I11" s="142"/>
      <c r="J11" s="142"/>
      <c r="K11" s="144"/>
      <c r="L11" s="11"/>
      <c r="M11" s="11"/>
      <c r="N11" s="11"/>
      <c r="O11" s="11"/>
    </row>
    <row r="12" spans="2:15" ht="32.25" thickBot="1" x14ac:dyDescent="0.3">
      <c r="B12" s="83" t="s">
        <v>93</v>
      </c>
      <c r="C12" s="13">
        <f t="shared" ref="C12:C15" si="4">(D12+E12)/2</f>
        <v>13</v>
      </c>
      <c r="D12" s="43">
        <v>11</v>
      </c>
      <c r="E12" s="43">
        <v>15</v>
      </c>
      <c r="F12" s="14">
        <v>2</v>
      </c>
      <c r="G12" s="15">
        <f t="shared" ref="G12:G15" si="5">C12*F12</f>
        <v>26</v>
      </c>
      <c r="H12" s="145">
        <v>11.5</v>
      </c>
      <c r="I12" s="146"/>
      <c r="J12" s="45" t="s">
        <v>104</v>
      </c>
      <c r="K12" s="13" t="str">
        <f>IF(C12&lt;10,"D",IF(C12&lt;12,"C",IF(C12&lt;14,"C+",IF(C12&lt;15,"B",IF(C12&lt;16,"B+",IF(C12&lt;18,"A",IF(C12&lt;20,"A+")))))))</f>
        <v>C+</v>
      </c>
      <c r="L12" s="11"/>
      <c r="M12" s="11"/>
      <c r="N12" s="16">
        <f t="shared" ref="N12:N15" si="6">D12*F12</f>
        <v>22</v>
      </c>
      <c r="O12" s="16">
        <f t="shared" ref="O12:O15" si="7">E12*F12</f>
        <v>30</v>
      </c>
    </row>
    <row r="13" spans="2:15" ht="32.25" thickBot="1" x14ac:dyDescent="0.3">
      <c r="B13" s="83" t="s">
        <v>94</v>
      </c>
      <c r="C13" s="13">
        <f t="shared" si="4"/>
        <v>13</v>
      </c>
      <c r="D13" s="42">
        <v>12</v>
      </c>
      <c r="E13" s="42">
        <v>14</v>
      </c>
      <c r="F13" s="14">
        <v>2</v>
      </c>
      <c r="G13" s="15">
        <f t="shared" si="5"/>
        <v>26</v>
      </c>
      <c r="H13" s="145">
        <v>11.83</v>
      </c>
      <c r="I13" s="146"/>
      <c r="J13" s="45" t="s">
        <v>104</v>
      </c>
      <c r="K13" s="13" t="str">
        <f>IF(C13&lt;10,"D",IF(C13&lt;12,"C",IF(C13&lt;14,"C+",IF(C13&lt;15,"B",IF(C13&lt;16,"B+",IF(C13&lt;18,"A",IF(C13&lt;20,"A+")))))))</f>
        <v>C+</v>
      </c>
      <c r="L13" s="11"/>
      <c r="M13" s="11"/>
      <c r="N13" s="16">
        <f t="shared" si="6"/>
        <v>24</v>
      </c>
      <c r="O13" s="16">
        <f t="shared" si="7"/>
        <v>28</v>
      </c>
    </row>
    <row r="14" spans="2:15" ht="32.25" thickBot="1" x14ac:dyDescent="0.3">
      <c r="B14" s="83" t="s">
        <v>68</v>
      </c>
      <c r="C14" s="13">
        <f t="shared" si="4"/>
        <v>14</v>
      </c>
      <c r="D14" s="42">
        <v>14</v>
      </c>
      <c r="E14" s="42">
        <v>14</v>
      </c>
      <c r="F14" s="14">
        <v>2</v>
      </c>
      <c r="G14" s="15">
        <f t="shared" si="5"/>
        <v>28</v>
      </c>
      <c r="H14" s="145">
        <v>8</v>
      </c>
      <c r="I14" s="146"/>
      <c r="J14" s="45" t="s">
        <v>106</v>
      </c>
      <c r="K14" s="13" t="str">
        <f>IF(C14&lt;10,"D",IF(C14&lt;12,"C",IF(C14&lt;14,"C+",IF(C14&lt;15,"B",IF(C14&lt;16,"B+",IF(C14&lt;18,"A",IF(C14&lt;20,"A+")))))))</f>
        <v>B</v>
      </c>
      <c r="L14" s="11"/>
      <c r="M14" s="11"/>
      <c r="N14" s="16">
        <f t="shared" si="6"/>
        <v>28</v>
      </c>
      <c r="O14" s="16">
        <f t="shared" si="7"/>
        <v>28</v>
      </c>
    </row>
    <row r="15" spans="2:15" ht="32.25" thickBot="1" x14ac:dyDescent="0.3">
      <c r="B15" s="83" t="s">
        <v>95</v>
      </c>
      <c r="C15" s="13">
        <f t="shared" si="4"/>
        <v>15.275</v>
      </c>
      <c r="D15" s="42">
        <v>11.5</v>
      </c>
      <c r="E15" s="42">
        <v>19.05</v>
      </c>
      <c r="F15" s="14">
        <v>2</v>
      </c>
      <c r="G15" s="15">
        <f t="shared" si="5"/>
        <v>30.55</v>
      </c>
      <c r="H15" s="145">
        <v>13.87</v>
      </c>
      <c r="I15" s="146"/>
      <c r="J15" s="45" t="s">
        <v>104</v>
      </c>
      <c r="K15" s="13" t="str">
        <f>IF(C15&lt;10,"D",IF(C15&lt;12,"C",IF(C15&lt;14,"C+",IF(C15&lt;15,"B",IF(C15&lt;16,"B+",IF(C15&lt;18,"A",IF(C15&lt;20,"A+")))))))</f>
        <v>B+</v>
      </c>
      <c r="L15" s="11"/>
      <c r="M15" s="11"/>
      <c r="N15" s="16">
        <f t="shared" si="6"/>
        <v>23</v>
      </c>
      <c r="O15" s="16">
        <f t="shared" si="7"/>
        <v>38.1</v>
      </c>
    </row>
    <row r="16" spans="2:15" ht="16.5" thickBot="1" x14ac:dyDescent="0.3">
      <c r="B16" s="154" t="s">
        <v>34</v>
      </c>
      <c r="C16" s="155"/>
      <c r="D16" s="155"/>
      <c r="E16" s="155"/>
      <c r="F16" s="155"/>
      <c r="G16" s="155"/>
      <c r="H16" s="155"/>
      <c r="I16" s="155"/>
      <c r="J16" s="155"/>
      <c r="K16" s="156"/>
      <c r="L16" s="11"/>
      <c r="M16" s="11"/>
      <c r="N16" s="11"/>
      <c r="O16" s="11"/>
    </row>
    <row r="17" spans="2:15" ht="16.5" thickBot="1" x14ac:dyDescent="0.3">
      <c r="B17" s="17" t="s">
        <v>35</v>
      </c>
      <c r="C17" s="147">
        <f>(SUM(G12:G15)/SUM(F12:F15))</f>
        <v>13.81875</v>
      </c>
      <c r="D17" s="147"/>
      <c r="E17" s="147"/>
      <c r="F17" s="152" t="s">
        <v>33</v>
      </c>
      <c r="G17" s="152"/>
      <c r="H17" s="84"/>
      <c r="I17" s="149"/>
      <c r="J17" s="149"/>
      <c r="K17" s="153"/>
      <c r="L17" s="11"/>
      <c r="M17" s="11"/>
      <c r="N17" s="11"/>
      <c r="O17" s="11"/>
    </row>
    <row r="18" spans="2:15" ht="16.5" thickBot="1" x14ac:dyDescent="0.3">
      <c r="B18" s="157"/>
      <c r="C18" s="158"/>
      <c r="D18" s="158"/>
      <c r="E18" s="158"/>
      <c r="F18" s="158"/>
      <c r="G18" s="158"/>
      <c r="H18" s="158"/>
      <c r="I18" s="158"/>
      <c r="J18" s="158"/>
      <c r="K18" s="159"/>
      <c r="L18" s="11"/>
      <c r="M18" s="11"/>
      <c r="N18" s="11"/>
      <c r="O18" s="11"/>
    </row>
    <row r="19" spans="2:15" ht="32.25" thickBot="1" x14ac:dyDescent="0.3">
      <c r="B19" s="83" t="s">
        <v>96</v>
      </c>
      <c r="C19" s="13">
        <f t="shared" ref="C19:C21" si="8">(D19+E19)/2</f>
        <v>6</v>
      </c>
      <c r="D19" s="42">
        <v>6</v>
      </c>
      <c r="E19" s="42">
        <v>6</v>
      </c>
      <c r="F19" s="14">
        <v>2</v>
      </c>
      <c r="G19" s="15">
        <f t="shared" ref="G19:G21" si="9">C19*F19</f>
        <v>12</v>
      </c>
      <c r="H19" s="145">
        <v>7.75</v>
      </c>
      <c r="I19" s="146"/>
      <c r="J19" s="45" t="s">
        <v>102</v>
      </c>
      <c r="K19" s="13" t="str">
        <f>IF(C19&lt;10,"D",IF(C19&lt;12,"C",IF(C19&lt;14,"C+",IF(C19&lt;15,"B",IF(C19&lt;16,"B+",IF(C19&lt;18,"A",IF(C19&lt;20,"A+")))))))</f>
        <v>D</v>
      </c>
      <c r="L19" s="11"/>
      <c r="M19" s="11"/>
      <c r="N19" s="16">
        <f t="shared" ref="N19:N21" si="10">D19*F19</f>
        <v>12</v>
      </c>
      <c r="O19" s="16">
        <f t="shared" ref="O19:O21" si="11">E19*F19</f>
        <v>12</v>
      </c>
    </row>
    <row r="20" spans="2:15" ht="32.25" thickBot="1" x14ac:dyDescent="0.3">
      <c r="B20" s="83" t="s">
        <v>97</v>
      </c>
      <c r="C20" s="13">
        <f t="shared" si="8"/>
        <v>5.75</v>
      </c>
      <c r="D20" s="42">
        <v>5.5</v>
      </c>
      <c r="E20" s="42">
        <v>6</v>
      </c>
      <c r="F20" s="14">
        <v>2</v>
      </c>
      <c r="G20" s="15">
        <f t="shared" si="9"/>
        <v>11.5</v>
      </c>
      <c r="H20" s="145">
        <v>7.83</v>
      </c>
      <c r="I20" s="146"/>
      <c r="J20" s="45" t="s">
        <v>103</v>
      </c>
      <c r="K20" s="13" t="str">
        <f>IF(C20&lt;10,"D",IF(C20&lt;12,"C",IF(C20&lt;14,"C+",IF(C20&lt;15,"B",IF(C20&lt;16,"B+",IF(C20&lt;18,"A",IF(C20&lt;20,"A+")))))))</f>
        <v>D</v>
      </c>
      <c r="L20" s="11"/>
      <c r="M20" s="11"/>
      <c r="N20" s="16">
        <f t="shared" si="10"/>
        <v>11</v>
      </c>
      <c r="O20" s="16">
        <f t="shared" si="11"/>
        <v>12</v>
      </c>
    </row>
    <row r="21" spans="2:15" ht="32.25" thickBot="1" x14ac:dyDescent="0.3">
      <c r="B21" s="83" t="s">
        <v>98</v>
      </c>
      <c r="C21" s="13">
        <f t="shared" si="8"/>
        <v>14.25</v>
      </c>
      <c r="D21" s="42">
        <v>14.5</v>
      </c>
      <c r="E21" s="42">
        <v>14</v>
      </c>
      <c r="F21" s="14">
        <v>1</v>
      </c>
      <c r="G21" s="15">
        <f t="shared" si="9"/>
        <v>14.25</v>
      </c>
      <c r="H21" s="145">
        <v>13.58</v>
      </c>
      <c r="I21" s="146"/>
      <c r="J21" s="45" t="s">
        <v>104</v>
      </c>
      <c r="K21" s="13" t="str">
        <f>IF(C21&lt;10,"D",IF(C21&lt;12,"C",IF(C21&lt;14,"C+",IF(C21&lt;15,"B",IF(C21&lt;16,"B+",IF(C21&lt;18,"A",IF(C21&lt;20,"A+")))))))</f>
        <v>B</v>
      </c>
      <c r="L21" s="11"/>
      <c r="M21" s="11"/>
      <c r="N21" s="16">
        <f t="shared" si="10"/>
        <v>14.5</v>
      </c>
      <c r="O21" s="16">
        <f t="shared" si="11"/>
        <v>14</v>
      </c>
    </row>
    <row r="22" spans="2:15" ht="16.5" thickBot="1" x14ac:dyDescent="0.3">
      <c r="B22" s="154" t="s">
        <v>36</v>
      </c>
      <c r="C22" s="155"/>
      <c r="D22" s="155"/>
      <c r="E22" s="155"/>
      <c r="F22" s="155"/>
      <c r="G22" s="155"/>
      <c r="H22" s="155"/>
      <c r="I22" s="155"/>
      <c r="J22" s="155"/>
      <c r="K22" s="156"/>
      <c r="L22" s="11"/>
      <c r="M22" s="11"/>
      <c r="N22" s="11"/>
      <c r="O22" s="11"/>
    </row>
    <row r="23" spans="2:15" ht="16.5" thickBot="1" x14ac:dyDescent="0.3">
      <c r="B23" s="17" t="s">
        <v>32</v>
      </c>
      <c r="C23" s="147">
        <f>(SUM(G19:G21)/SUM(F19:F21))</f>
        <v>7.55</v>
      </c>
      <c r="D23" s="147"/>
      <c r="E23" s="147"/>
      <c r="F23" s="152" t="s">
        <v>33</v>
      </c>
      <c r="G23" s="152"/>
      <c r="H23" s="84"/>
      <c r="I23" s="149"/>
      <c r="J23" s="149"/>
      <c r="K23" s="153"/>
      <c r="L23" s="11"/>
      <c r="M23" s="11"/>
      <c r="N23" s="11"/>
      <c r="O23" s="11"/>
    </row>
    <row r="24" spans="2:15" ht="16.5" thickBot="1" x14ac:dyDescent="0.3">
      <c r="B24" s="141"/>
      <c r="C24" s="142"/>
      <c r="D24" s="142"/>
      <c r="E24" s="142"/>
      <c r="F24" s="142"/>
      <c r="G24" s="142"/>
      <c r="H24" s="143"/>
      <c r="I24" s="143"/>
      <c r="J24" s="143"/>
      <c r="K24" s="144"/>
      <c r="L24" s="11"/>
      <c r="M24" s="11"/>
      <c r="N24" s="11"/>
      <c r="O24" s="11"/>
    </row>
    <row r="25" spans="2:15" ht="32.25" thickBot="1" x14ac:dyDescent="0.3">
      <c r="B25" s="83" t="s">
        <v>69</v>
      </c>
      <c r="C25" s="13">
        <f t="shared" ref="C25:C27" si="12">(D25+E25)/2</f>
        <v>13.5</v>
      </c>
      <c r="D25" s="42">
        <v>10.5</v>
      </c>
      <c r="E25" s="42">
        <v>16.5</v>
      </c>
      <c r="F25" s="14">
        <v>2</v>
      </c>
      <c r="G25" s="15">
        <f t="shared" ref="G25:G27" si="13">C25*F25</f>
        <v>27</v>
      </c>
      <c r="H25" s="145">
        <v>15.13</v>
      </c>
      <c r="I25" s="146"/>
      <c r="J25" s="45" t="s">
        <v>103</v>
      </c>
      <c r="K25" s="13" t="str">
        <f>IF(C25&lt;10,"D",IF(C25&lt;12,"C",IF(C25&lt;14,"C+",IF(C25&lt;15,"B",IF(C25&lt;16,"B+",IF(C25&lt;18,"A",IF(C25&lt;20,"A+")))))))</f>
        <v>C+</v>
      </c>
      <c r="L25" s="11"/>
      <c r="M25" s="11"/>
      <c r="N25" s="16">
        <f t="shared" ref="N25:N27" si="14">D25*F25</f>
        <v>21</v>
      </c>
      <c r="O25" s="16">
        <f t="shared" ref="O25:O27" si="15">E25*F25</f>
        <v>33</v>
      </c>
    </row>
    <row r="26" spans="2:15" ht="33" customHeight="1" thickBot="1" x14ac:dyDescent="0.3">
      <c r="B26" s="44" t="s">
        <v>99</v>
      </c>
      <c r="C26" s="13">
        <f t="shared" si="12"/>
        <v>18.25</v>
      </c>
      <c r="D26" s="42">
        <v>20</v>
      </c>
      <c r="E26" s="42">
        <v>16.5</v>
      </c>
      <c r="F26" s="14">
        <v>1</v>
      </c>
      <c r="G26" s="15">
        <f t="shared" si="13"/>
        <v>18.25</v>
      </c>
      <c r="H26" s="145">
        <v>17.329999999999998</v>
      </c>
      <c r="I26" s="146"/>
      <c r="J26" s="45" t="s">
        <v>106</v>
      </c>
      <c r="K26" s="13" t="str">
        <f>IF(C26&lt;10,"D",IF(C26&lt;12,"C",IF(C26&lt;14,"C+",IF(C26&lt;15,"B",IF(C26&lt;16,"B+",IF(C26&lt;18,"A",IF(C26&lt;20,"A+")))))))</f>
        <v>A+</v>
      </c>
      <c r="L26" s="11"/>
      <c r="M26" s="11"/>
      <c r="N26" s="16">
        <f t="shared" si="14"/>
        <v>20</v>
      </c>
      <c r="O26" s="16">
        <f t="shared" si="15"/>
        <v>16.5</v>
      </c>
    </row>
    <row r="27" spans="2:15" ht="32.25" thickBot="1" x14ac:dyDescent="0.3">
      <c r="B27" s="83" t="s">
        <v>100</v>
      </c>
      <c r="C27" s="13">
        <f t="shared" si="12"/>
        <v>16</v>
      </c>
      <c r="D27" s="42">
        <v>15</v>
      </c>
      <c r="E27" s="42">
        <v>17</v>
      </c>
      <c r="F27" s="14">
        <v>1</v>
      </c>
      <c r="G27" s="15">
        <f t="shared" si="13"/>
        <v>16</v>
      </c>
      <c r="H27" s="145">
        <v>15.83</v>
      </c>
      <c r="I27" s="146"/>
      <c r="J27" s="45" t="s">
        <v>104</v>
      </c>
      <c r="K27" s="13" t="str">
        <f>IF(C27&lt;10,"D",IF(C27&lt;12,"C",IF(C27&lt;14,"C+",IF(C27&lt;15,"B",IF(C27&lt;16,"B+",IF(C27&lt;18,"A",IF(C27&lt;20,"A+")))))))</f>
        <v>A</v>
      </c>
      <c r="L27" s="11"/>
      <c r="M27" s="11"/>
      <c r="N27" s="16">
        <f t="shared" si="14"/>
        <v>15</v>
      </c>
      <c r="O27" s="16">
        <f t="shared" si="15"/>
        <v>17</v>
      </c>
    </row>
    <row r="28" spans="2:15" ht="16.5" thickBot="1" x14ac:dyDescent="0.3">
      <c r="B28" s="20" t="s">
        <v>37</v>
      </c>
      <c r="C28" s="21"/>
      <c r="D28" s="21"/>
      <c r="E28" s="21"/>
      <c r="F28" s="21"/>
      <c r="G28" s="21"/>
      <c r="H28" s="21"/>
      <c r="I28" s="21"/>
      <c r="J28" s="21"/>
      <c r="K28" s="22"/>
      <c r="L28" s="11"/>
      <c r="M28" s="11"/>
      <c r="N28" s="11">
        <f>SUM(N5:N27)</f>
        <v>336</v>
      </c>
      <c r="O28" s="11">
        <f>SUM(O5:O27)</f>
        <v>369.85</v>
      </c>
    </row>
    <row r="29" spans="2:15" ht="16.5" thickBot="1" x14ac:dyDescent="0.3">
      <c r="B29" s="23" t="s">
        <v>35</v>
      </c>
      <c r="C29" s="147">
        <f>(SUM(G25:G27)/SUM(F25:F27))</f>
        <v>15.3125</v>
      </c>
      <c r="D29" s="147"/>
      <c r="E29" s="147"/>
      <c r="F29" s="148" t="s">
        <v>33</v>
      </c>
      <c r="G29" s="148"/>
      <c r="H29" s="85"/>
      <c r="I29" s="106"/>
      <c r="J29" s="106"/>
      <c r="K29" s="107"/>
      <c r="L29" s="11"/>
      <c r="M29" s="11"/>
      <c r="N29" s="11">
        <v>29</v>
      </c>
      <c r="O29" s="11">
        <v>29</v>
      </c>
    </row>
    <row r="30" spans="2:15" ht="16.5" thickBot="1" x14ac:dyDescent="0.3">
      <c r="B30" s="126"/>
      <c r="C30" s="127"/>
      <c r="D30" s="127"/>
      <c r="E30" s="127"/>
      <c r="F30" s="127"/>
      <c r="G30" s="127"/>
      <c r="H30" s="127"/>
      <c r="I30" s="127"/>
      <c r="J30" s="127"/>
      <c r="K30" s="128"/>
      <c r="L30" s="11"/>
      <c r="M30" s="11"/>
      <c r="N30" s="11">
        <f>N28/N29</f>
        <v>11.586206896551724</v>
      </c>
      <c r="O30" s="11">
        <f>O28/O29</f>
        <v>12.75344827586207</v>
      </c>
    </row>
    <row r="31" spans="2:15" ht="48" thickBot="1" x14ac:dyDescent="0.3">
      <c r="B31" s="20" t="s">
        <v>38</v>
      </c>
      <c r="C31" s="25" t="s">
        <v>39</v>
      </c>
      <c r="D31" s="84">
        <v>11.84</v>
      </c>
      <c r="E31" s="26" t="s">
        <v>40</v>
      </c>
      <c r="F31" s="149">
        <v>13.27</v>
      </c>
      <c r="G31" s="149"/>
      <c r="H31" s="26" t="s">
        <v>41</v>
      </c>
      <c r="I31" s="149">
        <v>10.7</v>
      </c>
      <c r="J31" s="149"/>
      <c r="K31" s="27"/>
      <c r="L31" s="28"/>
      <c r="M31" s="28"/>
      <c r="N31" s="28"/>
      <c r="O31" s="28"/>
    </row>
    <row r="32" spans="2:15" ht="15.75" x14ac:dyDescent="0.25">
      <c r="B32" s="162"/>
      <c r="C32" s="163" t="s">
        <v>25</v>
      </c>
      <c r="D32" s="163" t="s">
        <v>26</v>
      </c>
      <c r="E32" s="164"/>
      <c r="F32" s="164"/>
      <c r="G32" s="165"/>
      <c r="H32" s="112"/>
      <c r="I32" s="113"/>
      <c r="J32" s="113"/>
      <c r="K32" s="114"/>
      <c r="L32" s="11"/>
      <c r="M32" s="11"/>
      <c r="N32" s="11"/>
      <c r="O32" s="11"/>
    </row>
    <row r="33" spans="2:15" ht="15.75" x14ac:dyDescent="0.25">
      <c r="B33" s="166" t="s">
        <v>42</v>
      </c>
      <c r="C33" s="167">
        <f>N30</f>
        <v>11.586206896551724</v>
      </c>
      <c r="D33" s="167">
        <f>O30</f>
        <v>12.75344827586207</v>
      </c>
      <c r="E33" s="168" t="s">
        <v>43</v>
      </c>
      <c r="F33" s="169">
        <f>(G5+G6+G7+G8+G12+G13+G14+G15+G19+G20+G21+G25+G26+G27)/29</f>
        <v>12.169827586206896</v>
      </c>
      <c r="G33" s="168" t="s">
        <v>44</v>
      </c>
      <c r="H33" s="150" t="s">
        <v>45</v>
      </c>
      <c r="I33" s="151"/>
      <c r="J33" s="37" t="s">
        <v>84</v>
      </c>
      <c r="K33" s="38" t="s">
        <v>70</v>
      </c>
      <c r="L33" s="11"/>
      <c r="M33" s="11"/>
      <c r="N33" s="11"/>
      <c r="O33" s="11"/>
    </row>
    <row r="34" spans="2:15" ht="16.5" thickBot="1" x14ac:dyDescent="0.3">
      <c r="B34" s="170"/>
      <c r="C34" s="171"/>
      <c r="D34" s="171"/>
      <c r="E34" s="171"/>
      <c r="F34" s="171"/>
      <c r="G34" s="171"/>
      <c r="H34" s="97"/>
      <c r="I34" s="140"/>
      <c r="J34" s="140"/>
      <c r="K34" s="98"/>
      <c r="L34" s="11"/>
      <c r="M34" s="11"/>
      <c r="N34" s="11"/>
      <c r="O34" s="11"/>
    </row>
    <row r="35" spans="2:15" ht="16.5" thickBot="1" x14ac:dyDescent="0.3">
      <c r="B35" s="123" t="s">
        <v>46</v>
      </c>
      <c r="C35" s="124"/>
      <c r="D35" s="124"/>
      <c r="E35" s="124"/>
      <c r="F35" s="124"/>
      <c r="G35" s="124"/>
      <c r="H35" s="124"/>
      <c r="I35" s="124"/>
      <c r="J35" s="124"/>
      <c r="K35" s="125"/>
      <c r="L35" s="11"/>
      <c r="M35" s="11"/>
      <c r="N35" s="11"/>
      <c r="O35" s="11"/>
    </row>
    <row r="36" spans="2:15" ht="16.5" thickBot="1" x14ac:dyDescent="0.3">
      <c r="B36" s="105" t="s">
        <v>47</v>
      </c>
      <c r="C36" s="106"/>
      <c r="D36" s="106"/>
      <c r="E36" s="106"/>
      <c r="F36" s="106"/>
      <c r="G36" s="106"/>
      <c r="H36" s="106"/>
      <c r="I36" s="106"/>
      <c r="J36" s="106"/>
      <c r="K36" s="107"/>
      <c r="L36" s="11"/>
      <c r="M36" s="11"/>
      <c r="N36" s="11"/>
      <c r="O36" s="11"/>
    </row>
    <row r="37" spans="2:15" ht="16.5" thickBot="1" x14ac:dyDescent="0.3">
      <c r="B37" s="20" t="s">
        <v>48</v>
      </c>
      <c r="C37" s="126" t="s">
        <v>49</v>
      </c>
      <c r="D37" s="127"/>
      <c r="E37" s="128"/>
      <c r="F37" s="99" t="s">
        <v>50</v>
      </c>
      <c r="G37" s="100"/>
      <c r="H37" s="100"/>
      <c r="I37" s="100"/>
      <c r="J37" s="100"/>
      <c r="K37" s="101"/>
      <c r="L37" s="11"/>
      <c r="M37" s="11"/>
      <c r="N37" s="11"/>
      <c r="O37" s="11"/>
    </row>
    <row r="38" spans="2:15" ht="16.5" thickBot="1" x14ac:dyDescent="0.3">
      <c r="B38" s="173" t="s">
        <v>51</v>
      </c>
      <c r="C38" s="130" t="str">
        <f>IF(F33&lt;10,"CNA",IF(F33&lt;12,"CMA",IF(F33&lt;14,"CA",IF(F33&lt;16,"CBA",IF(F33&lt;20,"CTBA")))))</f>
        <v>CA</v>
      </c>
      <c r="D38" s="130" t="e">
        <f>IF(#REF!&lt;10,"D",IF(#REF!&lt;12,"C",IF(#REF!&lt;14,"C+",IF(#REF!&lt;15,"B",IF(#REF!&lt;16,"B+",IF(#REF!&lt;18,"A",IF(#REF!&lt;20,"A+")))))))</f>
        <v>#REF!</v>
      </c>
      <c r="E38" s="131" t="e">
        <f>IF(#REF!&lt;10,"D",IF(#REF!&lt;12,"C",IF(#REF!&lt;14,"C+",IF(#REF!&lt;15,"B",IF(#REF!&lt;16,"B+",IF(#REF!&lt;18,"A",IF(#REF!&lt;20,"A+")))))))</f>
        <v>#REF!</v>
      </c>
      <c r="F38" s="102"/>
      <c r="G38" s="103"/>
      <c r="H38" s="103"/>
      <c r="I38" s="103"/>
      <c r="J38" s="103"/>
      <c r="K38" s="104"/>
      <c r="L38" s="11"/>
      <c r="M38" s="11"/>
      <c r="N38" s="11"/>
      <c r="O38" s="11"/>
    </row>
    <row r="39" spans="2:15" ht="16.5" thickBot="1" x14ac:dyDescent="0.3">
      <c r="B39" s="173" t="s">
        <v>52</v>
      </c>
      <c r="C39" s="172" t="e">
        <f>IF(#REF!&lt;10,"D",IF(#REF!&lt;12,"C",IF(#REF!&lt;14,"C+",IF(#REF!&lt;15,"B",IF(#REF!&lt;16,"B+",IF(#REF!&lt;18,"A",IF(#REF!&lt;20,"A+")))))))</f>
        <v>#REF!</v>
      </c>
      <c r="D39" s="133" t="e">
        <f>IF(#REF!&lt;10,"D",IF(#REF!&lt;12,"C",IF(#REF!&lt;14,"C+",IF(#REF!&lt;15,"B",IF(#REF!&lt;16,"B+",IF(#REF!&lt;18,"A",IF(#REF!&lt;20,"A+")))))))</f>
        <v>#REF!</v>
      </c>
      <c r="E39" s="134" t="e">
        <f>IF(#REF!&lt;10,"D",IF(#REF!&lt;12,"C",IF(#REF!&lt;14,"C+",IF(#REF!&lt;15,"B",IF(#REF!&lt;16,"B+",IF(#REF!&lt;18,"A",IF(#REF!&lt;20,"A+")))))))</f>
        <v>#REF!</v>
      </c>
      <c r="F39" s="105" t="s">
        <v>53</v>
      </c>
      <c r="G39" s="106"/>
      <c r="H39" s="106"/>
      <c r="I39" s="107"/>
      <c r="J39" s="99" t="s">
        <v>54</v>
      </c>
      <c r="K39" s="101"/>
      <c r="L39" s="11"/>
      <c r="M39" s="11"/>
      <c r="N39" s="11"/>
      <c r="O39" s="11"/>
    </row>
    <row r="40" spans="2:15" ht="16.5" thickBot="1" x14ac:dyDescent="0.3">
      <c r="B40" s="40" t="s">
        <v>55</v>
      </c>
      <c r="C40" s="135" t="e">
        <f>IF(#REF!&lt;10,"D",IF(#REF!&lt;12,"C",IF(#REF!&lt;14,"C+",IF(#REF!&lt;15,"B",IF(#REF!&lt;16,"B+",IF(#REF!&lt;18,"A",IF(#REF!&lt;20,"A+")))))))</f>
        <v>#REF!</v>
      </c>
      <c r="D40" s="136" t="e">
        <f>IF(#REF!&lt;10,"D",IF(#REF!&lt;12,"C",IF(#REF!&lt;14,"C+",IF(#REF!&lt;15,"B",IF(#REF!&lt;16,"B+",IF(#REF!&lt;18,"A",IF(#REF!&lt;20,"A+")))))))</f>
        <v>#REF!</v>
      </c>
      <c r="E40" s="137" t="e">
        <f>IF(#REF!&lt;10,"D",IF(#REF!&lt;12,"C",IF(#REF!&lt;14,"C+",IF(#REF!&lt;15,"B",IF(#REF!&lt;16,"B+",IF(#REF!&lt;18,"A",IF(#REF!&lt;20,"A+")))))))</f>
        <v>#REF!</v>
      </c>
      <c r="F40" s="105" t="s">
        <v>56</v>
      </c>
      <c r="G40" s="106"/>
      <c r="H40" s="106"/>
      <c r="I40" s="107"/>
      <c r="J40" s="108" t="s">
        <v>57</v>
      </c>
      <c r="K40" s="109"/>
      <c r="L40" s="11"/>
      <c r="M40" s="11"/>
      <c r="N40" s="11"/>
      <c r="O40" s="11"/>
    </row>
    <row r="41" spans="2:15" ht="16.5" thickBot="1" x14ac:dyDescent="0.3">
      <c r="B41" s="25" t="s">
        <v>58</v>
      </c>
      <c r="C41" s="99" t="s">
        <v>59</v>
      </c>
      <c r="D41" s="100"/>
      <c r="E41" s="101"/>
      <c r="F41" s="105" t="s">
        <v>60</v>
      </c>
      <c r="G41" s="106"/>
      <c r="H41" s="106"/>
      <c r="I41" s="107"/>
      <c r="J41" s="108"/>
      <c r="K41" s="109"/>
      <c r="L41" s="11"/>
      <c r="M41" s="11"/>
      <c r="N41" s="11"/>
      <c r="O41" s="11"/>
    </row>
    <row r="42" spans="2:15" ht="16.5" thickBot="1" x14ac:dyDescent="0.3">
      <c r="B42" s="25" t="s">
        <v>61</v>
      </c>
      <c r="C42" s="102"/>
      <c r="D42" s="103"/>
      <c r="E42" s="104"/>
      <c r="F42" s="105" t="s">
        <v>62</v>
      </c>
      <c r="G42" s="106"/>
      <c r="H42" s="106"/>
      <c r="I42" s="107"/>
      <c r="J42" s="110" t="s">
        <v>63</v>
      </c>
      <c r="K42" s="111"/>
      <c r="L42" s="11"/>
      <c r="M42" s="11"/>
      <c r="N42" s="11"/>
      <c r="O42" s="11"/>
    </row>
    <row r="43" spans="2:15" ht="31.5" x14ac:dyDescent="0.25">
      <c r="B43" s="20" t="s">
        <v>64</v>
      </c>
      <c r="C43" s="112"/>
      <c r="D43" s="113"/>
      <c r="E43" s="114"/>
      <c r="F43" s="112"/>
      <c r="G43" s="113"/>
      <c r="H43" s="113"/>
      <c r="I43" s="114"/>
      <c r="J43" s="110" t="s">
        <v>65</v>
      </c>
      <c r="K43" s="111"/>
      <c r="L43" s="11"/>
      <c r="M43" s="11"/>
      <c r="N43" s="11"/>
      <c r="O43" s="11"/>
    </row>
    <row r="44" spans="2:15" ht="15.75" x14ac:dyDescent="0.25">
      <c r="B44" s="39"/>
      <c r="C44" s="115"/>
      <c r="D44" s="116"/>
      <c r="E44" s="117"/>
      <c r="F44" s="115"/>
      <c r="G44" s="116"/>
      <c r="H44" s="116"/>
      <c r="I44" s="117"/>
      <c r="J44" s="121"/>
      <c r="K44" s="122"/>
      <c r="L44" s="11"/>
      <c r="M44" s="11"/>
      <c r="N44" s="11"/>
      <c r="O44" s="11"/>
    </row>
    <row r="45" spans="2:15" ht="15.75" x14ac:dyDescent="0.25">
      <c r="B45" s="39"/>
      <c r="C45" s="115"/>
      <c r="D45" s="116"/>
      <c r="E45" s="117"/>
      <c r="F45" s="115"/>
      <c r="G45" s="116"/>
      <c r="H45" s="116"/>
      <c r="I45" s="117"/>
      <c r="J45" s="121"/>
      <c r="K45" s="122"/>
      <c r="L45" s="11"/>
      <c r="M45" s="11"/>
      <c r="N45" s="11"/>
      <c r="O45" s="11"/>
    </row>
    <row r="46" spans="2:15" ht="16.5" thickBot="1" x14ac:dyDescent="0.3">
      <c r="B46" s="40"/>
      <c r="C46" s="118"/>
      <c r="D46" s="119"/>
      <c r="E46" s="120"/>
      <c r="F46" s="118"/>
      <c r="G46" s="119"/>
      <c r="H46" s="119"/>
      <c r="I46" s="120"/>
      <c r="J46" s="97"/>
      <c r="K46" s="98"/>
      <c r="L46" s="11"/>
      <c r="M46" s="11"/>
      <c r="N46" s="11"/>
      <c r="O46" s="11"/>
    </row>
  </sheetData>
  <mergeCells count="60">
    <mergeCell ref="J46:K46"/>
    <mergeCell ref="C41:E42"/>
    <mergeCell ref="F41:I41"/>
    <mergeCell ref="J41:K41"/>
    <mergeCell ref="F42:I42"/>
    <mergeCell ref="J42:K42"/>
    <mergeCell ref="C43:E46"/>
    <mergeCell ref="F43:I46"/>
    <mergeCell ref="J43:K43"/>
    <mergeCell ref="J44:K44"/>
    <mergeCell ref="J45:K45"/>
    <mergeCell ref="B35:K35"/>
    <mergeCell ref="B36:K36"/>
    <mergeCell ref="C37:E37"/>
    <mergeCell ref="F37:K38"/>
    <mergeCell ref="C38:E40"/>
    <mergeCell ref="F39:I39"/>
    <mergeCell ref="J39:K39"/>
    <mergeCell ref="F40:I40"/>
    <mergeCell ref="J40:K40"/>
    <mergeCell ref="B34:G34"/>
    <mergeCell ref="H34:K34"/>
    <mergeCell ref="B24:K24"/>
    <mergeCell ref="H25:I25"/>
    <mergeCell ref="H26:I26"/>
    <mergeCell ref="H27:I27"/>
    <mergeCell ref="C29:E29"/>
    <mergeCell ref="F29:G29"/>
    <mergeCell ref="I29:K29"/>
    <mergeCell ref="B30:K30"/>
    <mergeCell ref="F31:G31"/>
    <mergeCell ref="I31:J31"/>
    <mergeCell ref="H32:K32"/>
    <mergeCell ref="H33:I33"/>
    <mergeCell ref="C23:E23"/>
    <mergeCell ref="F23:G23"/>
    <mergeCell ref="I23:K23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H13:I13"/>
    <mergeCell ref="H4:I4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SEQUENCE 1</vt:lpstr>
      <vt:lpstr>SEQUENCE 2</vt:lpstr>
      <vt:lpstr>BORDEREAU</vt:lpstr>
      <vt:lpstr>BALANA</vt:lpstr>
      <vt:lpstr>MENGING</vt:lpstr>
      <vt:lpstr>MOUSSI</vt:lpstr>
      <vt:lpstr>MVINDI</vt:lpstr>
      <vt:lpstr>NILOMENE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florampeck</dc:creator>
  <cp:lastModifiedBy>ch'croute</cp:lastModifiedBy>
  <dcterms:created xsi:type="dcterms:W3CDTF">2020-10-20T19:24:02Z</dcterms:created>
  <dcterms:modified xsi:type="dcterms:W3CDTF">2025-12-17T16:45:07Z</dcterms:modified>
</cp:coreProperties>
</file>