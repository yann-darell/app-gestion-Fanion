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'croute\Desktop\CPBL FANION\CINQUIEME\TRIMESTRE 3\"/>
    </mc:Choice>
  </mc:AlternateContent>
  <bookViews>
    <workbookView xWindow="360" yWindow="330" windowWidth="18675" windowHeight="8235" firstSheet="9" activeTab="12"/>
  </bookViews>
  <sheets>
    <sheet name="AMAN" sheetId="1" r:id="rId1"/>
    <sheet name="DJIKIA" sheetId="2" r:id="rId2"/>
    <sheet name="ELOGO" sheetId="3" r:id="rId3"/>
    <sheet name="KINGUE" sheetId="4" r:id="rId4"/>
    <sheet name="KOUAM" sheetId="5" r:id="rId5"/>
    <sheet name="MAGATSING" sheetId="6" r:id="rId6"/>
    <sheet name="MENYE" sheetId="7" r:id="rId7"/>
    <sheet name="NGO KONDE" sheetId="12" r:id="rId8"/>
    <sheet name="METOUWE" sheetId="8" r:id="rId9"/>
    <sheet name="MOUKO" sheetId="9" r:id="rId10"/>
    <sheet name="NGO BAHEEG" sheetId="10" r:id="rId11"/>
    <sheet name="NGO HOHI" sheetId="11" r:id="rId12"/>
    <sheet name="NGO NGUE" sheetId="13" r:id="rId13"/>
    <sheet name="NOUBISSI" sheetId="14" r:id="rId14"/>
    <sheet name="NWAHA" sheetId="15" r:id="rId15"/>
    <sheet name="ONANA" sheetId="16" r:id="rId16"/>
    <sheet name="PABOUDEM" sheetId="17" r:id="rId17"/>
    <sheet name="TCHAGNAM" sheetId="18" r:id="rId18"/>
    <sheet name="YEBEL" sheetId="19" r:id="rId19"/>
    <sheet name="Feuil1" sheetId="20" r:id="rId20"/>
  </sheets>
  <calcPr calcId="162913"/>
</workbook>
</file>

<file path=xl/calcChain.xml><?xml version="1.0" encoding="utf-8"?>
<calcChain xmlns="http://schemas.openxmlformats.org/spreadsheetml/2006/main">
  <c r="C5" i="13" l="1"/>
  <c r="H5" i="13"/>
  <c r="L5" i="13"/>
  <c r="P22" i="4" l="1"/>
  <c r="C28" i="2"/>
  <c r="C30" i="2"/>
  <c r="F44" i="19"/>
  <c r="D44" i="19"/>
  <c r="C44" i="19"/>
  <c r="F43" i="19"/>
  <c r="D43" i="19"/>
  <c r="C43" i="19"/>
  <c r="F42" i="19"/>
  <c r="D42" i="19"/>
  <c r="Q31" i="19"/>
  <c r="P31" i="19"/>
  <c r="O31" i="19"/>
  <c r="C31" i="19"/>
  <c r="L31" i="19" s="1"/>
  <c r="Q30" i="19"/>
  <c r="P30" i="19"/>
  <c r="O30" i="19"/>
  <c r="C30" i="19"/>
  <c r="L30" i="19" s="1"/>
  <c r="Q29" i="19"/>
  <c r="P29" i="19"/>
  <c r="O29" i="19"/>
  <c r="C29" i="19"/>
  <c r="L29" i="19" s="1"/>
  <c r="Q28" i="19"/>
  <c r="P28" i="19"/>
  <c r="O28" i="19"/>
  <c r="C28" i="19"/>
  <c r="L28" i="19" s="1"/>
  <c r="Q24" i="19"/>
  <c r="P24" i="19"/>
  <c r="O24" i="19"/>
  <c r="C24" i="19"/>
  <c r="H24" i="19" s="1"/>
  <c r="Q23" i="19"/>
  <c r="P23" i="19"/>
  <c r="O23" i="19"/>
  <c r="C23" i="19"/>
  <c r="L23" i="19" s="1"/>
  <c r="Q22" i="19"/>
  <c r="P22" i="19"/>
  <c r="O22" i="19"/>
  <c r="C22" i="19"/>
  <c r="H22" i="19" s="1"/>
  <c r="Q21" i="19"/>
  <c r="P21" i="19"/>
  <c r="O21" i="19"/>
  <c r="C21" i="19"/>
  <c r="L21" i="19" s="1"/>
  <c r="Q17" i="19"/>
  <c r="P17" i="19"/>
  <c r="O17" i="19"/>
  <c r="C17" i="19"/>
  <c r="L17" i="19" s="1"/>
  <c r="Q16" i="19"/>
  <c r="P16" i="19"/>
  <c r="O16" i="19"/>
  <c r="C16" i="19"/>
  <c r="L16" i="19" s="1"/>
  <c r="Q15" i="19"/>
  <c r="P15" i="19"/>
  <c r="O15" i="19"/>
  <c r="L15" i="19"/>
  <c r="C15" i="19"/>
  <c r="H15" i="19" s="1"/>
  <c r="Q14" i="19"/>
  <c r="P14" i="19"/>
  <c r="O14" i="19"/>
  <c r="C14" i="19"/>
  <c r="L14" i="19" s="1"/>
  <c r="Q10" i="19"/>
  <c r="P10" i="19"/>
  <c r="O10" i="19"/>
  <c r="C10" i="19"/>
  <c r="L10" i="19" s="1"/>
  <c r="Q9" i="19"/>
  <c r="P9" i="19"/>
  <c r="O9" i="19"/>
  <c r="C9" i="19"/>
  <c r="H9" i="19" s="1"/>
  <c r="Q8" i="19"/>
  <c r="P8" i="19"/>
  <c r="O8" i="19"/>
  <c r="C8" i="19"/>
  <c r="L8" i="19" s="1"/>
  <c r="Q7" i="19"/>
  <c r="P7" i="19"/>
  <c r="O7" i="19"/>
  <c r="C7" i="19"/>
  <c r="H7" i="19" s="1"/>
  <c r="Q6" i="19"/>
  <c r="P6" i="19"/>
  <c r="O6" i="19"/>
  <c r="C6" i="19"/>
  <c r="L6" i="19" s="1"/>
  <c r="Q5" i="19"/>
  <c r="P5" i="19"/>
  <c r="O5" i="19"/>
  <c r="C5" i="19"/>
  <c r="H5" i="19" s="1"/>
  <c r="F44" i="18"/>
  <c r="D44" i="18"/>
  <c r="C44" i="18"/>
  <c r="F43" i="18"/>
  <c r="D43" i="18"/>
  <c r="C43" i="18"/>
  <c r="F42" i="18"/>
  <c r="D42" i="18"/>
  <c r="Q31" i="18"/>
  <c r="P31" i="18"/>
  <c r="O31" i="18"/>
  <c r="C31" i="18"/>
  <c r="L31" i="18" s="1"/>
  <c r="Q30" i="18"/>
  <c r="P30" i="18"/>
  <c r="O30" i="18"/>
  <c r="C30" i="18"/>
  <c r="H30" i="18" s="1"/>
  <c r="Q29" i="18"/>
  <c r="P29" i="18"/>
  <c r="O29" i="18"/>
  <c r="C29" i="18"/>
  <c r="L29" i="18" s="1"/>
  <c r="Q28" i="18"/>
  <c r="P28" i="18"/>
  <c r="O28" i="18"/>
  <c r="L28" i="18"/>
  <c r="C28" i="18"/>
  <c r="H28" i="18" s="1"/>
  <c r="Q24" i="18"/>
  <c r="P24" i="18"/>
  <c r="O24" i="18"/>
  <c r="C24" i="18"/>
  <c r="H24" i="18" s="1"/>
  <c r="Q23" i="18"/>
  <c r="P23" i="18"/>
  <c r="O23" i="18"/>
  <c r="C23" i="18"/>
  <c r="L23" i="18" s="1"/>
  <c r="Q22" i="18"/>
  <c r="P22" i="18"/>
  <c r="O22" i="18"/>
  <c r="C22" i="18"/>
  <c r="H22" i="18" s="1"/>
  <c r="Q21" i="18"/>
  <c r="P21" i="18"/>
  <c r="O21" i="18"/>
  <c r="C21" i="18"/>
  <c r="L21" i="18" s="1"/>
  <c r="Q17" i="18"/>
  <c r="P17" i="18"/>
  <c r="O17" i="18"/>
  <c r="C17" i="18"/>
  <c r="L17" i="18" s="1"/>
  <c r="Q16" i="18"/>
  <c r="P16" i="18"/>
  <c r="O16" i="18"/>
  <c r="C16" i="18"/>
  <c r="L16" i="18" s="1"/>
  <c r="Q15" i="18"/>
  <c r="P15" i="18"/>
  <c r="O15" i="18"/>
  <c r="C15" i="18"/>
  <c r="L15" i="18" s="1"/>
  <c r="Q14" i="18"/>
  <c r="P14" i="18"/>
  <c r="O14" i="18"/>
  <c r="H14" i="18"/>
  <c r="C14" i="18"/>
  <c r="L14" i="18" s="1"/>
  <c r="Q10" i="18"/>
  <c r="P10" i="18"/>
  <c r="O10" i="18"/>
  <c r="C10" i="18"/>
  <c r="L10" i="18" s="1"/>
  <c r="Q9" i="18"/>
  <c r="P9" i="18"/>
  <c r="O9" i="18"/>
  <c r="C9" i="18"/>
  <c r="H9" i="18" s="1"/>
  <c r="Q8" i="18"/>
  <c r="P8" i="18"/>
  <c r="O8" i="18"/>
  <c r="C8" i="18"/>
  <c r="L8" i="18" s="1"/>
  <c r="Q7" i="18"/>
  <c r="P7" i="18"/>
  <c r="O7" i="18"/>
  <c r="C7" i="18"/>
  <c r="H7" i="18" s="1"/>
  <c r="Q6" i="18"/>
  <c r="P6" i="18"/>
  <c r="O6" i="18"/>
  <c r="C6" i="18"/>
  <c r="L6" i="18" s="1"/>
  <c r="Q5" i="18"/>
  <c r="P5" i="18"/>
  <c r="O5" i="18"/>
  <c r="C5" i="18"/>
  <c r="H5" i="18" s="1"/>
  <c r="F44" i="16"/>
  <c r="D44" i="16"/>
  <c r="C44" i="16"/>
  <c r="F43" i="16"/>
  <c r="D43" i="16"/>
  <c r="C43" i="16"/>
  <c r="F42" i="16"/>
  <c r="D42" i="16"/>
  <c r="Q31" i="16"/>
  <c r="P31" i="16"/>
  <c r="O31" i="16"/>
  <c r="C31" i="16"/>
  <c r="L31" i="16" s="1"/>
  <c r="Q30" i="16"/>
  <c r="P30" i="16"/>
  <c r="O30" i="16"/>
  <c r="C30" i="16"/>
  <c r="L30" i="16" s="1"/>
  <c r="Q29" i="16"/>
  <c r="P29" i="16"/>
  <c r="O29" i="16"/>
  <c r="H29" i="16"/>
  <c r="C29" i="16"/>
  <c r="L29" i="16" s="1"/>
  <c r="Q28" i="16"/>
  <c r="P28" i="16"/>
  <c r="O28" i="16"/>
  <c r="L28" i="16"/>
  <c r="C28" i="16"/>
  <c r="H28" i="16" s="1"/>
  <c r="Q24" i="16"/>
  <c r="P24" i="16"/>
  <c r="O24" i="16"/>
  <c r="C24" i="16"/>
  <c r="H24" i="16" s="1"/>
  <c r="Q23" i="16"/>
  <c r="P23" i="16"/>
  <c r="O23" i="16"/>
  <c r="C23" i="16"/>
  <c r="L23" i="16" s="1"/>
  <c r="Q22" i="16"/>
  <c r="P22" i="16"/>
  <c r="O22" i="16"/>
  <c r="C22" i="16"/>
  <c r="H22" i="16" s="1"/>
  <c r="Q21" i="16"/>
  <c r="P21" i="16"/>
  <c r="O21" i="16"/>
  <c r="C21" i="16"/>
  <c r="L21" i="16" s="1"/>
  <c r="P17" i="16"/>
  <c r="O17" i="16"/>
  <c r="P16" i="16"/>
  <c r="O16" i="16"/>
  <c r="P15" i="16"/>
  <c r="O15" i="16"/>
  <c r="P14" i="16"/>
  <c r="O14" i="16"/>
  <c r="Q10" i="16"/>
  <c r="P10" i="16"/>
  <c r="O10" i="16"/>
  <c r="C10" i="16"/>
  <c r="L10" i="16" s="1"/>
  <c r="Q9" i="16"/>
  <c r="P9" i="16"/>
  <c r="O9" i="16"/>
  <c r="C9" i="16"/>
  <c r="H9" i="16" s="1"/>
  <c r="Q8" i="16"/>
  <c r="P8" i="16"/>
  <c r="O8" i="16"/>
  <c r="C8" i="16"/>
  <c r="L8" i="16" s="1"/>
  <c r="Q7" i="16"/>
  <c r="P7" i="16"/>
  <c r="O7" i="16"/>
  <c r="C7" i="16"/>
  <c r="H7" i="16" s="1"/>
  <c r="Q6" i="16"/>
  <c r="P6" i="16"/>
  <c r="O6" i="16"/>
  <c r="C6" i="16"/>
  <c r="L6" i="16" s="1"/>
  <c r="Q5" i="16"/>
  <c r="P5" i="16"/>
  <c r="O5" i="16"/>
  <c r="C5" i="16"/>
  <c r="H5" i="16" s="1"/>
  <c r="F44" i="15"/>
  <c r="D44" i="15"/>
  <c r="C44" i="15"/>
  <c r="F43" i="15"/>
  <c r="D43" i="15"/>
  <c r="C43" i="15"/>
  <c r="F42" i="15"/>
  <c r="D42" i="15"/>
  <c r="Q31" i="15"/>
  <c r="P31" i="15"/>
  <c r="O31" i="15"/>
  <c r="C31" i="15"/>
  <c r="L31" i="15" s="1"/>
  <c r="Q30" i="15"/>
  <c r="P30" i="15"/>
  <c r="O30" i="15"/>
  <c r="C30" i="15"/>
  <c r="L30" i="15" s="1"/>
  <c r="Q29" i="15"/>
  <c r="P29" i="15"/>
  <c r="O29" i="15"/>
  <c r="C29" i="15"/>
  <c r="L29" i="15" s="1"/>
  <c r="Q28" i="15"/>
  <c r="P28" i="15"/>
  <c r="O28" i="15"/>
  <c r="C28" i="15"/>
  <c r="L28" i="15" s="1"/>
  <c r="Q24" i="15"/>
  <c r="P24" i="15"/>
  <c r="O24" i="15"/>
  <c r="C24" i="15"/>
  <c r="H24" i="15" s="1"/>
  <c r="Q23" i="15"/>
  <c r="P23" i="15"/>
  <c r="O23" i="15"/>
  <c r="C23" i="15"/>
  <c r="L23" i="15" s="1"/>
  <c r="Q22" i="15"/>
  <c r="P22" i="15"/>
  <c r="O22" i="15"/>
  <c r="C22" i="15"/>
  <c r="H22" i="15" s="1"/>
  <c r="Q21" i="15"/>
  <c r="P21" i="15"/>
  <c r="O21" i="15"/>
  <c r="C21" i="15"/>
  <c r="L21" i="15" s="1"/>
  <c r="Q17" i="15"/>
  <c r="P17" i="15"/>
  <c r="O17" i="15"/>
  <c r="C17" i="15"/>
  <c r="L17" i="15" s="1"/>
  <c r="Q16" i="15"/>
  <c r="P16" i="15"/>
  <c r="O16" i="15"/>
  <c r="C16" i="15"/>
  <c r="L16" i="15" s="1"/>
  <c r="Q15" i="15"/>
  <c r="P15" i="15"/>
  <c r="O15" i="15"/>
  <c r="C15" i="15"/>
  <c r="H15" i="15" s="1"/>
  <c r="Q14" i="15"/>
  <c r="P14" i="15"/>
  <c r="O14" i="15"/>
  <c r="C14" i="15"/>
  <c r="L14" i="15" s="1"/>
  <c r="Q10" i="15"/>
  <c r="P10" i="15"/>
  <c r="O10" i="15"/>
  <c r="C10" i="15"/>
  <c r="L10" i="15" s="1"/>
  <c r="Q9" i="15"/>
  <c r="P9" i="15"/>
  <c r="O9" i="15"/>
  <c r="C9" i="15"/>
  <c r="H9" i="15" s="1"/>
  <c r="Q8" i="15"/>
  <c r="P8" i="15"/>
  <c r="O8" i="15"/>
  <c r="C8" i="15"/>
  <c r="L8" i="15" s="1"/>
  <c r="Q7" i="15"/>
  <c r="P7" i="15"/>
  <c r="O7" i="15"/>
  <c r="C7" i="15"/>
  <c r="H7" i="15" s="1"/>
  <c r="Q6" i="15"/>
  <c r="P6" i="15"/>
  <c r="O6" i="15"/>
  <c r="C6" i="15"/>
  <c r="L6" i="15" s="1"/>
  <c r="Q5" i="15"/>
  <c r="P5" i="15"/>
  <c r="O5" i="15"/>
  <c r="L5" i="15"/>
  <c r="C5" i="15"/>
  <c r="H5" i="15" s="1"/>
  <c r="F44" i="14"/>
  <c r="D44" i="14"/>
  <c r="C44" i="14"/>
  <c r="F43" i="14"/>
  <c r="D43" i="14"/>
  <c r="C43" i="14"/>
  <c r="F42" i="14"/>
  <c r="D42" i="14"/>
  <c r="Q31" i="14"/>
  <c r="P31" i="14"/>
  <c r="O31" i="14"/>
  <c r="C31" i="14"/>
  <c r="H31" i="14" s="1"/>
  <c r="Q30" i="14"/>
  <c r="P30" i="14"/>
  <c r="O30" i="14"/>
  <c r="C30" i="14"/>
  <c r="H30" i="14" s="1"/>
  <c r="Q29" i="14"/>
  <c r="P29" i="14"/>
  <c r="O29" i="14"/>
  <c r="C29" i="14"/>
  <c r="H29" i="14" s="1"/>
  <c r="Q28" i="14"/>
  <c r="P28" i="14"/>
  <c r="O28" i="14"/>
  <c r="C28" i="14"/>
  <c r="H28" i="14" s="1"/>
  <c r="Q24" i="14"/>
  <c r="P24" i="14"/>
  <c r="O24" i="14"/>
  <c r="C24" i="14"/>
  <c r="L24" i="14" s="1"/>
  <c r="Q23" i="14"/>
  <c r="P23" i="14"/>
  <c r="O23" i="14"/>
  <c r="C23" i="14"/>
  <c r="L23" i="14" s="1"/>
  <c r="Q22" i="14"/>
  <c r="P22" i="14"/>
  <c r="O22" i="14"/>
  <c r="C22" i="14"/>
  <c r="H22" i="14" s="1"/>
  <c r="Q21" i="14"/>
  <c r="P21" i="14"/>
  <c r="O21" i="14"/>
  <c r="C21" i="14"/>
  <c r="L21" i="14" s="1"/>
  <c r="Q17" i="14"/>
  <c r="P17" i="14"/>
  <c r="O17" i="14"/>
  <c r="C17" i="14"/>
  <c r="H17" i="14" s="1"/>
  <c r="Q16" i="14"/>
  <c r="P16" i="14"/>
  <c r="O16" i="14"/>
  <c r="C16" i="14"/>
  <c r="H16" i="14" s="1"/>
  <c r="Q15" i="14"/>
  <c r="P15" i="14"/>
  <c r="O15" i="14"/>
  <c r="C15" i="14"/>
  <c r="H15" i="14" s="1"/>
  <c r="Q14" i="14"/>
  <c r="P14" i="14"/>
  <c r="O14" i="14"/>
  <c r="C14" i="14"/>
  <c r="L14" i="14" s="1"/>
  <c r="Q10" i="14"/>
  <c r="P10" i="14"/>
  <c r="O10" i="14"/>
  <c r="C10" i="14"/>
  <c r="L10" i="14" s="1"/>
  <c r="Q9" i="14"/>
  <c r="P9" i="14"/>
  <c r="O9" i="14"/>
  <c r="C9" i="14"/>
  <c r="L9" i="14" s="1"/>
  <c r="Q8" i="14"/>
  <c r="P8" i="14"/>
  <c r="O8" i="14"/>
  <c r="C8" i="14"/>
  <c r="L8" i="14" s="1"/>
  <c r="Q7" i="14"/>
  <c r="P7" i="14"/>
  <c r="O7" i="14"/>
  <c r="C7" i="14"/>
  <c r="L7" i="14" s="1"/>
  <c r="Q6" i="14"/>
  <c r="P6" i="14"/>
  <c r="O6" i="14"/>
  <c r="C6" i="14"/>
  <c r="L6" i="14" s="1"/>
  <c r="Q5" i="14"/>
  <c r="P5" i="14"/>
  <c r="O5" i="14"/>
  <c r="L5" i="14"/>
  <c r="C5" i="14"/>
  <c r="H5" i="14" s="1"/>
  <c r="F44" i="13"/>
  <c r="D44" i="13"/>
  <c r="C44" i="13"/>
  <c r="F43" i="13"/>
  <c r="D43" i="13"/>
  <c r="C43" i="13"/>
  <c r="F42" i="13"/>
  <c r="D42" i="13"/>
  <c r="Q31" i="13"/>
  <c r="P31" i="13"/>
  <c r="O31" i="13"/>
  <c r="C31" i="13"/>
  <c r="L31" i="13" s="1"/>
  <c r="Q30" i="13"/>
  <c r="P30" i="13"/>
  <c r="O30" i="13"/>
  <c r="C30" i="13"/>
  <c r="L30" i="13" s="1"/>
  <c r="Q29" i="13"/>
  <c r="P29" i="13"/>
  <c r="O29" i="13"/>
  <c r="C29" i="13"/>
  <c r="L29" i="13" s="1"/>
  <c r="Q28" i="13"/>
  <c r="P28" i="13"/>
  <c r="O28" i="13"/>
  <c r="C28" i="13"/>
  <c r="H28" i="13" s="1"/>
  <c r="Q24" i="13"/>
  <c r="P24" i="13"/>
  <c r="O24" i="13"/>
  <c r="C24" i="13"/>
  <c r="H24" i="13" s="1"/>
  <c r="Q23" i="13"/>
  <c r="P23" i="13"/>
  <c r="O23" i="13"/>
  <c r="C23" i="13"/>
  <c r="L23" i="13" s="1"/>
  <c r="Q22" i="13"/>
  <c r="P22" i="13"/>
  <c r="O22" i="13"/>
  <c r="C22" i="13"/>
  <c r="H22" i="13" s="1"/>
  <c r="Q21" i="13"/>
  <c r="P21" i="13"/>
  <c r="O21" i="13"/>
  <c r="C21" i="13"/>
  <c r="L21" i="13" s="1"/>
  <c r="Q17" i="13"/>
  <c r="P17" i="13"/>
  <c r="O17" i="13"/>
  <c r="C17" i="13"/>
  <c r="L17" i="13" s="1"/>
  <c r="Q16" i="13"/>
  <c r="P16" i="13"/>
  <c r="O16" i="13"/>
  <c r="C16" i="13"/>
  <c r="L16" i="13" s="1"/>
  <c r="Q15" i="13"/>
  <c r="P15" i="13"/>
  <c r="O15" i="13"/>
  <c r="C15" i="13"/>
  <c r="H15" i="13" s="1"/>
  <c r="Q14" i="13"/>
  <c r="P14" i="13"/>
  <c r="O14" i="13"/>
  <c r="C14" i="13"/>
  <c r="L14" i="13" s="1"/>
  <c r="Q10" i="13"/>
  <c r="P10" i="13"/>
  <c r="O10" i="13"/>
  <c r="C10" i="13"/>
  <c r="L10" i="13" s="1"/>
  <c r="Q9" i="13"/>
  <c r="P9" i="13"/>
  <c r="O9" i="13"/>
  <c r="C9" i="13"/>
  <c r="H9" i="13" s="1"/>
  <c r="Q8" i="13"/>
  <c r="P8" i="13"/>
  <c r="O8" i="13"/>
  <c r="C8" i="13"/>
  <c r="L8" i="13" s="1"/>
  <c r="Q7" i="13"/>
  <c r="P7" i="13"/>
  <c r="O7" i="13"/>
  <c r="C7" i="13"/>
  <c r="H7" i="13" s="1"/>
  <c r="Q6" i="13"/>
  <c r="P6" i="13"/>
  <c r="O6" i="13"/>
  <c r="C6" i="13"/>
  <c r="L6" i="13" s="1"/>
  <c r="Q5" i="13"/>
  <c r="P5" i="13"/>
  <c r="O5" i="13"/>
  <c r="F44" i="12"/>
  <c r="D44" i="12"/>
  <c r="C44" i="12"/>
  <c r="F43" i="12"/>
  <c r="D43" i="12"/>
  <c r="C43" i="12"/>
  <c r="F42" i="12"/>
  <c r="D42" i="12"/>
  <c r="Q31" i="12"/>
  <c r="P31" i="12"/>
  <c r="O31" i="12"/>
  <c r="C31" i="12"/>
  <c r="L31" i="12" s="1"/>
  <c r="Q30" i="12"/>
  <c r="P30" i="12"/>
  <c r="O30" i="12"/>
  <c r="C30" i="12"/>
  <c r="H30" i="12" s="1"/>
  <c r="Q29" i="12"/>
  <c r="P29" i="12"/>
  <c r="O29" i="12"/>
  <c r="C29" i="12"/>
  <c r="L29" i="12" s="1"/>
  <c r="Q28" i="12"/>
  <c r="P28" i="12"/>
  <c r="O28" i="12"/>
  <c r="C28" i="12"/>
  <c r="H28" i="12" s="1"/>
  <c r="Q24" i="12"/>
  <c r="P24" i="12"/>
  <c r="O24" i="12"/>
  <c r="C24" i="12"/>
  <c r="H24" i="12" s="1"/>
  <c r="Q23" i="12"/>
  <c r="P23" i="12"/>
  <c r="O23" i="12"/>
  <c r="C23" i="12"/>
  <c r="L23" i="12" s="1"/>
  <c r="Q22" i="12"/>
  <c r="P22" i="12"/>
  <c r="O22" i="12"/>
  <c r="C22" i="12"/>
  <c r="H22" i="12" s="1"/>
  <c r="Q21" i="12"/>
  <c r="P21" i="12"/>
  <c r="O21" i="12"/>
  <c r="C21" i="12"/>
  <c r="L21" i="12" s="1"/>
  <c r="Q17" i="12"/>
  <c r="P17" i="12"/>
  <c r="O17" i="12"/>
  <c r="C17" i="12"/>
  <c r="H17" i="12" s="1"/>
  <c r="Q16" i="12"/>
  <c r="P16" i="12"/>
  <c r="O16" i="12"/>
  <c r="C16" i="12"/>
  <c r="L16" i="12" s="1"/>
  <c r="Q15" i="12"/>
  <c r="P15" i="12"/>
  <c r="O15" i="12"/>
  <c r="L15" i="12"/>
  <c r="C15" i="12"/>
  <c r="H15" i="12" s="1"/>
  <c r="Q14" i="12"/>
  <c r="P14" i="12"/>
  <c r="O14" i="12"/>
  <c r="C14" i="12"/>
  <c r="L14" i="12" s="1"/>
  <c r="Q10" i="12"/>
  <c r="P10" i="12"/>
  <c r="O10" i="12"/>
  <c r="C10" i="12"/>
  <c r="L10" i="12" s="1"/>
  <c r="Q9" i="12"/>
  <c r="P9" i="12"/>
  <c r="O9" i="12"/>
  <c r="C9" i="12"/>
  <c r="H9" i="12" s="1"/>
  <c r="Q8" i="12"/>
  <c r="P8" i="12"/>
  <c r="O8" i="12"/>
  <c r="C8" i="12"/>
  <c r="L8" i="12" s="1"/>
  <c r="Q7" i="12"/>
  <c r="P7" i="12"/>
  <c r="O7" i="12"/>
  <c r="C7" i="12"/>
  <c r="H7" i="12" s="1"/>
  <c r="Q6" i="12"/>
  <c r="P6" i="12"/>
  <c r="O6" i="12"/>
  <c r="O32" i="12" s="1"/>
  <c r="O34" i="12" s="1"/>
  <c r="C37" i="12" s="1"/>
  <c r="C6" i="12"/>
  <c r="L6" i="12" s="1"/>
  <c r="Q5" i="12"/>
  <c r="P5" i="12"/>
  <c r="O5" i="12"/>
  <c r="C5" i="12"/>
  <c r="H5" i="12" s="1"/>
  <c r="F44" i="9"/>
  <c r="D44" i="9"/>
  <c r="C44" i="9"/>
  <c r="F43" i="9"/>
  <c r="D43" i="9"/>
  <c r="C43" i="9"/>
  <c r="F42" i="9"/>
  <c r="D42" i="9"/>
  <c r="Q31" i="9"/>
  <c r="P31" i="9"/>
  <c r="O31" i="9"/>
  <c r="C31" i="9"/>
  <c r="H31" i="9" s="1"/>
  <c r="Q30" i="9"/>
  <c r="P30" i="9"/>
  <c r="O30" i="9"/>
  <c r="C30" i="9"/>
  <c r="H30" i="9" s="1"/>
  <c r="Q29" i="9"/>
  <c r="P29" i="9"/>
  <c r="O29" i="9"/>
  <c r="C29" i="9"/>
  <c r="L29" i="9" s="1"/>
  <c r="Q28" i="9"/>
  <c r="P28" i="9"/>
  <c r="O28" i="9"/>
  <c r="C28" i="9"/>
  <c r="H28" i="9" s="1"/>
  <c r="Q24" i="9"/>
  <c r="P24" i="9"/>
  <c r="O24" i="9"/>
  <c r="C24" i="9"/>
  <c r="L24" i="9" s="1"/>
  <c r="Q23" i="9"/>
  <c r="P23" i="9"/>
  <c r="O23" i="9"/>
  <c r="C23" i="9"/>
  <c r="L23" i="9" s="1"/>
  <c r="Q22" i="9"/>
  <c r="P22" i="9"/>
  <c r="O22" i="9"/>
  <c r="C22" i="9"/>
  <c r="L22" i="9" s="1"/>
  <c r="Q21" i="9"/>
  <c r="P21" i="9"/>
  <c r="O21" i="9"/>
  <c r="C21" i="9"/>
  <c r="L21" i="9" s="1"/>
  <c r="Q17" i="9"/>
  <c r="P17" i="9"/>
  <c r="O17" i="9"/>
  <c r="C17" i="9"/>
  <c r="H17" i="9" s="1"/>
  <c r="Q16" i="9"/>
  <c r="P16" i="9"/>
  <c r="O16" i="9"/>
  <c r="C16" i="9"/>
  <c r="L16" i="9" s="1"/>
  <c r="Q15" i="9"/>
  <c r="P15" i="9"/>
  <c r="O15" i="9"/>
  <c r="L15" i="9"/>
  <c r="C15" i="9"/>
  <c r="H15" i="9" s="1"/>
  <c r="Q14" i="9"/>
  <c r="P14" i="9"/>
  <c r="O14" i="9"/>
  <c r="C14" i="9"/>
  <c r="H14" i="9" s="1"/>
  <c r="Q10" i="9"/>
  <c r="P10" i="9"/>
  <c r="O10" i="9"/>
  <c r="C10" i="9"/>
  <c r="L10" i="9" s="1"/>
  <c r="Q9" i="9"/>
  <c r="P9" i="9"/>
  <c r="O9" i="9"/>
  <c r="C9" i="9"/>
  <c r="L9" i="9" s="1"/>
  <c r="Q8" i="9"/>
  <c r="P8" i="9"/>
  <c r="O8" i="9"/>
  <c r="C8" i="9"/>
  <c r="L8" i="9" s="1"/>
  <c r="Q7" i="9"/>
  <c r="P7" i="9"/>
  <c r="O7" i="9"/>
  <c r="C7" i="9"/>
  <c r="H7" i="9" s="1"/>
  <c r="Q6" i="9"/>
  <c r="P6" i="9"/>
  <c r="O6" i="9"/>
  <c r="C6" i="9"/>
  <c r="L6" i="9" s="1"/>
  <c r="Q5" i="9"/>
  <c r="P5" i="9"/>
  <c r="O5" i="9"/>
  <c r="C5" i="9"/>
  <c r="L5" i="9" s="1"/>
  <c r="F44" i="8"/>
  <c r="D44" i="8"/>
  <c r="C44" i="8"/>
  <c r="F43" i="8"/>
  <c r="D43" i="8"/>
  <c r="C43" i="8"/>
  <c r="F42" i="8"/>
  <c r="D42" i="8"/>
  <c r="Q31" i="8"/>
  <c r="P31" i="8"/>
  <c r="O31" i="8"/>
  <c r="C31" i="8"/>
  <c r="L31" i="8" s="1"/>
  <c r="Q30" i="8"/>
  <c r="P30" i="8"/>
  <c r="O30" i="8"/>
  <c r="C30" i="8"/>
  <c r="L30" i="8" s="1"/>
  <c r="Q29" i="8"/>
  <c r="P29" i="8"/>
  <c r="O29" i="8"/>
  <c r="C29" i="8"/>
  <c r="L29" i="8" s="1"/>
  <c r="Q28" i="8"/>
  <c r="P28" i="8"/>
  <c r="O28" i="8"/>
  <c r="C28" i="8"/>
  <c r="H28" i="8" s="1"/>
  <c r="Q24" i="8"/>
  <c r="P24" i="8"/>
  <c r="O24" i="8"/>
  <c r="C24" i="8"/>
  <c r="H24" i="8" s="1"/>
  <c r="Q23" i="8"/>
  <c r="P23" i="8"/>
  <c r="O23" i="8"/>
  <c r="C23" i="8"/>
  <c r="L23" i="8" s="1"/>
  <c r="Q22" i="8"/>
  <c r="P22" i="8"/>
  <c r="O22" i="8"/>
  <c r="C22" i="8"/>
  <c r="H22" i="8" s="1"/>
  <c r="Q21" i="8"/>
  <c r="P21" i="8"/>
  <c r="O21" i="8"/>
  <c r="C21" i="8"/>
  <c r="L21" i="8" s="1"/>
  <c r="Q17" i="8"/>
  <c r="P17" i="8"/>
  <c r="O17" i="8"/>
  <c r="C17" i="8"/>
  <c r="L17" i="8" s="1"/>
  <c r="Q16" i="8"/>
  <c r="P16" i="8"/>
  <c r="O16" i="8"/>
  <c r="H16" i="8"/>
  <c r="C16" i="8"/>
  <c r="L16" i="8" s="1"/>
  <c r="Q15" i="8"/>
  <c r="P15" i="8"/>
  <c r="O15" i="8"/>
  <c r="C15" i="8"/>
  <c r="L15" i="8" s="1"/>
  <c r="Q14" i="8"/>
  <c r="P14" i="8"/>
  <c r="O14" i="8"/>
  <c r="C14" i="8"/>
  <c r="L14" i="8" s="1"/>
  <c r="Q10" i="8"/>
  <c r="P10" i="8"/>
  <c r="O10" i="8"/>
  <c r="C10" i="8"/>
  <c r="L10" i="8" s="1"/>
  <c r="Q9" i="8"/>
  <c r="P9" i="8"/>
  <c r="O9" i="8"/>
  <c r="C9" i="8"/>
  <c r="H9" i="8" s="1"/>
  <c r="Q8" i="8"/>
  <c r="P8" i="8"/>
  <c r="O8" i="8"/>
  <c r="C8" i="8"/>
  <c r="L8" i="8" s="1"/>
  <c r="Q7" i="8"/>
  <c r="P7" i="8"/>
  <c r="O7" i="8"/>
  <c r="C7" i="8"/>
  <c r="H7" i="8" s="1"/>
  <c r="Q6" i="8"/>
  <c r="P6" i="8"/>
  <c r="O6" i="8"/>
  <c r="O32" i="8" s="1"/>
  <c r="O34" i="8" s="1"/>
  <c r="C37" i="8" s="1"/>
  <c r="C6" i="8"/>
  <c r="L6" i="8" s="1"/>
  <c r="Q5" i="8"/>
  <c r="P5" i="8"/>
  <c r="O5" i="8"/>
  <c r="C5" i="8"/>
  <c r="H5" i="8" s="1"/>
  <c r="F44" i="7"/>
  <c r="D44" i="7"/>
  <c r="C44" i="7"/>
  <c r="F43" i="7"/>
  <c r="D43" i="7"/>
  <c r="C43" i="7"/>
  <c r="F42" i="7"/>
  <c r="D42" i="7"/>
  <c r="Q31" i="7"/>
  <c r="P31" i="7"/>
  <c r="O31" i="7"/>
  <c r="C31" i="7"/>
  <c r="L31" i="7" s="1"/>
  <c r="Q30" i="7"/>
  <c r="P30" i="7"/>
  <c r="O30" i="7"/>
  <c r="C30" i="7"/>
  <c r="L30" i="7" s="1"/>
  <c r="Q29" i="7"/>
  <c r="P29" i="7"/>
  <c r="O29" i="7"/>
  <c r="C29" i="7"/>
  <c r="L29" i="7" s="1"/>
  <c r="Q28" i="7"/>
  <c r="P28" i="7"/>
  <c r="O28" i="7"/>
  <c r="C28" i="7"/>
  <c r="H28" i="7" s="1"/>
  <c r="Q24" i="7"/>
  <c r="P24" i="7"/>
  <c r="O24" i="7"/>
  <c r="C24" i="7"/>
  <c r="H24" i="7" s="1"/>
  <c r="Q23" i="7"/>
  <c r="P23" i="7"/>
  <c r="O23" i="7"/>
  <c r="C23" i="7"/>
  <c r="L23" i="7" s="1"/>
  <c r="Q22" i="7"/>
  <c r="P22" i="7"/>
  <c r="O22" i="7"/>
  <c r="C22" i="7"/>
  <c r="H22" i="7" s="1"/>
  <c r="Q21" i="7"/>
  <c r="P21" i="7"/>
  <c r="O21" i="7"/>
  <c r="C21" i="7"/>
  <c r="L21" i="7" s="1"/>
  <c r="Q17" i="7"/>
  <c r="P17" i="7"/>
  <c r="O17" i="7"/>
  <c r="C17" i="7"/>
  <c r="H17" i="7" s="1"/>
  <c r="Q16" i="7"/>
  <c r="P16" i="7"/>
  <c r="O16" i="7"/>
  <c r="C16" i="7"/>
  <c r="L16" i="7" s="1"/>
  <c r="Q15" i="7"/>
  <c r="P15" i="7"/>
  <c r="O15" i="7"/>
  <c r="L15" i="7"/>
  <c r="H15" i="7"/>
  <c r="C15" i="7"/>
  <c r="Q14" i="7"/>
  <c r="P14" i="7"/>
  <c r="O14" i="7"/>
  <c r="C14" i="7"/>
  <c r="L14" i="7" s="1"/>
  <c r="Q10" i="7"/>
  <c r="P10" i="7"/>
  <c r="O10" i="7"/>
  <c r="C10" i="7"/>
  <c r="L10" i="7" s="1"/>
  <c r="Q9" i="7"/>
  <c r="P9" i="7"/>
  <c r="O9" i="7"/>
  <c r="C9" i="7"/>
  <c r="H9" i="7" s="1"/>
  <c r="Q8" i="7"/>
  <c r="P8" i="7"/>
  <c r="O8" i="7"/>
  <c r="C8" i="7"/>
  <c r="L8" i="7" s="1"/>
  <c r="Q7" i="7"/>
  <c r="P7" i="7"/>
  <c r="O7" i="7"/>
  <c r="C7" i="7"/>
  <c r="H7" i="7" s="1"/>
  <c r="Q6" i="7"/>
  <c r="P6" i="7"/>
  <c r="O6" i="7"/>
  <c r="C6" i="7"/>
  <c r="L6" i="7" s="1"/>
  <c r="Q5" i="7"/>
  <c r="P5" i="7"/>
  <c r="O5" i="7"/>
  <c r="C5" i="7"/>
  <c r="H5" i="7" s="1"/>
  <c r="F44" i="6"/>
  <c r="D44" i="6"/>
  <c r="C44" i="6"/>
  <c r="F43" i="6"/>
  <c r="D43" i="6"/>
  <c r="C43" i="6"/>
  <c r="F42" i="6"/>
  <c r="D42" i="6"/>
  <c r="Q31" i="6"/>
  <c r="P31" i="6"/>
  <c r="O31" i="6"/>
  <c r="C31" i="6"/>
  <c r="L31" i="6" s="1"/>
  <c r="Q30" i="6"/>
  <c r="P30" i="6"/>
  <c r="O30" i="6"/>
  <c r="C30" i="6"/>
  <c r="L30" i="6" s="1"/>
  <c r="Q29" i="6"/>
  <c r="P29" i="6"/>
  <c r="O29" i="6"/>
  <c r="C29" i="6"/>
  <c r="L29" i="6" s="1"/>
  <c r="Q28" i="6"/>
  <c r="P28" i="6"/>
  <c r="O28" i="6"/>
  <c r="C28" i="6"/>
  <c r="H28" i="6" s="1"/>
  <c r="Q24" i="6"/>
  <c r="P24" i="6"/>
  <c r="O24" i="6"/>
  <c r="C24" i="6"/>
  <c r="H24" i="6" s="1"/>
  <c r="Q23" i="6"/>
  <c r="P23" i="6"/>
  <c r="O23" i="6"/>
  <c r="C23" i="6"/>
  <c r="L23" i="6" s="1"/>
  <c r="Q22" i="6"/>
  <c r="P22" i="6"/>
  <c r="O22" i="6"/>
  <c r="C22" i="6"/>
  <c r="H22" i="6" s="1"/>
  <c r="Q21" i="6"/>
  <c r="P21" i="6"/>
  <c r="O21" i="6"/>
  <c r="C21" i="6"/>
  <c r="L21" i="6" s="1"/>
  <c r="Q17" i="6"/>
  <c r="P17" i="6"/>
  <c r="O17" i="6"/>
  <c r="C17" i="6"/>
  <c r="H17" i="6" s="1"/>
  <c r="Q16" i="6"/>
  <c r="P16" i="6"/>
  <c r="O16" i="6"/>
  <c r="C16" i="6"/>
  <c r="L16" i="6" s="1"/>
  <c r="Q15" i="6"/>
  <c r="P15" i="6"/>
  <c r="O15" i="6"/>
  <c r="L15" i="6"/>
  <c r="C15" i="6"/>
  <c r="H15" i="6" s="1"/>
  <c r="Q14" i="6"/>
  <c r="P14" i="6"/>
  <c r="O14" i="6"/>
  <c r="C14" i="6"/>
  <c r="L14" i="6" s="1"/>
  <c r="Q10" i="6"/>
  <c r="P10" i="6"/>
  <c r="O10" i="6"/>
  <c r="C10" i="6"/>
  <c r="L10" i="6" s="1"/>
  <c r="Q9" i="6"/>
  <c r="P9" i="6"/>
  <c r="O9" i="6"/>
  <c r="C9" i="6"/>
  <c r="H9" i="6" s="1"/>
  <c r="Q8" i="6"/>
  <c r="P8" i="6"/>
  <c r="O8" i="6"/>
  <c r="C8" i="6"/>
  <c r="L8" i="6" s="1"/>
  <c r="Q7" i="6"/>
  <c r="P7" i="6"/>
  <c r="O7" i="6"/>
  <c r="L7" i="6"/>
  <c r="C7" i="6"/>
  <c r="H7" i="6" s="1"/>
  <c r="Q6" i="6"/>
  <c r="P6" i="6"/>
  <c r="O6" i="6"/>
  <c r="C6" i="6"/>
  <c r="L6" i="6" s="1"/>
  <c r="Q5" i="6"/>
  <c r="P5" i="6"/>
  <c r="O5" i="6"/>
  <c r="C5" i="6"/>
  <c r="H5" i="6" s="1"/>
  <c r="F44" i="5"/>
  <c r="D44" i="5"/>
  <c r="C44" i="5"/>
  <c r="F43" i="5"/>
  <c r="D43" i="5"/>
  <c r="C43" i="5"/>
  <c r="F42" i="5"/>
  <c r="D42" i="5"/>
  <c r="Q31" i="5"/>
  <c r="P31" i="5"/>
  <c r="O31" i="5"/>
  <c r="C31" i="5"/>
  <c r="L31" i="5" s="1"/>
  <c r="Q30" i="5"/>
  <c r="P30" i="5"/>
  <c r="O30" i="5"/>
  <c r="C30" i="5"/>
  <c r="H30" i="5" s="1"/>
  <c r="Q29" i="5"/>
  <c r="P29" i="5"/>
  <c r="O29" i="5"/>
  <c r="C29" i="5"/>
  <c r="L29" i="5" s="1"/>
  <c r="Q28" i="5"/>
  <c r="P28" i="5"/>
  <c r="O28" i="5"/>
  <c r="C28" i="5"/>
  <c r="L28" i="5" s="1"/>
  <c r="Q24" i="5"/>
  <c r="P24" i="5"/>
  <c r="O24" i="5"/>
  <c r="C24" i="5"/>
  <c r="H24" i="5" s="1"/>
  <c r="Q23" i="5"/>
  <c r="P23" i="5"/>
  <c r="O23" i="5"/>
  <c r="C23" i="5"/>
  <c r="H23" i="5" s="1"/>
  <c r="Q22" i="5"/>
  <c r="P22" i="5"/>
  <c r="O22" i="5"/>
  <c r="C22" i="5"/>
  <c r="H22" i="5" s="1"/>
  <c r="Q21" i="5"/>
  <c r="P21" i="5"/>
  <c r="O21" i="5"/>
  <c r="C21" i="5"/>
  <c r="H21" i="5" s="1"/>
  <c r="Q17" i="5"/>
  <c r="P17" i="5"/>
  <c r="O17" i="5"/>
  <c r="C17" i="5"/>
  <c r="L17" i="5" s="1"/>
  <c r="Q16" i="5"/>
  <c r="P16" i="5"/>
  <c r="O16" i="5"/>
  <c r="C16" i="5"/>
  <c r="L16" i="5" s="1"/>
  <c r="Q15" i="5"/>
  <c r="P15" i="5"/>
  <c r="O15" i="5"/>
  <c r="C15" i="5"/>
  <c r="H15" i="5" s="1"/>
  <c r="Q14" i="5"/>
  <c r="P14" i="5"/>
  <c r="O14" i="5"/>
  <c r="C14" i="5"/>
  <c r="L14" i="5" s="1"/>
  <c r="Q10" i="5"/>
  <c r="P10" i="5"/>
  <c r="O10" i="5"/>
  <c r="C10" i="5"/>
  <c r="H10" i="5" s="1"/>
  <c r="Q9" i="5"/>
  <c r="P9" i="5"/>
  <c r="O9" i="5"/>
  <c r="C9" i="5"/>
  <c r="H9" i="5" s="1"/>
  <c r="Q8" i="5"/>
  <c r="P8" i="5"/>
  <c r="O8" i="5"/>
  <c r="L8" i="5"/>
  <c r="C8" i="5"/>
  <c r="H8" i="5" s="1"/>
  <c r="Q7" i="5"/>
  <c r="P7" i="5"/>
  <c r="O7" i="5"/>
  <c r="C7" i="5"/>
  <c r="H7" i="5" s="1"/>
  <c r="Q6" i="5"/>
  <c r="P6" i="5"/>
  <c r="O6" i="5"/>
  <c r="C6" i="5"/>
  <c r="H6" i="5" s="1"/>
  <c r="Q5" i="5"/>
  <c r="P5" i="5"/>
  <c r="O5" i="5"/>
  <c r="C5" i="5"/>
  <c r="H5" i="5" s="1"/>
  <c r="F44" i="4"/>
  <c r="D44" i="4"/>
  <c r="C44" i="4"/>
  <c r="F43" i="4"/>
  <c r="D43" i="4"/>
  <c r="C43" i="4"/>
  <c r="F42" i="4"/>
  <c r="D42" i="4"/>
  <c r="Q31" i="4"/>
  <c r="P31" i="4"/>
  <c r="O31" i="4"/>
  <c r="C31" i="4"/>
  <c r="H31" i="4" s="1"/>
  <c r="Q30" i="4"/>
  <c r="P30" i="4"/>
  <c r="O30" i="4"/>
  <c r="C30" i="4"/>
  <c r="H30" i="4" s="1"/>
  <c r="Q29" i="4"/>
  <c r="P29" i="4"/>
  <c r="O29" i="4"/>
  <c r="C29" i="4"/>
  <c r="H29" i="4" s="1"/>
  <c r="Q28" i="4"/>
  <c r="P28" i="4"/>
  <c r="O28" i="4"/>
  <c r="C28" i="4"/>
  <c r="H28" i="4" s="1"/>
  <c r="Q24" i="4"/>
  <c r="P24" i="4"/>
  <c r="O24" i="4"/>
  <c r="C24" i="4"/>
  <c r="H24" i="4" s="1"/>
  <c r="Q23" i="4"/>
  <c r="P23" i="4"/>
  <c r="O23" i="4"/>
  <c r="C23" i="4"/>
  <c r="L23" i="4" s="1"/>
  <c r="Q22" i="4"/>
  <c r="O22" i="4"/>
  <c r="Q21" i="4"/>
  <c r="P21" i="4"/>
  <c r="O21" i="4"/>
  <c r="C21" i="4"/>
  <c r="L21" i="4" s="1"/>
  <c r="Q17" i="4"/>
  <c r="P17" i="4"/>
  <c r="O17" i="4"/>
  <c r="C17" i="4"/>
  <c r="H17" i="4" s="1"/>
  <c r="Q16" i="4"/>
  <c r="P16" i="4"/>
  <c r="O16" i="4"/>
  <c r="C16" i="4"/>
  <c r="H16" i="4" s="1"/>
  <c r="Q15" i="4"/>
  <c r="P15" i="4"/>
  <c r="O15" i="4"/>
  <c r="C15" i="4"/>
  <c r="H15" i="4" s="1"/>
  <c r="Q14" i="4"/>
  <c r="P14" i="4"/>
  <c r="O14" i="4"/>
  <c r="C14" i="4"/>
  <c r="H14" i="4" s="1"/>
  <c r="Q10" i="4"/>
  <c r="P10" i="4"/>
  <c r="O10" i="4"/>
  <c r="C10" i="4"/>
  <c r="L10" i="4" s="1"/>
  <c r="Q9" i="4"/>
  <c r="P9" i="4"/>
  <c r="O9" i="4"/>
  <c r="C9" i="4"/>
  <c r="H9" i="4" s="1"/>
  <c r="Q8" i="4"/>
  <c r="P8" i="4"/>
  <c r="O8" i="4"/>
  <c r="C8" i="4"/>
  <c r="L8" i="4" s="1"/>
  <c r="Q7" i="4"/>
  <c r="P7" i="4"/>
  <c r="O7" i="4"/>
  <c r="C7" i="4"/>
  <c r="L7" i="4" s="1"/>
  <c r="Q6" i="4"/>
  <c r="P6" i="4"/>
  <c r="O6" i="4"/>
  <c r="C6" i="4"/>
  <c r="L6" i="4" s="1"/>
  <c r="Q5" i="4"/>
  <c r="P5" i="4"/>
  <c r="O5" i="4"/>
  <c r="L5" i="4"/>
  <c r="H5" i="4"/>
  <c r="C5" i="4"/>
  <c r="F44" i="3"/>
  <c r="D44" i="3"/>
  <c r="C44" i="3"/>
  <c r="F43" i="3"/>
  <c r="D43" i="3"/>
  <c r="C43" i="3"/>
  <c r="F42" i="3"/>
  <c r="D42" i="3"/>
  <c r="Q31" i="3"/>
  <c r="P31" i="3"/>
  <c r="O31" i="3"/>
  <c r="C31" i="3"/>
  <c r="L31" i="3" s="1"/>
  <c r="Q30" i="3"/>
  <c r="P30" i="3"/>
  <c r="O30" i="3"/>
  <c r="L30" i="3"/>
  <c r="H30" i="3"/>
  <c r="C30" i="3"/>
  <c r="Q29" i="3"/>
  <c r="P29" i="3"/>
  <c r="O29" i="3"/>
  <c r="C29" i="3"/>
  <c r="L29" i="3" s="1"/>
  <c r="Q28" i="3"/>
  <c r="P28" i="3"/>
  <c r="O28" i="3"/>
  <c r="C28" i="3"/>
  <c r="L28" i="3" s="1"/>
  <c r="Q24" i="3"/>
  <c r="P24" i="3"/>
  <c r="O24" i="3"/>
  <c r="C24" i="3"/>
  <c r="H24" i="3" s="1"/>
  <c r="Q23" i="3"/>
  <c r="P23" i="3"/>
  <c r="O23" i="3"/>
  <c r="L23" i="3"/>
  <c r="C23" i="3"/>
  <c r="H23" i="3" s="1"/>
  <c r="Q22" i="3"/>
  <c r="P22" i="3"/>
  <c r="O22" i="3"/>
  <c r="C22" i="3"/>
  <c r="H22" i="3" s="1"/>
  <c r="Q21" i="3"/>
  <c r="P21" i="3"/>
  <c r="O21" i="3"/>
  <c r="C21" i="3"/>
  <c r="H21" i="3" s="1"/>
  <c r="Q17" i="3"/>
  <c r="P17" i="3"/>
  <c r="O17" i="3"/>
  <c r="C17" i="3"/>
  <c r="L17" i="3" s="1"/>
  <c r="Q16" i="3"/>
  <c r="P16" i="3"/>
  <c r="O16" i="3"/>
  <c r="C16" i="3"/>
  <c r="L16" i="3" s="1"/>
  <c r="Q15" i="3"/>
  <c r="P15" i="3"/>
  <c r="O15" i="3"/>
  <c r="C15" i="3"/>
  <c r="H15" i="3" s="1"/>
  <c r="Q14" i="3"/>
  <c r="P14" i="3"/>
  <c r="O14" i="3"/>
  <c r="C14" i="3"/>
  <c r="L14" i="3" s="1"/>
  <c r="Q10" i="3"/>
  <c r="P10" i="3"/>
  <c r="O10" i="3"/>
  <c r="C10" i="3"/>
  <c r="H10" i="3" s="1"/>
  <c r="Q9" i="3"/>
  <c r="P9" i="3"/>
  <c r="O9" i="3"/>
  <c r="C9" i="3"/>
  <c r="H9" i="3" s="1"/>
  <c r="Q8" i="3"/>
  <c r="P8" i="3"/>
  <c r="O8" i="3"/>
  <c r="C8" i="3"/>
  <c r="H8" i="3" s="1"/>
  <c r="Q7" i="3"/>
  <c r="P7" i="3"/>
  <c r="O7" i="3"/>
  <c r="C7" i="3"/>
  <c r="H7" i="3" s="1"/>
  <c r="Q6" i="3"/>
  <c r="P6" i="3"/>
  <c r="O6" i="3"/>
  <c r="C6" i="3"/>
  <c r="H6" i="3" s="1"/>
  <c r="Q5" i="3"/>
  <c r="P5" i="3"/>
  <c r="O5" i="3"/>
  <c r="C5" i="3"/>
  <c r="H5" i="3" s="1"/>
  <c r="P6" i="2"/>
  <c r="P7" i="2"/>
  <c r="P8" i="2"/>
  <c r="P9" i="2"/>
  <c r="P10" i="2"/>
  <c r="P5" i="2"/>
  <c r="P10" i="1"/>
  <c r="P6" i="1"/>
  <c r="P7" i="1"/>
  <c r="P8" i="1"/>
  <c r="P9" i="1"/>
  <c r="P5" i="1"/>
  <c r="E22" i="1"/>
  <c r="E21" i="1"/>
  <c r="L28" i="13" l="1"/>
  <c r="H30" i="6"/>
  <c r="L28" i="8"/>
  <c r="O32" i="16"/>
  <c r="O34" i="16" s="1"/>
  <c r="C37" i="16" s="1"/>
  <c r="L9" i="4"/>
  <c r="L23" i="5"/>
  <c r="H17" i="3"/>
  <c r="H31" i="3"/>
  <c r="L30" i="5"/>
  <c r="H16" i="7"/>
  <c r="H29" i="8"/>
  <c r="H16" i="13"/>
  <c r="L28" i="14"/>
  <c r="O32" i="6"/>
  <c r="O34" i="6" s="1"/>
  <c r="C37" i="6" s="1"/>
  <c r="H31" i="6"/>
  <c r="L24" i="7"/>
  <c r="L7" i="9"/>
  <c r="L30" i="14"/>
  <c r="L5" i="18"/>
  <c r="L9" i="19"/>
  <c r="L5" i="19"/>
  <c r="L7" i="19"/>
  <c r="H14" i="19"/>
  <c r="H17" i="19"/>
  <c r="H16" i="19"/>
  <c r="H31" i="19"/>
  <c r="Q32" i="19"/>
  <c r="Q34" i="19" s="1"/>
  <c r="E37" i="19" s="1"/>
  <c r="H30" i="19"/>
  <c r="P32" i="19"/>
  <c r="P34" i="19" s="1"/>
  <c r="D37" i="19" s="1"/>
  <c r="O32" i="19"/>
  <c r="O34" i="19" s="1"/>
  <c r="C37" i="19" s="1"/>
  <c r="H28" i="19"/>
  <c r="H29" i="19"/>
  <c r="O32" i="18"/>
  <c r="O34" i="18" s="1"/>
  <c r="C37" i="18" s="1"/>
  <c r="L9" i="18"/>
  <c r="H17" i="18"/>
  <c r="P32" i="18"/>
  <c r="P34" i="18" s="1"/>
  <c r="D37" i="18" s="1"/>
  <c r="L30" i="18"/>
  <c r="H29" i="18"/>
  <c r="H31" i="18"/>
  <c r="C33" i="18" s="1"/>
  <c r="H15" i="18"/>
  <c r="H16" i="18"/>
  <c r="L7" i="18"/>
  <c r="Q32" i="18"/>
  <c r="Q34" i="18" s="1"/>
  <c r="E37" i="18" s="1"/>
  <c r="L22" i="16"/>
  <c r="P32" i="16"/>
  <c r="P34" i="16" s="1"/>
  <c r="D37" i="16" s="1"/>
  <c r="H30" i="16"/>
  <c r="H31" i="16"/>
  <c r="L24" i="16"/>
  <c r="L7" i="16"/>
  <c r="L5" i="16"/>
  <c r="H16" i="15"/>
  <c r="L24" i="15"/>
  <c r="O32" i="15"/>
  <c r="O34" i="15" s="1"/>
  <c r="C37" i="15" s="1"/>
  <c r="H29" i="15"/>
  <c r="H30" i="15"/>
  <c r="L22" i="15"/>
  <c r="L15" i="15"/>
  <c r="P32" i="15"/>
  <c r="P34" i="15" s="1"/>
  <c r="D37" i="15" s="1"/>
  <c r="L9" i="15"/>
  <c r="L7" i="15"/>
  <c r="H14" i="15"/>
  <c r="H17" i="15"/>
  <c r="Q32" i="15"/>
  <c r="Q34" i="15" s="1"/>
  <c r="E37" i="15" s="1"/>
  <c r="H28" i="15"/>
  <c r="H31" i="15"/>
  <c r="L22" i="14"/>
  <c r="O32" i="14"/>
  <c r="O34" i="14" s="1"/>
  <c r="C37" i="14" s="1"/>
  <c r="H9" i="14"/>
  <c r="P32" i="14"/>
  <c r="P34" i="14" s="1"/>
  <c r="D37" i="14" s="1"/>
  <c r="L15" i="14"/>
  <c r="H7" i="14"/>
  <c r="L17" i="14"/>
  <c r="Q32" i="14"/>
  <c r="Q34" i="14" s="1"/>
  <c r="E37" i="14" s="1"/>
  <c r="H24" i="14"/>
  <c r="C33" i="14"/>
  <c r="O32" i="13"/>
  <c r="O34" i="13" s="1"/>
  <c r="C37" i="13" s="1"/>
  <c r="L9" i="13"/>
  <c r="L7" i="13"/>
  <c r="P32" i="13"/>
  <c r="P34" i="13" s="1"/>
  <c r="L22" i="13"/>
  <c r="L15" i="13"/>
  <c r="H30" i="13"/>
  <c r="H31" i="13"/>
  <c r="H29" i="13"/>
  <c r="Q32" i="13"/>
  <c r="Q34" i="13" s="1"/>
  <c r="H14" i="13"/>
  <c r="H17" i="13"/>
  <c r="O32" i="9"/>
  <c r="O34" i="9" s="1"/>
  <c r="C37" i="9" s="1"/>
  <c r="P32" i="9"/>
  <c r="P34" i="9" s="1"/>
  <c r="D37" i="9" s="1"/>
  <c r="H24" i="9"/>
  <c r="H22" i="9"/>
  <c r="L28" i="9"/>
  <c r="L30" i="9"/>
  <c r="L17" i="9"/>
  <c r="Q32" i="9"/>
  <c r="Q34" i="9" s="1"/>
  <c r="E37" i="9" s="1"/>
  <c r="H5" i="9"/>
  <c r="H9" i="9"/>
  <c r="H14" i="8"/>
  <c r="H17" i="8"/>
  <c r="P32" i="8"/>
  <c r="P34" i="8" s="1"/>
  <c r="D37" i="8" s="1"/>
  <c r="L7" i="8"/>
  <c r="L9" i="8"/>
  <c r="Q32" i="8"/>
  <c r="Q34" i="8" s="1"/>
  <c r="E37" i="8" s="1"/>
  <c r="L5" i="8"/>
  <c r="H15" i="8"/>
  <c r="H30" i="8"/>
  <c r="H31" i="8"/>
  <c r="L30" i="12"/>
  <c r="L9" i="12"/>
  <c r="L7" i="12"/>
  <c r="L17" i="12"/>
  <c r="L28" i="12"/>
  <c r="H29" i="12"/>
  <c r="P32" i="12"/>
  <c r="P34" i="12" s="1"/>
  <c r="D37" i="12" s="1"/>
  <c r="L5" i="12"/>
  <c r="H16" i="12"/>
  <c r="H14" i="12"/>
  <c r="L22" i="12"/>
  <c r="L24" i="12"/>
  <c r="Q32" i="12"/>
  <c r="Q34" i="12" s="1"/>
  <c r="E37" i="12" s="1"/>
  <c r="H31" i="12"/>
  <c r="L7" i="7"/>
  <c r="O32" i="7"/>
  <c r="O34" i="7" s="1"/>
  <c r="C37" i="7" s="1"/>
  <c r="H30" i="7"/>
  <c r="P32" i="7"/>
  <c r="P34" i="7" s="1"/>
  <c r="D37" i="7" s="1"/>
  <c r="H31" i="7"/>
  <c r="L28" i="7"/>
  <c r="H29" i="7"/>
  <c r="L22" i="7"/>
  <c r="Q32" i="7"/>
  <c r="Q34" i="7" s="1"/>
  <c r="E37" i="7" s="1"/>
  <c r="L17" i="7"/>
  <c r="H14" i="7"/>
  <c r="C19" i="7" s="1"/>
  <c r="L9" i="7"/>
  <c r="L5" i="7"/>
  <c r="H16" i="6"/>
  <c r="L17" i="6"/>
  <c r="P32" i="6"/>
  <c r="P34" i="6" s="1"/>
  <c r="D37" i="6" s="1"/>
  <c r="L28" i="6"/>
  <c r="H29" i="6"/>
  <c r="C33" i="6" s="1"/>
  <c r="L22" i="6"/>
  <c r="Q32" i="6"/>
  <c r="Q34" i="6" s="1"/>
  <c r="E37" i="6" s="1"/>
  <c r="L24" i="6"/>
  <c r="H14" i="6"/>
  <c r="C19" i="6" s="1"/>
  <c r="L5" i="6"/>
  <c r="L9" i="6"/>
  <c r="O32" i="5"/>
  <c r="O34" i="5" s="1"/>
  <c r="C37" i="5" s="1"/>
  <c r="H14" i="5"/>
  <c r="H17" i="5"/>
  <c r="L6" i="5"/>
  <c r="L15" i="5"/>
  <c r="P32" i="5"/>
  <c r="P34" i="5" s="1"/>
  <c r="D37" i="5" s="1"/>
  <c r="H28" i="5"/>
  <c r="H29" i="5"/>
  <c r="C12" i="5"/>
  <c r="L10" i="5"/>
  <c r="H16" i="5"/>
  <c r="L21" i="5"/>
  <c r="Q32" i="5"/>
  <c r="Q34" i="5" s="1"/>
  <c r="E37" i="5" s="1"/>
  <c r="H31" i="5"/>
  <c r="H7" i="4"/>
  <c r="O32" i="4"/>
  <c r="O34" i="4" s="1"/>
  <c r="C37" i="4" s="1"/>
  <c r="L24" i="4"/>
  <c r="C22" i="4"/>
  <c r="L22" i="4" s="1"/>
  <c r="P32" i="4"/>
  <c r="P34" i="4" s="1"/>
  <c r="D37" i="4" s="1"/>
  <c r="L17" i="4"/>
  <c r="L30" i="4"/>
  <c r="L15" i="4"/>
  <c r="Q32" i="4"/>
  <c r="Q34" i="4" s="1"/>
  <c r="E37" i="4" s="1"/>
  <c r="L28" i="4"/>
  <c r="L10" i="3"/>
  <c r="O32" i="3"/>
  <c r="O34" i="3" s="1"/>
  <c r="C37" i="3" s="1"/>
  <c r="H14" i="3"/>
  <c r="G37" i="3" s="1"/>
  <c r="D8" i="20" s="1"/>
  <c r="L6" i="3"/>
  <c r="P32" i="3"/>
  <c r="P34" i="3" s="1"/>
  <c r="D37" i="3" s="1"/>
  <c r="L15" i="3"/>
  <c r="Q32" i="3"/>
  <c r="Q34" i="3" s="1"/>
  <c r="E37" i="3" s="1"/>
  <c r="H28" i="3"/>
  <c r="H29" i="3"/>
  <c r="L21" i="3"/>
  <c r="H16" i="3"/>
  <c r="C19" i="3" s="1"/>
  <c r="L8" i="3"/>
  <c r="C12" i="3"/>
  <c r="L22" i="19"/>
  <c r="L24" i="19"/>
  <c r="H6" i="19"/>
  <c r="H8" i="19"/>
  <c r="H10" i="19"/>
  <c r="H21" i="19"/>
  <c r="H23" i="19"/>
  <c r="L22" i="18"/>
  <c r="L24" i="18"/>
  <c r="H6" i="18"/>
  <c r="H8" i="18"/>
  <c r="H10" i="18"/>
  <c r="H21" i="18"/>
  <c r="H23" i="18"/>
  <c r="L9" i="16"/>
  <c r="H6" i="16"/>
  <c r="C12" i="16" s="1"/>
  <c r="H8" i="16"/>
  <c r="H10" i="16"/>
  <c r="H21" i="16"/>
  <c r="H23" i="16"/>
  <c r="H6" i="15"/>
  <c r="H8" i="15"/>
  <c r="H10" i="15"/>
  <c r="H21" i="15"/>
  <c r="H23" i="15"/>
  <c r="H14" i="14"/>
  <c r="C19" i="14" s="1"/>
  <c r="H6" i="14"/>
  <c r="H8" i="14"/>
  <c r="H10" i="14"/>
  <c r="L16" i="14"/>
  <c r="H21" i="14"/>
  <c r="H23" i="14"/>
  <c r="L29" i="14"/>
  <c r="L31" i="14"/>
  <c r="L24" i="13"/>
  <c r="H6" i="13"/>
  <c r="H8" i="13"/>
  <c r="H10" i="13"/>
  <c r="H21" i="13"/>
  <c r="H23" i="13"/>
  <c r="H6" i="12"/>
  <c r="H8" i="12"/>
  <c r="H10" i="12"/>
  <c r="H21" i="12"/>
  <c r="H23" i="12"/>
  <c r="H16" i="9"/>
  <c r="C19" i="9" s="1"/>
  <c r="H29" i="9"/>
  <c r="C33" i="9" s="1"/>
  <c r="H6" i="9"/>
  <c r="H8" i="9"/>
  <c r="H10" i="9"/>
  <c r="L14" i="9"/>
  <c r="H21" i="9"/>
  <c r="H23" i="9"/>
  <c r="L31" i="9"/>
  <c r="L22" i="8"/>
  <c r="L24" i="8"/>
  <c r="H6" i="8"/>
  <c r="H8" i="8"/>
  <c r="H10" i="8"/>
  <c r="H21" i="8"/>
  <c r="C26" i="8" s="1"/>
  <c r="H23" i="8"/>
  <c r="H6" i="7"/>
  <c r="H8" i="7"/>
  <c r="H10" i="7"/>
  <c r="H21" i="7"/>
  <c r="H23" i="7"/>
  <c r="H6" i="6"/>
  <c r="H8" i="6"/>
  <c r="H10" i="6"/>
  <c r="H21" i="6"/>
  <c r="H23" i="6"/>
  <c r="C26" i="5"/>
  <c r="L5" i="5"/>
  <c r="L7" i="5"/>
  <c r="L9" i="5"/>
  <c r="L22" i="5"/>
  <c r="L24" i="5"/>
  <c r="C19" i="4"/>
  <c r="C33" i="4"/>
  <c r="H6" i="4"/>
  <c r="H8" i="4"/>
  <c r="H10" i="4"/>
  <c r="L14" i="4"/>
  <c r="L16" i="4"/>
  <c r="H21" i="4"/>
  <c r="H23" i="4"/>
  <c r="L29" i="4"/>
  <c r="L31" i="4"/>
  <c r="C26" i="3"/>
  <c r="L5" i="3"/>
  <c r="L7" i="3"/>
  <c r="L9" i="3"/>
  <c r="L22" i="3"/>
  <c r="L24" i="3"/>
  <c r="C26" i="14" l="1"/>
  <c r="C26" i="16"/>
  <c r="C19" i="12"/>
  <c r="C33" i="7"/>
  <c r="C19" i="15"/>
  <c r="C19" i="19"/>
  <c r="C26" i="18"/>
  <c r="C19" i="5"/>
  <c r="C19" i="18"/>
  <c r="C12" i="19"/>
  <c r="C26" i="19"/>
  <c r="C33" i="19"/>
  <c r="G37" i="19"/>
  <c r="C12" i="18"/>
  <c r="G37" i="18"/>
  <c r="C33" i="16"/>
  <c r="C12" i="15"/>
  <c r="C26" i="15"/>
  <c r="C33" i="15"/>
  <c r="G37" i="15"/>
  <c r="C12" i="14"/>
  <c r="G37" i="14"/>
  <c r="C19" i="13"/>
  <c r="C33" i="13"/>
  <c r="C26" i="9"/>
  <c r="G37" i="9"/>
  <c r="C33" i="8"/>
  <c r="C19" i="8"/>
  <c r="C12" i="8"/>
  <c r="G37" i="8"/>
  <c r="C33" i="12"/>
  <c r="G37" i="12"/>
  <c r="G37" i="7"/>
  <c r="G37" i="6"/>
  <c r="G37" i="5"/>
  <c r="C33" i="5"/>
  <c r="H22" i="4"/>
  <c r="C12" i="4"/>
  <c r="C33" i="3"/>
  <c r="C42" i="3"/>
  <c r="C26" i="13"/>
  <c r="C12" i="13"/>
  <c r="C12" i="12"/>
  <c r="C26" i="12"/>
  <c r="C12" i="9"/>
  <c r="C12" i="7"/>
  <c r="C26" i="7"/>
  <c r="C12" i="6"/>
  <c r="C26" i="6"/>
  <c r="C42" i="7" l="1"/>
  <c r="D15" i="20"/>
  <c r="C42" i="6"/>
  <c r="D12" i="20"/>
  <c r="C42" i="8"/>
  <c r="D17" i="20"/>
  <c r="C42" i="9"/>
  <c r="D9" i="20"/>
  <c r="C42" i="18"/>
  <c r="D16" i="20"/>
  <c r="C42" i="12"/>
  <c r="D18" i="20"/>
  <c r="C42" i="19"/>
  <c r="D10" i="20"/>
  <c r="C42" i="14"/>
  <c r="D20" i="20"/>
  <c r="C42" i="5"/>
  <c r="D13" i="20"/>
  <c r="C42" i="13"/>
  <c r="D11" i="20"/>
  <c r="C42" i="15"/>
  <c r="D14" i="20"/>
  <c r="G37" i="4"/>
  <c r="D6" i="20" s="1"/>
  <c r="C26" i="4"/>
  <c r="C42" i="4" l="1"/>
  <c r="F44" i="2"/>
  <c r="D44" i="2"/>
  <c r="C44" i="2"/>
  <c r="F43" i="2"/>
  <c r="D43" i="2"/>
  <c r="C43" i="2"/>
  <c r="F42" i="2"/>
  <c r="D42" i="2"/>
  <c r="Q31" i="2"/>
  <c r="P31" i="2"/>
  <c r="O31" i="2"/>
  <c r="C31" i="2"/>
  <c r="H31" i="2" s="1"/>
  <c r="Q30" i="2"/>
  <c r="P30" i="2"/>
  <c r="O30" i="2"/>
  <c r="H30" i="2"/>
  <c r="Q29" i="2"/>
  <c r="P29" i="2"/>
  <c r="O29" i="2"/>
  <c r="C29" i="2"/>
  <c r="H29" i="2" s="1"/>
  <c r="Q28" i="2"/>
  <c r="P28" i="2"/>
  <c r="O28" i="2"/>
  <c r="H28" i="2"/>
  <c r="Q24" i="2"/>
  <c r="P24" i="2"/>
  <c r="O24" i="2"/>
  <c r="C24" i="2"/>
  <c r="L24" i="2" s="1"/>
  <c r="Q23" i="2"/>
  <c r="P23" i="2"/>
  <c r="O23" i="2"/>
  <c r="C23" i="2"/>
  <c r="L23" i="2" s="1"/>
  <c r="Q22" i="2"/>
  <c r="P22" i="2"/>
  <c r="O22" i="2"/>
  <c r="C22" i="2"/>
  <c r="H22" i="2" s="1"/>
  <c r="Q21" i="2"/>
  <c r="P21" i="2"/>
  <c r="O21" i="2"/>
  <c r="C21" i="2"/>
  <c r="L21" i="2" s="1"/>
  <c r="Q17" i="2"/>
  <c r="P17" i="2"/>
  <c r="O17" i="2"/>
  <c r="C17" i="2"/>
  <c r="H17" i="2" s="1"/>
  <c r="Q16" i="2"/>
  <c r="P16" i="2"/>
  <c r="O16" i="2"/>
  <c r="C16" i="2"/>
  <c r="L16" i="2" s="1"/>
  <c r="Q15" i="2"/>
  <c r="P15" i="2"/>
  <c r="O15" i="2"/>
  <c r="C15" i="2"/>
  <c r="H15" i="2" s="1"/>
  <c r="Q14" i="2"/>
  <c r="P14" i="2"/>
  <c r="O14" i="2"/>
  <c r="C14" i="2"/>
  <c r="L14" i="2" s="1"/>
  <c r="Q10" i="2"/>
  <c r="O10" i="2"/>
  <c r="C10" i="2"/>
  <c r="L10" i="2" s="1"/>
  <c r="Q9" i="2"/>
  <c r="O9" i="2"/>
  <c r="C9" i="2"/>
  <c r="L9" i="2" s="1"/>
  <c r="Q8" i="2"/>
  <c r="O8" i="2"/>
  <c r="C8" i="2"/>
  <c r="L8" i="2" s="1"/>
  <c r="Q7" i="2"/>
  <c r="O7" i="2"/>
  <c r="C7" i="2"/>
  <c r="L7" i="2" s="1"/>
  <c r="Q6" i="2"/>
  <c r="P32" i="2"/>
  <c r="P34" i="2" s="1"/>
  <c r="D37" i="2" s="1"/>
  <c r="O6" i="2"/>
  <c r="C6" i="2"/>
  <c r="L6" i="2" s="1"/>
  <c r="Q5" i="2"/>
  <c r="O5" i="2"/>
  <c r="C5" i="2"/>
  <c r="H5" i="2" s="1"/>
  <c r="Q29" i="1"/>
  <c r="Q30" i="1"/>
  <c r="Q31" i="1"/>
  <c r="Q22" i="1"/>
  <c r="Q23" i="1"/>
  <c r="Q24" i="1"/>
  <c r="Q15" i="1"/>
  <c r="Q16" i="1"/>
  <c r="Q17" i="1"/>
  <c r="Q6" i="1"/>
  <c r="Q7" i="1"/>
  <c r="Q8" i="1"/>
  <c r="Q9" i="1"/>
  <c r="Q10" i="1"/>
  <c r="P29" i="1"/>
  <c r="P30" i="1"/>
  <c r="P31" i="1"/>
  <c r="P28" i="1"/>
  <c r="P22" i="1"/>
  <c r="P23" i="1"/>
  <c r="P24" i="1"/>
  <c r="P21" i="1"/>
  <c r="P15" i="1"/>
  <c r="P16" i="1"/>
  <c r="P17" i="1"/>
  <c r="P14" i="1"/>
  <c r="O32" i="2" l="1"/>
  <c r="O34" i="2" s="1"/>
  <c r="C37" i="2" s="1"/>
  <c r="L15" i="2"/>
  <c r="L22" i="2"/>
  <c r="H9" i="2"/>
  <c r="L28" i="2"/>
  <c r="L17" i="2"/>
  <c r="L5" i="2"/>
  <c r="L30" i="2"/>
  <c r="C33" i="2"/>
  <c r="H24" i="2"/>
  <c r="Q32" i="2"/>
  <c r="Q34" i="2" s="1"/>
  <c r="E37" i="2" s="1"/>
  <c r="H7" i="2"/>
  <c r="H14" i="2"/>
  <c r="H16" i="2"/>
  <c r="H6" i="2"/>
  <c r="G37" i="2" s="1"/>
  <c r="D21" i="20" s="1"/>
  <c r="H8" i="2"/>
  <c r="H10" i="2"/>
  <c r="H21" i="2"/>
  <c r="H23" i="2"/>
  <c r="L29" i="2"/>
  <c r="L31" i="2"/>
  <c r="Q28" i="1"/>
  <c r="Q21" i="1"/>
  <c r="Q14" i="1"/>
  <c r="O5" i="1"/>
  <c r="Q5" i="1"/>
  <c r="C23" i="1"/>
  <c r="C5" i="1"/>
  <c r="L5" i="1" s="1"/>
  <c r="C8" i="1"/>
  <c r="O8" i="1"/>
  <c r="C31" i="1"/>
  <c r="C30" i="1"/>
  <c r="C29" i="1"/>
  <c r="C28" i="1"/>
  <c r="C24" i="1"/>
  <c r="C22" i="1"/>
  <c r="C21" i="1"/>
  <c r="C17" i="1"/>
  <c r="C16" i="1"/>
  <c r="C15" i="1"/>
  <c r="C14" i="1"/>
  <c r="C6" i="1"/>
  <c r="L6" i="1" s="1"/>
  <c r="C7" i="1"/>
  <c r="L7" i="1" s="1"/>
  <c r="C9" i="1"/>
  <c r="L9" i="1" s="1"/>
  <c r="C10" i="1"/>
  <c r="L10" i="1" s="1"/>
  <c r="L8" i="1"/>
  <c r="C19" i="2" l="1"/>
  <c r="C26" i="2"/>
  <c r="C12" i="2"/>
  <c r="C42" i="2"/>
  <c r="H5" i="1"/>
  <c r="H8" i="1"/>
  <c r="E43" i="17" l="1"/>
  <c r="D43" i="17"/>
  <c r="C43" i="17"/>
  <c r="E42" i="17"/>
  <c r="D42" i="17"/>
  <c r="C42" i="17"/>
  <c r="E41" i="17"/>
  <c r="D41" i="17"/>
  <c r="O30" i="17"/>
  <c r="N30" i="17"/>
  <c r="H30" i="17"/>
  <c r="C30" i="17"/>
  <c r="G30" i="17" s="1"/>
  <c r="O29" i="17"/>
  <c r="N29" i="17"/>
  <c r="H29" i="17"/>
  <c r="C29" i="17"/>
  <c r="G29" i="17" s="1"/>
  <c r="O28" i="17"/>
  <c r="N28" i="17"/>
  <c r="H28" i="17"/>
  <c r="C28" i="17"/>
  <c r="K28" i="17" s="1"/>
  <c r="O27" i="17"/>
  <c r="N27" i="17"/>
  <c r="H27" i="17"/>
  <c r="C27" i="17"/>
  <c r="G27" i="17" s="1"/>
  <c r="O23" i="17"/>
  <c r="N23" i="17"/>
  <c r="H23" i="17"/>
  <c r="C23" i="17"/>
  <c r="G23" i="17" s="1"/>
  <c r="O22" i="17"/>
  <c r="N22" i="17"/>
  <c r="H22" i="17"/>
  <c r="C22" i="17"/>
  <c r="G22" i="17" s="1"/>
  <c r="O21" i="17"/>
  <c r="N21" i="17"/>
  <c r="H21" i="17"/>
  <c r="C21" i="17"/>
  <c r="K21" i="17" s="1"/>
  <c r="O20" i="17"/>
  <c r="N20" i="17"/>
  <c r="H20" i="17"/>
  <c r="C20" i="17"/>
  <c r="G20" i="17" s="1"/>
  <c r="O16" i="17"/>
  <c r="N16" i="17"/>
  <c r="H16" i="17"/>
  <c r="C16" i="17"/>
  <c r="G16" i="17" s="1"/>
  <c r="O15" i="17"/>
  <c r="N15" i="17"/>
  <c r="H15" i="17"/>
  <c r="C15" i="17"/>
  <c r="K15" i="17" s="1"/>
  <c r="O14" i="17"/>
  <c r="N14" i="17"/>
  <c r="H14" i="17"/>
  <c r="C14" i="17"/>
  <c r="G14" i="17" s="1"/>
  <c r="O13" i="17"/>
  <c r="N13" i="17"/>
  <c r="H13" i="17"/>
  <c r="C13" i="17"/>
  <c r="K13" i="17" s="1"/>
  <c r="O9" i="17"/>
  <c r="N9" i="17"/>
  <c r="H9" i="17"/>
  <c r="C9" i="17"/>
  <c r="G9" i="17" s="1"/>
  <c r="O8" i="17"/>
  <c r="N8" i="17"/>
  <c r="H8" i="17"/>
  <c r="C8" i="17"/>
  <c r="G8" i="17" s="1"/>
  <c r="O7" i="17"/>
  <c r="N7" i="17"/>
  <c r="H7" i="17"/>
  <c r="C7" i="17"/>
  <c r="G7" i="17" s="1"/>
  <c r="O6" i="17"/>
  <c r="N6" i="17"/>
  <c r="H6" i="17"/>
  <c r="C6" i="17"/>
  <c r="K6" i="17" s="1"/>
  <c r="O5" i="17"/>
  <c r="O31" i="17" s="1"/>
  <c r="O33" i="17" s="1"/>
  <c r="D36" i="17" s="1"/>
  <c r="N5" i="17"/>
  <c r="H5" i="17"/>
  <c r="C5" i="17"/>
  <c r="G5" i="17" s="1"/>
  <c r="E43" i="11"/>
  <c r="D43" i="11"/>
  <c r="C43" i="11"/>
  <c r="E42" i="11"/>
  <c r="D42" i="11"/>
  <c r="C42" i="11"/>
  <c r="E41" i="11"/>
  <c r="D41" i="11"/>
  <c r="O30" i="11"/>
  <c r="N30" i="11"/>
  <c r="H30" i="11"/>
  <c r="C30" i="11"/>
  <c r="G30" i="11" s="1"/>
  <c r="O29" i="11"/>
  <c r="N29" i="11"/>
  <c r="H29" i="11"/>
  <c r="C29" i="11"/>
  <c r="G29" i="11" s="1"/>
  <c r="O28" i="11"/>
  <c r="N28" i="11"/>
  <c r="H28" i="11"/>
  <c r="C28" i="11"/>
  <c r="K28" i="11" s="1"/>
  <c r="O27" i="11"/>
  <c r="N27" i="11"/>
  <c r="H27" i="11"/>
  <c r="C27" i="11"/>
  <c r="G27" i="11" s="1"/>
  <c r="O23" i="11"/>
  <c r="N23" i="11"/>
  <c r="H23" i="11"/>
  <c r="C23" i="11"/>
  <c r="K23" i="11" s="1"/>
  <c r="O22" i="11"/>
  <c r="N22" i="11"/>
  <c r="H22" i="11"/>
  <c r="C22" i="11"/>
  <c r="G22" i="11" s="1"/>
  <c r="O21" i="11"/>
  <c r="N21" i="11"/>
  <c r="H21" i="11"/>
  <c r="C21" i="11"/>
  <c r="G21" i="11" s="1"/>
  <c r="O20" i="11"/>
  <c r="N20" i="11"/>
  <c r="H20" i="11"/>
  <c r="C20" i="11"/>
  <c r="G20" i="11" s="1"/>
  <c r="O16" i="11"/>
  <c r="N16" i="11"/>
  <c r="H16" i="11"/>
  <c r="C16" i="11"/>
  <c r="G16" i="11" s="1"/>
  <c r="O15" i="11"/>
  <c r="N15" i="11"/>
  <c r="H15" i="11"/>
  <c r="C15" i="11"/>
  <c r="K15" i="11" s="1"/>
  <c r="O14" i="11"/>
  <c r="N14" i="11"/>
  <c r="H14" i="11"/>
  <c r="C14" i="11"/>
  <c r="G14" i="11" s="1"/>
  <c r="O13" i="11"/>
  <c r="N13" i="11"/>
  <c r="H13" i="11"/>
  <c r="C13" i="11"/>
  <c r="K13" i="11" s="1"/>
  <c r="O9" i="11"/>
  <c r="N9" i="11"/>
  <c r="H9" i="11"/>
  <c r="C9" i="11"/>
  <c r="G9" i="11" s="1"/>
  <c r="O8" i="11"/>
  <c r="N8" i="11"/>
  <c r="H8" i="11"/>
  <c r="C8" i="11"/>
  <c r="K8" i="11" s="1"/>
  <c r="O7" i="11"/>
  <c r="N7" i="11"/>
  <c r="H7" i="11"/>
  <c r="C7" i="11"/>
  <c r="G7" i="11" s="1"/>
  <c r="O6" i="11"/>
  <c r="N6" i="11"/>
  <c r="H6" i="11"/>
  <c r="C6" i="11"/>
  <c r="G6" i="11" s="1"/>
  <c r="O5" i="11"/>
  <c r="N5" i="11"/>
  <c r="H5" i="11"/>
  <c r="C5" i="11"/>
  <c r="G5" i="11" s="1"/>
  <c r="E43" i="10"/>
  <c r="D43" i="10"/>
  <c r="C43" i="10"/>
  <c r="E42" i="10"/>
  <c r="D42" i="10"/>
  <c r="C42" i="10"/>
  <c r="E41" i="10"/>
  <c r="D41" i="10"/>
  <c r="O30" i="10"/>
  <c r="N30" i="10"/>
  <c r="H30" i="10"/>
  <c r="C30" i="10"/>
  <c r="G30" i="10" s="1"/>
  <c r="O29" i="10"/>
  <c r="N29" i="10"/>
  <c r="K29" i="10"/>
  <c r="H29" i="10"/>
  <c r="C29" i="10"/>
  <c r="G29" i="10" s="1"/>
  <c r="O28" i="10"/>
  <c r="N28" i="10"/>
  <c r="H28" i="10"/>
  <c r="C28" i="10"/>
  <c r="K28" i="10" s="1"/>
  <c r="O27" i="10"/>
  <c r="N27" i="10"/>
  <c r="H27" i="10"/>
  <c r="C27" i="10"/>
  <c r="G27" i="10" s="1"/>
  <c r="O23" i="10"/>
  <c r="N23" i="10"/>
  <c r="H23" i="10"/>
  <c r="C23" i="10"/>
  <c r="K23" i="10" s="1"/>
  <c r="O22" i="10"/>
  <c r="N22" i="10"/>
  <c r="H22" i="10"/>
  <c r="C22" i="10"/>
  <c r="G22" i="10" s="1"/>
  <c r="O21" i="10"/>
  <c r="N21" i="10"/>
  <c r="H21" i="10"/>
  <c r="C21" i="10"/>
  <c r="K21" i="10" s="1"/>
  <c r="O20" i="10"/>
  <c r="N20" i="10"/>
  <c r="H20" i="10"/>
  <c r="C20" i="10"/>
  <c r="G20" i="10" s="1"/>
  <c r="O16" i="10"/>
  <c r="N16" i="10"/>
  <c r="H16" i="10"/>
  <c r="C16" i="10"/>
  <c r="G16" i="10" s="1"/>
  <c r="O15" i="10"/>
  <c r="N15" i="10"/>
  <c r="H15" i="10"/>
  <c r="C15" i="10"/>
  <c r="K15" i="10" s="1"/>
  <c r="O14" i="10"/>
  <c r="N14" i="10"/>
  <c r="H14" i="10"/>
  <c r="C14" i="10"/>
  <c r="G14" i="10" s="1"/>
  <c r="O13" i="10"/>
  <c r="N13" i="10"/>
  <c r="H13" i="10"/>
  <c r="C13" i="10"/>
  <c r="K13" i="10" s="1"/>
  <c r="O9" i="10"/>
  <c r="N9" i="10"/>
  <c r="H9" i="10"/>
  <c r="C9" i="10"/>
  <c r="G9" i="10" s="1"/>
  <c r="O8" i="10"/>
  <c r="N8" i="10"/>
  <c r="H8" i="10"/>
  <c r="C8" i="10"/>
  <c r="G8" i="10" s="1"/>
  <c r="O7" i="10"/>
  <c r="N7" i="10"/>
  <c r="H7" i="10"/>
  <c r="C7" i="10"/>
  <c r="G7" i="10" s="1"/>
  <c r="O6" i="10"/>
  <c r="N6" i="10"/>
  <c r="H6" i="10"/>
  <c r="C6" i="10"/>
  <c r="K6" i="10" s="1"/>
  <c r="O5" i="10"/>
  <c r="N5" i="10"/>
  <c r="H5" i="10"/>
  <c r="C5" i="10"/>
  <c r="G5" i="10" s="1"/>
  <c r="K14" i="11" l="1"/>
  <c r="G23" i="10"/>
  <c r="O31" i="10"/>
  <c r="O33" i="10" s="1"/>
  <c r="D36" i="10" s="1"/>
  <c r="K16" i="17"/>
  <c r="G15" i="11"/>
  <c r="O31" i="11"/>
  <c r="O33" i="11" s="1"/>
  <c r="D36" i="11" s="1"/>
  <c r="K29" i="17"/>
  <c r="G28" i="17"/>
  <c r="K27" i="17"/>
  <c r="G15" i="17"/>
  <c r="K14" i="17"/>
  <c r="G13" i="17"/>
  <c r="K23" i="17"/>
  <c r="G21" i="17"/>
  <c r="C25" i="17" s="1"/>
  <c r="N31" i="17"/>
  <c r="N33" i="17" s="1"/>
  <c r="C36" i="17" s="1"/>
  <c r="K8" i="17"/>
  <c r="G6" i="17"/>
  <c r="G28" i="10"/>
  <c r="K27" i="10"/>
  <c r="K16" i="10"/>
  <c r="G15" i="10"/>
  <c r="K14" i="10"/>
  <c r="G13" i="10"/>
  <c r="G21" i="10"/>
  <c r="C25" i="10" s="1"/>
  <c r="N31" i="10"/>
  <c r="N33" i="10" s="1"/>
  <c r="C36" i="10" s="1"/>
  <c r="K8" i="10"/>
  <c r="G6" i="10"/>
  <c r="K29" i="11"/>
  <c r="G28" i="11"/>
  <c r="C32" i="11"/>
  <c r="K27" i="11"/>
  <c r="G23" i="11"/>
  <c r="C25" i="11" s="1"/>
  <c r="K21" i="11"/>
  <c r="N31" i="11"/>
  <c r="N33" i="11" s="1"/>
  <c r="C36" i="11" s="1"/>
  <c r="K16" i="11"/>
  <c r="G13" i="11"/>
  <c r="C18" i="11" s="1"/>
  <c r="G8" i="11"/>
  <c r="K6" i="11"/>
  <c r="C11" i="17"/>
  <c r="C32" i="17"/>
  <c r="K30" i="17"/>
  <c r="K5" i="17"/>
  <c r="K7" i="17"/>
  <c r="K9" i="17"/>
  <c r="K20" i="17"/>
  <c r="K22" i="17"/>
  <c r="K30" i="11"/>
  <c r="K5" i="11"/>
  <c r="K7" i="11"/>
  <c r="K9" i="11"/>
  <c r="K20" i="11"/>
  <c r="K22" i="11"/>
  <c r="C32" i="10"/>
  <c r="C18" i="10"/>
  <c r="K30" i="10"/>
  <c r="K5" i="10"/>
  <c r="K7" i="10"/>
  <c r="K9" i="10"/>
  <c r="K20" i="10"/>
  <c r="K22" i="10"/>
  <c r="C18" i="17" l="1"/>
  <c r="F36" i="10"/>
  <c r="C41" i="10" s="1"/>
  <c r="C11" i="10"/>
  <c r="F36" i="17"/>
  <c r="C41" i="17" s="1"/>
  <c r="F36" i="11"/>
  <c r="C41" i="11" s="1"/>
  <c r="C11" i="11"/>
  <c r="O23" i="1" l="1"/>
  <c r="H23" i="1"/>
  <c r="L23" i="1" l="1"/>
  <c r="O29" i="1" l="1"/>
  <c r="L29" i="1" l="1"/>
  <c r="H29" i="1"/>
  <c r="F44" i="1"/>
  <c r="D44" i="1"/>
  <c r="C44" i="1"/>
  <c r="F43" i="1"/>
  <c r="D43" i="1"/>
  <c r="C43" i="1"/>
  <c r="F42" i="1"/>
  <c r="D42" i="1"/>
  <c r="O17" i="1" l="1"/>
  <c r="H17" i="1" l="1"/>
  <c r="L17" i="1"/>
  <c r="O31" i="1"/>
  <c r="L31" i="1"/>
  <c r="O30" i="1"/>
  <c r="L30" i="1"/>
  <c r="O28" i="1"/>
  <c r="L28" i="1"/>
  <c r="O24" i="1"/>
  <c r="O22" i="1"/>
  <c r="O21" i="1"/>
  <c r="O16" i="1"/>
  <c r="O15" i="1"/>
  <c r="O14" i="1"/>
  <c r="O10" i="1"/>
  <c r="O9" i="1"/>
  <c r="O7" i="1"/>
  <c r="O6" i="1"/>
  <c r="H14" i="1" l="1"/>
  <c r="L14" i="1"/>
  <c r="H22" i="1"/>
  <c r="L22" i="1"/>
  <c r="H10" i="1"/>
  <c r="H21" i="1"/>
  <c r="L21" i="1"/>
  <c r="H6" i="1"/>
  <c r="H9" i="1"/>
  <c r="H16" i="1"/>
  <c r="L16" i="1"/>
  <c r="H7" i="1"/>
  <c r="Q32" i="1" s="1"/>
  <c r="Q34" i="1" s="1"/>
  <c r="E37" i="1" s="1"/>
  <c r="H15" i="1"/>
  <c r="L15" i="1"/>
  <c r="H24" i="1"/>
  <c r="L24" i="1"/>
  <c r="H28" i="1"/>
  <c r="H30" i="1"/>
  <c r="H31" i="1"/>
  <c r="O32" i="1"/>
  <c r="O34" i="1" s="1"/>
  <c r="C37" i="1" s="1"/>
  <c r="P32" i="1"/>
  <c r="P34" i="1" s="1"/>
  <c r="D37" i="1" s="1"/>
  <c r="G37" i="1" l="1"/>
  <c r="C33" i="1"/>
  <c r="C19" i="1"/>
  <c r="C12" i="1"/>
  <c r="C26" i="1"/>
  <c r="C42" i="1" l="1"/>
  <c r="D19" i="20"/>
  <c r="Q15" i="16"/>
  <c r="Q17" i="16"/>
  <c r="C15" i="16"/>
  <c r="H15" i="16" s="1"/>
  <c r="C16" i="16"/>
  <c r="L16" i="16" s="1"/>
  <c r="Q16" i="16"/>
  <c r="C17" i="16"/>
  <c r="L17" i="16" s="1"/>
  <c r="C14" i="16"/>
  <c r="H14" i="16" s="1"/>
  <c r="Q14" i="16"/>
  <c r="Q32" i="16" s="1"/>
  <c r="Q34" i="16" s="1"/>
  <c r="E37" i="16" s="1"/>
  <c r="H16" i="16" l="1"/>
  <c r="H17" i="16"/>
  <c r="L14" i="16"/>
  <c r="L15" i="16"/>
  <c r="G37" i="16" l="1"/>
  <c r="C19" i="16"/>
  <c r="C42" i="16" l="1"/>
  <c r="D7" i="20"/>
</calcChain>
</file>

<file path=xl/sharedStrings.xml><?xml version="1.0" encoding="utf-8"?>
<sst xmlns="http://schemas.openxmlformats.org/spreadsheetml/2006/main" count="1376" uniqueCount="88">
  <si>
    <t>MATIERES</t>
  </si>
  <si>
    <t>TRIM 1</t>
  </si>
  <si>
    <t>SEQ 1</t>
  </si>
  <si>
    <t>SEQ 2</t>
  </si>
  <si>
    <t>Coef</t>
  </si>
  <si>
    <t>Moy × Coef</t>
  </si>
  <si>
    <t xml:space="preserve">Moy Gle Classe </t>
  </si>
  <si>
    <t>Rang</t>
  </si>
  <si>
    <t>Appréciations</t>
  </si>
  <si>
    <t>Informatique</t>
  </si>
  <si>
    <t>Mathématiques</t>
  </si>
  <si>
    <t>SVTEEHB</t>
  </si>
  <si>
    <t xml:space="preserve">      Moyenne du Groupe :                                       </t>
  </si>
  <si>
    <t xml:space="preserve"> Rang de l’élève :</t>
  </si>
  <si>
    <t>Géographie</t>
  </si>
  <si>
    <t>Histoire</t>
  </si>
  <si>
    <t xml:space="preserve">       Moyenne du Groupe :                                       </t>
  </si>
  <si>
    <t>Anglais</t>
  </si>
  <si>
    <t>Travail Manuel</t>
  </si>
  <si>
    <t>Total Général (GI + GII + GIII+GIV) =</t>
  </si>
  <si>
    <r>
      <t xml:space="preserve">Moy Gle de la Classe :                             </t>
    </r>
    <r>
      <rPr>
        <b/>
        <sz val="12"/>
        <color theme="1"/>
        <rFont val="Times New Roman"/>
        <family val="1"/>
      </rPr>
      <t xml:space="preserve">                     </t>
    </r>
  </si>
  <si>
    <t xml:space="preserve"> Moy du 1er :  </t>
  </si>
  <si>
    <t xml:space="preserve"> Moy du Dernier :</t>
  </si>
  <si>
    <t xml:space="preserve">Moyennes de l’Elève :                                                            </t>
  </si>
  <si>
    <t xml:space="preserve"> Trimestre 1 :                   </t>
  </si>
  <si>
    <t>/20</t>
  </si>
  <si>
    <t xml:space="preserve">          Rang de l’élève :                           </t>
  </si>
  <si>
    <r>
      <t>v</t>
    </r>
    <r>
      <rPr>
        <sz val="12"/>
        <color theme="1"/>
        <rFont val="Times New Roman"/>
        <family val="1"/>
      </rPr>
      <t xml:space="preserve">  </t>
    </r>
    <r>
      <rPr>
        <i/>
        <sz val="12"/>
        <color theme="1"/>
        <rFont val="Times New Roman"/>
        <family val="1"/>
      </rPr>
      <t>La moyenne Trimestrielle n’est pas égale à la moyenne arithmétique des séquences</t>
    </r>
  </si>
  <si>
    <r>
      <t xml:space="preserve">DECISIONS ET OBSERVATIONS / </t>
    </r>
    <r>
      <rPr>
        <i/>
        <sz val="12"/>
        <color theme="1"/>
        <rFont val="Times New Roman"/>
        <family val="1"/>
      </rPr>
      <t>Décisions And Observations</t>
    </r>
  </si>
  <si>
    <r>
      <t>DISCIPLINE /</t>
    </r>
    <r>
      <rPr>
        <i/>
        <sz val="12"/>
        <color theme="1"/>
        <rFont val="Times New Roman"/>
        <family val="1"/>
      </rPr>
      <t xml:space="preserve"> Disciplin</t>
    </r>
  </si>
  <si>
    <t>Appréciation du travail de l’élève</t>
  </si>
  <si>
    <r>
      <t xml:space="preserve">TRAVAIL / </t>
    </r>
    <r>
      <rPr>
        <i/>
        <sz val="12"/>
        <color theme="1"/>
        <rFont val="Times New Roman"/>
        <family val="1"/>
      </rPr>
      <t>Academic Work</t>
    </r>
  </si>
  <si>
    <t>Nb d’Heures :</t>
  </si>
  <si>
    <t>Nb de jrnées :</t>
  </si>
  <si>
    <r>
      <t xml:space="preserve">Tableau d’honneur / </t>
    </r>
    <r>
      <rPr>
        <i/>
        <sz val="12"/>
        <color theme="1"/>
        <rFont val="Times New Roman"/>
        <family val="1"/>
      </rPr>
      <t>Honour roll</t>
    </r>
  </si>
  <si>
    <t>Observations et Visa du Principal</t>
  </si>
  <si>
    <r>
      <t>Exclusions /</t>
    </r>
    <r>
      <rPr>
        <i/>
        <sz val="12"/>
        <color theme="1"/>
        <rFont val="Times New Roman"/>
        <family val="1"/>
      </rPr>
      <t xml:space="preserve"> Suspensions</t>
    </r>
  </si>
  <si>
    <r>
      <t xml:space="preserve">Encouragements / </t>
    </r>
    <r>
      <rPr>
        <i/>
        <sz val="12"/>
        <color theme="1"/>
        <rFont val="Times New Roman"/>
        <family val="1"/>
      </rPr>
      <t>Encouragements</t>
    </r>
  </si>
  <si>
    <t>Observations and Signature of Principal</t>
  </si>
  <si>
    <r>
      <t xml:space="preserve">Blâme / </t>
    </r>
    <r>
      <rPr>
        <i/>
        <sz val="12"/>
        <color theme="1"/>
        <rFont val="Times New Roman"/>
        <family val="1"/>
      </rPr>
      <t>Blame</t>
    </r>
  </si>
  <si>
    <t>Observations et Remarques du Professeur Principal</t>
  </si>
  <si>
    <r>
      <t xml:space="preserve">Félicitations / </t>
    </r>
    <r>
      <rPr>
        <i/>
        <sz val="12"/>
        <color theme="1"/>
        <rFont val="Times New Roman"/>
        <family val="1"/>
      </rPr>
      <t>Congratulations</t>
    </r>
  </si>
  <si>
    <r>
      <t xml:space="preserve">Avertissements / </t>
    </r>
    <r>
      <rPr>
        <i/>
        <sz val="12"/>
        <color theme="1"/>
        <rFont val="Times New Roman"/>
        <family val="1"/>
      </rPr>
      <t>Warnings</t>
    </r>
  </si>
  <si>
    <t>Décisions du Conseil de Classe</t>
  </si>
  <si>
    <t>Yaoundé le</t>
  </si>
  <si>
    <t>Observations et Remarques du parent de l’élève</t>
  </si>
  <si>
    <t>Le Principal</t>
  </si>
  <si>
    <t>ECM</t>
  </si>
  <si>
    <t>EPS</t>
  </si>
  <si>
    <t>ESF</t>
  </si>
  <si>
    <t>Etude de Texte</t>
  </si>
  <si>
    <t>Expression Ecrite</t>
  </si>
  <si>
    <t>LCN</t>
  </si>
  <si>
    <t>EAC</t>
  </si>
  <si>
    <t>Cor Orthographique/ Dictée</t>
  </si>
  <si>
    <t>Langue Vivante II</t>
  </si>
  <si>
    <t>PCT</t>
  </si>
  <si>
    <t xml:space="preserve">Total du GROUPE IV  : </t>
  </si>
  <si>
    <t xml:space="preserve">Total du GROUPE I   : </t>
  </si>
  <si>
    <t xml:space="preserve">Total du GROUPE II  : </t>
  </si>
  <si>
    <t xml:space="preserve">Total du GROUPE III  : </t>
  </si>
  <si>
    <t>Allemand</t>
  </si>
  <si>
    <t>Espagnol</t>
  </si>
  <si>
    <t>TRIM 2</t>
  </si>
  <si>
    <t>TRIM 3</t>
  </si>
  <si>
    <t>TRIM3</t>
  </si>
  <si>
    <t xml:space="preserve">  Annuel :                   </t>
  </si>
  <si>
    <r>
      <t>v</t>
    </r>
    <r>
      <rPr>
        <sz val="12"/>
        <color theme="1"/>
        <rFont val="Times New Roman"/>
        <family val="1"/>
      </rPr>
      <t xml:space="preserve">  </t>
    </r>
    <r>
      <rPr>
        <i/>
        <sz val="12"/>
        <color theme="1"/>
        <rFont val="Times New Roman"/>
        <family val="1"/>
      </rPr>
      <t>La moyenne Annuelle n’est pas égale à la moyenne arithmétique des trimestres</t>
    </r>
  </si>
  <si>
    <t>Annuel</t>
  </si>
  <si>
    <t xml:space="preserve">KINGUE SAME Marthe florine </t>
  </si>
  <si>
    <t>ONANA Ferdinand Michel</t>
  </si>
  <si>
    <t xml:space="preserve">ELOGO Cyrille </t>
  </si>
  <si>
    <t xml:space="preserve">MOUKO Paul  Junior </t>
  </si>
  <si>
    <t>NGO NGUE AGOUME</t>
  </si>
  <si>
    <t>YEBEL Eleanore</t>
  </si>
  <si>
    <t>KOUAM Stephane</t>
  </si>
  <si>
    <t>MAGATSING FAULTOUE Maeva Sandra</t>
  </si>
  <si>
    <t>NWAHA Antoinette Florinda</t>
  </si>
  <si>
    <t>TCHAGNAM Marie Josee</t>
  </si>
  <si>
    <t>NGO KONDE Mariane</t>
  </si>
  <si>
    <t xml:space="preserve">MENYE Laurent </t>
  </si>
  <si>
    <t>NOUBISSI Lucienne</t>
  </si>
  <si>
    <t>METOUWE MAMBOU Ange Miranda</t>
  </si>
  <si>
    <t xml:space="preserve">AMAN Lucien Ludovic </t>
  </si>
  <si>
    <t>DJIKIA BEP Lorenzo</t>
  </si>
  <si>
    <t>Expression Orale</t>
  </si>
  <si>
    <t>5ème</t>
  </si>
  <si>
    <t>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</si>
</sst>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Wingdings"/>
      <charset val="2"/>
    </font>
    <font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2" fontId="4" fillId="0" borderId="4" xfId="0" applyNumberFormat="1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2" fontId="4" fillId="0" borderId="3" xfId="0" applyNumberFormat="1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3" fillId="2" borderId="3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2" fontId="3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vertical="center" wrapText="1"/>
    </xf>
    <xf numFmtId="2" fontId="3" fillId="2" borderId="0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2" borderId="0" xfId="0" applyFont="1" applyFill="1" applyBorder="1" applyAlignment="1">
      <alignment horizontal="right" wrapText="1"/>
    </xf>
    <xf numFmtId="0" fontId="3" fillId="0" borderId="3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2" fontId="3" fillId="0" borderId="3" xfId="0" applyNumberFormat="1" applyFont="1" applyBorder="1" applyAlignment="1">
      <alignment vertical="center" wrapText="1"/>
    </xf>
    <xf numFmtId="2" fontId="3" fillId="0" borderId="4" xfId="0" applyNumberFormat="1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2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0" fillId="0" borderId="16" xfId="0" applyBorder="1"/>
    <xf numFmtId="2" fontId="0" fillId="0" borderId="0" xfId="0" applyNumberForma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2" fontId="3" fillId="0" borderId="7" xfId="0" applyNumberFormat="1" applyFont="1" applyBorder="1" applyAlignment="1">
      <alignment horizontal="left" vertical="center" wrapText="1"/>
    </xf>
    <xf numFmtId="0" fontId="3" fillId="0" borderId="7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2" borderId="10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4" fillId="0" borderId="6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3" fillId="0" borderId="8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2" fontId="3" fillId="0" borderId="3" xfId="0" applyNumberFormat="1" applyFont="1" applyBorder="1" applyAlignment="1">
      <alignment vertical="center" wrapText="1"/>
    </xf>
    <xf numFmtId="2" fontId="3" fillId="0" borderId="6" xfId="0" applyNumberFormat="1" applyFont="1" applyBorder="1" applyAlignment="1">
      <alignment vertical="center" wrapText="1"/>
    </xf>
    <xf numFmtId="2" fontId="3" fillId="0" borderId="5" xfId="0" applyNumberFormat="1" applyFont="1" applyBorder="1" applyAlignment="1">
      <alignment vertical="center" wrapText="1"/>
    </xf>
    <xf numFmtId="2" fontId="3" fillId="0" borderId="7" xfId="0" applyNumberFormat="1" applyFont="1" applyBorder="1" applyAlignment="1">
      <alignment horizontal="right" vertical="center" wrapText="1"/>
    </xf>
    <xf numFmtId="2" fontId="3" fillId="0" borderId="7" xfId="0" applyNumberFormat="1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vertical="center" wrapText="1"/>
    </xf>
    <xf numFmtId="2" fontId="4" fillId="0" borderId="7" xfId="0" applyNumberFormat="1" applyFont="1" applyBorder="1" applyAlignment="1">
      <alignment vertical="center" wrapText="1"/>
    </xf>
    <xf numFmtId="2" fontId="4" fillId="0" borderId="2" xfId="0" applyNumberFormat="1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  <xf numFmtId="2" fontId="3" fillId="0" borderId="7" xfId="0" applyNumberFormat="1" applyFont="1" applyBorder="1" applyAlignment="1">
      <alignment vertical="center" wrapText="1"/>
    </xf>
    <xf numFmtId="2" fontId="3" fillId="0" borderId="2" xfId="0" applyNumberFormat="1" applyFont="1" applyBorder="1" applyAlignment="1">
      <alignment vertical="center" wrapText="1"/>
    </xf>
    <xf numFmtId="2" fontId="4" fillId="0" borderId="6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C50"/>
  <sheetViews>
    <sheetView topLeftCell="A10" zoomScale="60" zoomScaleNormal="60" workbookViewId="0">
      <selection activeCell="S40" sqref="S40"/>
    </sheetView>
  </sheetViews>
  <sheetFormatPr baseColWidth="10" defaultColWidth="11.42578125" defaultRowHeight="15.75" x14ac:dyDescent="0.25"/>
  <cols>
    <col min="1" max="1" width="11.42578125" style="1"/>
    <col min="2" max="2" width="44.140625" style="1" customWidth="1"/>
    <col min="3" max="3" width="12.140625" style="1" customWidth="1"/>
    <col min="4" max="5" width="11.42578125" style="1"/>
    <col min="6" max="6" width="15.5703125" style="1" customWidth="1"/>
    <col min="7" max="7" width="11.42578125" style="1"/>
    <col min="8" max="8" width="12.42578125" style="1" customWidth="1"/>
    <col min="9" max="11" width="11.42578125" style="1"/>
    <col min="12" max="12" width="18.28515625" style="1" bestFit="1" customWidth="1"/>
    <col min="13" max="16384" width="11.42578125" style="1"/>
  </cols>
  <sheetData>
    <row r="3" spans="2:29" ht="16.5" thickBot="1" x14ac:dyDescent="0.3"/>
    <row r="4" spans="2:29" ht="30.75" customHeight="1" thickBot="1" x14ac:dyDescent="0.3">
      <c r="B4" s="59" t="s">
        <v>0</v>
      </c>
      <c r="C4" s="57" t="s">
        <v>68</v>
      </c>
      <c r="D4" s="57" t="s">
        <v>1</v>
      </c>
      <c r="E4" s="57" t="s">
        <v>63</v>
      </c>
      <c r="F4" s="57" t="s">
        <v>64</v>
      </c>
      <c r="G4" s="3" t="s">
        <v>4</v>
      </c>
      <c r="H4" s="2" t="s">
        <v>5</v>
      </c>
      <c r="I4" s="84" t="s">
        <v>6</v>
      </c>
      <c r="J4" s="85"/>
      <c r="K4" s="3" t="s">
        <v>7</v>
      </c>
      <c r="L4" s="3" t="s">
        <v>8</v>
      </c>
    </row>
    <row r="5" spans="2:29" ht="18" customHeight="1" thickBot="1" x14ac:dyDescent="0.3">
      <c r="B5" s="60" t="s">
        <v>61</v>
      </c>
      <c r="C5" s="5">
        <f>F5</f>
        <v>10</v>
      </c>
      <c r="D5" s="58"/>
      <c r="E5" s="58"/>
      <c r="F5" s="5">
        <v>10</v>
      </c>
      <c r="G5" s="61">
        <v>2</v>
      </c>
      <c r="H5" s="7">
        <f>C5*G5</f>
        <v>20</v>
      </c>
      <c r="I5" s="56"/>
      <c r="J5" s="57"/>
      <c r="K5" s="58"/>
      <c r="L5" s="8" t="str">
        <f>IF(C5&lt;11,"NA",IF(C5&lt;15,"ECA",IF(C5&lt;18,"A",IF(C5&lt;20,"A+"))))</f>
        <v>NA</v>
      </c>
      <c r="O5" s="8">
        <f>D5*G5</f>
        <v>0</v>
      </c>
      <c r="P5" s="8">
        <f>E5*G5</f>
        <v>0</v>
      </c>
      <c r="Q5" s="8">
        <f>G5*F5</f>
        <v>20</v>
      </c>
    </row>
    <row r="6" spans="2:29" ht="16.5" thickBot="1" x14ac:dyDescent="0.3">
      <c r="B6" s="4" t="s">
        <v>17</v>
      </c>
      <c r="C6" s="5">
        <f t="shared" ref="C6:C10" si="0">(D6+F6+E6)/3</f>
        <v>6.6000000000000005</v>
      </c>
      <c r="D6" s="5">
        <v>6.55</v>
      </c>
      <c r="E6" s="5">
        <v>7.5</v>
      </c>
      <c r="F6" s="5">
        <v>5.75</v>
      </c>
      <c r="G6" s="6">
        <v>3</v>
      </c>
      <c r="H6" s="7">
        <f>C6*G6</f>
        <v>19.8</v>
      </c>
      <c r="I6" s="76"/>
      <c r="J6" s="77"/>
      <c r="K6" s="8"/>
      <c r="L6" s="8" t="str">
        <f>IF(C6&lt;11,"NA",IF(C6&lt;15,"ECA",IF(C6&lt;18,"A",IF(C6&lt;20,"A+"))))</f>
        <v>NA</v>
      </c>
      <c r="O6" s="8">
        <f>D6*G6</f>
        <v>19.649999999999999</v>
      </c>
      <c r="P6" s="8">
        <f t="shared" ref="P6:P9" si="1">E6*G6</f>
        <v>22.5</v>
      </c>
      <c r="Q6" s="8">
        <f t="shared" ref="Q6:Q10" si="2">G6*F6</f>
        <v>17.25</v>
      </c>
    </row>
    <row r="7" spans="2:29" ht="16.5" thickBot="1" x14ac:dyDescent="0.3">
      <c r="B7" s="4" t="s">
        <v>54</v>
      </c>
      <c r="C7" s="5">
        <f t="shared" si="0"/>
        <v>6.0083333333333329</v>
      </c>
      <c r="D7" s="5">
        <v>7.6</v>
      </c>
      <c r="E7" s="5">
        <v>5.8</v>
      </c>
      <c r="F7" s="5">
        <v>4.625</v>
      </c>
      <c r="G7" s="6">
        <v>1</v>
      </c>
      <c r="H7" s="7">
        <f t="shared" ref="H7:H10" si="3">C7*G7</f>
        <v>6.0083333333333329</v>
      </c>
      <c r="I7" s="76"/>
      <c r="J7" s="77"/>
      <c r="K7" s="8"/>
      <c r="L7" s="8" t="str">
        <f t="shared" ref="L7:L10" si="4">IF(C7&lt;11,"NA",IF(C7&lt;15,"ECA",IF(C7&lt;18,"A",IF(C7&lt;20,"A+"))))</f>
        <v>NA</v>
      </c>
      <c r="O7" s="8">
        <f t="shared" ref="O7:O10" si="5">D7*G7</f>
        <v>7.6</v>
      </c>
      <c r="P7" s="8">
        <f t="shared" si="1"/>
        <v>5.8</v>
      </c>
      <c r="Q7" s="8">
        <f t="shared" si="2"/>
        <v>4.625</v>
      </c>
    </row>
    <row r="8" spans="2:29" ht="16.5" thickBot="1" x14ac:dyDescent="0.3">
      <c r="B8" s="54" t="s">
        <v>62</v>
      </c>
      <c r="C8" s="5">
        <f>F8</f>
        <v>15</v>
      </c>
      <c r="D8" s="5"/>
      <c r="E8" s="5"/>
      <c r="F8" s="5">
        <v>15</v>
      </c>
      <c r="G8" s="6">
        <v>2</v>
      </c>
      <c r="H8" s="7">
        <f t="shared" si="3"/>
        <v>30</v>
      </c>
      <c r="I8" s="52"/>
      <c r="J8" s="53"/>
      <c r="K8" s="8"/>
      <c r="L8" s="8" t="str">
        <f t="shared" si="4"/>
        <v>A</v>
      </c>
      <c r="O8" s="8">
        <f t="shared" ref="O8" si="6">D8*G8</f>
        <v>0</v>
      </c>
      <c r="P8" s="8">
        <f t="shared" si="1"/>
        <v>0</v>
      </c>
      <c r="Q8" s="8">
        <f t="shared" si="2"/>
        <v>30</v>
      </c>
    </row>
    <row r="9" spans="2:29" ht="16.5" thickBot="1" x14ac:dyDescent="0.3">
      <c r="B9" s="4" t="s">
        <v>50</v>
      </c>
      <c r="C9" s="5">
        <f t="shared" si="0"/>
        <v>8.6883333333333344</v>
      </c>
      <c r="D9" s="5">
        <v>9.6</v>
      </c>
      <c r="E9" s="5">
        <v>9.2149999999999999</v>
      </c>
      <c r="F9" s="5">
        <v>7.25</v>
      </c>
      <c r="G9" s="6">
        <v>2</v>
      </c>
      <c r="H9" s="7">
        <f t="shared" si="3"/>
        <v>17.376666666666669</v>
      </c>
      <c r="I9" s="90"/>
      <c r="J9" s="91"/>
      <c r="K9" s="8"/>
      <c r="L9" s="8" t="str">
        <f t="shared" si="4"/>
        <v>NA</v>
      </c>
      <c r="O9" s="8">
        <f t="shared" si="5"/>
        <v>19.2</v>
      </c>
      <c r="P9" s="8">
        <f t="shared" si="1"/>
        <v>18.43</v>
      </c>
      <c r="Q9" s="8">
        <f t="shared" si="2"/>
        <v>14.5</v>
      </c>
    </row>
    <row r="10" spans="2:29" ht="16.5" thickBot="1" x14ac:dyDescent="0.3">
      <c r="B10" s="4" t="s">
        <v>51</v>
      </c>
      <c r="C10" s="5">
        <f t="shared" si="0"/>
        <v>9.3883333333333336</v>
      </c>
      <c r="D10" s="5">
        <v>8</v>
      </c>
      <c r="E10" s="5">
        <v>10.664999999999999</v>
      </c>
      <c r="F10" s="5">
        <v>9.5</v>
      </c>
      <c r="G10" s="6">
        <v>1</v>
      </c>
      <c r="H10" s="7">
        <f t="shared" si="3"/>
        <v>9.3883333333333336</v>
      </c>
      <c r="I10" s="76"/>
      <c r="J10" s="77"/>
      <c r="K10" s="8"/>
      <c r="L10" s="8" t="str">
        <f t="shared" si="4"/>
        <v>NA</v>
      </c>
      <c r="O10" s="8">
        <f t="shared" si="5"/>
        <v>8</v>
      </c>
      <c r="P10" s="8">
        <f>E10*G10</f>
        <v>10.664999999999999</v>
      </c>
      <c r="Q10" s="8">
        <f t="shared" si="2"/>
        <v>9.5</v>
      </c>
    </row>
    <row r="11" spans="2:29" ht="16.5" thickBot="1" x14ac:dyDescent="0.3">
      <c r="B11" s="78" t="s">
        <v>58</v>
      </c>
      <c r="C11" s="79"/>
      <c r="D11" s="79"/>
      <c r="E11" s="79"/>
      <c r="F11" s="79"/>
      <c r="G11" s="79"/>
      <c r="H11" s="79"/>
      <c r="I11" s="79"/>
      <c r="J11" s="79"/>
      <c r="K11" s="79"/>
      <c r="L11" s="80"/>
    </row>
    <row r="12" spans="2:29" ht="16.5" thickBot="1" x14ac:dyDescent="0.3">
      <c r="B12" s="9" t="s">
        <v>12</v>
      </c>
      <c r="C12" s="86">
        <f>(SUM(H5:H10)/SUM(G5:G10))</f>
        <v>9.3248484848484861</v>
      </c>
      <c r="D12" s="86"/>
      <c r="E12" s="86"/>
      <c r="F12" s="86"/>
      <c r="G12" s="87" t="s">
        <v>13</v>
      </c>
      <c r="H12" s="87"/>
      <c r="I12" s="10"/>
      <c r="J12" s="88"/>
      <c r="K12" s="88"/>
      <c r="L12" s="89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spans="2:29" ht="16.5" thickBot="1" x14ac:dyDescent="0.3">
      <c r="B13" s="81"/>
      <c r="C13" s="82"/>
      <c r="D13" s="82"/>
      <c r="E13" s="82"/>
      <c r="F13" s="82"/>
      <c r="G13" s="82"/>
      <c r="H13" s="82"/>
      <c r="I13" s="82"/>
      <c r="J13" s="82"/>
      <c r="K13" s="82"/>
      <c r="L13" s="83"/>
    </row>
    <row r="14" spans="2:29" ht="16.5" thickBot="1" x14ac:dyDescent="0.3">
      <c r="B14" s="4" t="s">
        <v>47</v>
      </c>
      <c r="C14" s="5">
        <f>(D14+F14+E14)/3</f>
        <v>11.166666666666666</v>
      </c>
      <c r="D14" s="5">
        <v>11.100000000000001</v>
      </c>
      <c r="E14" s="5">
        <v>11.4</v>
      </c>
      <c r="F14" s="5">
        <v>11</v>
      </c>
      <c r="G14" s="6">
        <v>2</v>
      </c>
      <c r="H14" s="7">
        <f t="shared" ref="H14:H16" si="7">C14*G14</f>
        <v>22.333333333333332</v>
      </c>
      <c r="I14" s="76"/>
      <c r="J14" s="77"/>
      <c r="K14" s="8"/>
      <c r="L14" s="8" t="str">
        <f>IF(C14&lt;11,"NA",IF(C14&lt;15,"ECA",IF(C14&lt;18,"A",IF(C14&lt;20,"A+"))))</f>
        <v>ECA</v>
      </c>
      <c r="O14" s="8">
        <f t="shared" ref="O14:O16" si="8">D14*G14</f>
        <v>22.200000000000003</v>
      </c>
      <c r="P14" s="8">
        <f>E14*G14</f>
        <v>22.8</v>
      </c>
      <c r="Q14" s="8">
        <f>G14*F14</f>
        <v>22</v>
      </c>
    </row>
    <row r="15" spans="2:29" ht="16.5" thickBot="1" x14ac:dyDescent="0.3">
      <c r="B15" s="4" t="s">
        <v>14</v>
      </c>
      <c r="C15" s="5">
        <f t="shared" ref="C15:C17" si="9">(D15+F15+E15)/3</f>
        <v>11.166666666666666</v>
      </c>
      <c r="D15" s="5">
        <v>8.75</v>
      </c>
      <c r="E15" s="5">
        <v>13.5</v>
      </c>
      <c r="F15" s="5">
        <v>11.25</v>
      </c>
      <c r="G15" s="6">
        <v>1.5</v>
      </c>
      <c r="H15" s="7">
        <f t="shared" si="7"/>
        <v>16.75</v>
      </c>
      <c r="I15" s="76"/>
      <c r="J15" s="77"/>
      <c r="K15" s="8"/>
      <c r="L15" s="8" t="str">
        <f t="shared" ref="L15:L17" si="10">IF(C15&lt;11,"NA",IF(C15&lt;15,"ECA",IF(C15&lt;18,"A",IF(C15&lt;20,"A+"))))</f>
        <v>ECA</v>
      </c>
      <c r="O15" s="8">
        <f t="shared" si="8"/>
        <v>13.125</v>
      </c>
      <c r="P15" s="8">
        <f t="shared" ref="P15:P17" si="11">E15*G15</f>
        <v>20.25</v>
      </c>
      <c r="Q15" s="8">
        <f t="shared" ref="Q15:Q17" si="12">G15*F15</f>
        <v>16.875</v>
      </c>
    </row>
    <row r="16" spans="2:29" ht="16.5" thickBot="1" x14ac:dyDescent="0.3">
      <c r="B16" s="4" t="s">
        <v>15</v>
      </c>
      <c r="C16" s="5">
        <f t="shared" si="9"/>
        <v>9.0916666666666668</v>
      </c>
      <c r="D16" s="5">
        <v>8.2749999999999986</v>
      </c>
      <c r="E16" s="5">
        <v>9.125</v>
      </c>
      <c r="F16" s="5">
        <v>9.875</v>
      </c>
      <c r="G16" s="6">
        <v>1.5</v>
      </c>
      <c r="H16" s="7">
        <f t="shared" si="7"/>
        <v>13.637499999999999</v>
      </c>
      <c r="I16" s="76"/>
      <c r="J16" s="77"/>
      <c r="K16" s="8"/>
      <c r="L16" s="8" t="str">
        <f t="shared" si="10"/>
        <v>NA</v>
      </c>
      <c r="O16" s="8">
        <f t="shared" si="8"/>
        <v>12.412499999999998</v>
      </c>
      <c r="P16" s="8">
        <f t="shared" si="11"/>
        <v>13.6875</v>
      </c>
      <c r="Q16" s="8">
        <f t="shared" si="12"/>
        <v>14.8125</v>
      </c>
    </row>
    <row r="17" spans="2:17" ht="16.5" thickBot="1" x14ac:dyDescent="0.3">
      <c r="B17" s="30" t="s">
        <v>52</v>
      </c>
      <c r="C17" s="5">
        <f t="shared" si="9"/>
        <v>7.3166666666666664</v>
      </c>
      <c r="D17" s="5">
        <v>7.45</v>
      </c>
      <c r="E17" s="5">
        <v>7.5</v>
      </c>
      <c r="F17" s="5">
        <v>7</v>
      </c>
      <c r="G17" s="6">
        <v>1</v>
      </c>
      <c r="H17" s="7">
        <f t="shared" ref="H17" si="13">C17*G17</f>
        <v>7.3166666666666664</v>
      </c>
      <c r="I17" s="76"/>
      <c r="J17" s="77"/>
      <c r="K17" s="8"/>
      <c r="L17" s="8" t="str">
        <f t="shared" si="10"/>
        <v>NA</v>
      </c>
      <c r="O17" s="8">
        <f t="shared" ref="O17" si="14">D17*G17</f>
        <v>7.45</v>
      </c>
      <c r="P17" s="8">
        <f t="shared" si="11"/>
        <v>7.5</v>
      </c>
      <c r="Q17" s="8">
        <f t="shared" si="12"/>
        <v>7</v>
      </c>
    </row>
    <row r="18" spans="2:17" ht="16.5" thickBot="1" x14ac:dyDescent="0.3">
      <c r="B18" s="78" t="s">
        <v>59</v>
      </c>
      <c r="C18" s="79"/>
      <c r="D18" s="79"/>
      <c r="E18" s="79"/>
      <c r="F18" s="79"/>
      <c r="G18" s="79"/>
      <c r="H18" s="79"/>
      <c r="I18" s="79"/>
      <c r="J18" s="79"/>
      <c r="K18" s="79"/>
      <c r="L18" s="80"/>
    </row>
    <row r="19" spans="2:17" ht="16.5" thickBot="1" x14ac:dyDescent="0.3">
      <c r="B19" s="9" t="s">
        <v>16</v>
      </c>
      <c r="C19" s="86">
        <f>(SUM(H14:H17)/SUM(G14:G17))</f>
        <v>10.00625</v>
      </c>
      <c r="D19" s="86"/>
      <c r="E19" s="86"/>
      <c r="F19" s="86"/>
      <c r="G19" s="87" t="s">
        <v>13</v>
      </c>
      <c r="H19" s="87"/>
      <c r="I19" s="10"/>
      <c r="J19" s="88"/>
      <c r="K19" s="88"/>
      <c r="L19" s="89"/>
    </row>
    <row r="20" spans="2:17" ht="16.5" thickBot="1" x14ac:dyDescent="0.3">
      <c r="B20" s="92"/>
      <c r="C20" s="93"/>
      <c r="D20" s="93"/>
      <c r="E20" s="93"/>
      <c r="F20" s="93"/>
      <c r="G20" s="93"/>
      <c r="H20" s="93"/>
      <c r="I20" s="93"/>
      <c r="J20" s="93"/>
      <c r="K20" s="93"/>
      <c r="L20" s="94"/>
    </row>
    <row r="21" spans="2:17" ht="16.5" thickBot="1" x14ac:dyDescent="0.3">
      <c r="B21" s="4" t="s">
        <v>9</v>
      </c>
      <c r="C21" s="5">
        <f>(D21+F21+E21)/3</f>
        <v>5.583333333333333</v>
      </c>
      <c r="D21" s="5">
        <v>8.625</v>
      </c>
      <c r="E21" s="5">
        <f t="shared" ref="E21:E22" si="15">(F21+G21)/2</f>
        <v>3.375</v>
      </c>
      <c r="F21" s="8">
        <v>4.75</v>
      </c>
      <c r="G21" s="6">
        <v>2</v>
      </c>
      <c r="H21" s="7">
        <f t="shared" ref="H21:H24" si="16">C21*G21</f>
        <v>11.166666666666666</v>
      </c>
      <c r="I21" s="76"/>
      <c r="J21" s="77"/>
      <c r="K21" s="8"/>
      <c r="L21" s="8" t="str">
        <f t="shared" ref="L21:L24" si="17">IF(C21&lt;11,"NA",IF(C21&lt;15,"ECA",IF(C21&lt;18,"A",IF(C21&lt;20,"A+"))))</f>
        <v>NA</v>
      </c>
      <c r="O21" s="8">
        <f t="shared" ref="O21:O24" si="18">D21*G21</f>
        <v>17.25</v>
      </c>
      <c r="P21" s="8">
        <f>E21*G21</f>
        <v>6.75</v>
      </c>
      <c r="Q21" s="8">
        <f>G21*F21</f>
        <v>9.5</v>
      </c>
    </row>
    <row r="22" spans="2:17" ht="16.5" thickBot="1" x14ac:dyDescent="0.3">
      <c r="B22" s="4" t="s">
        <v>10</v>
      </c>
      <c r="C22" s="5">
        <f t="shared" ref="C22:C24" si="19">(D22+F22+E22)/3</f>
        <v>8.3833333333333329</v>
      </c>
      <c r="D22" s="5">
        <v>7.6999999999999993</v>
      </c>
      <c r="E22" s="5">
        <f t="shared" si="15"/>
        <v>7.15</v>
      </c>
      <c r="F22" s="8">
        <v>10.3</v>
      </c>
      <c r="G22" s="6">
        <v>4</v>
      </c>
      <c r="H22" s="7">
        <f t="shared" si="16"/>
        <v>33.533333333333331</v>
      </c>
      <c r="I22" s="76"/>
      <c r="J22" s="77"/>
      <c r="K22" s="8"/>
      <c r="L22" s="8" t="str">
        <f t="shared" si="17"/>
        <v>NA</v>
      </c>
      <c r="O22" s="8">
        <f t="shared" si="18"/>
        <v>30.799999999999997</v>
      </c>
      <c r="P22" s="8">
        <f t="shared" ref="P22:P24" si="20">E22*G22</f>
        <v>28.6</v>
      </c>
      <c r="Q22" s="8">
        <f t="shared" ref="Q22:Q24" si="21">G22*F22</f>
        <v>41.2</v>
      </c>
    </row>
    <row r="23" spans="2:17" ht="16.5" thickBot="1" x14ac:dyDescent="0.3">
      <c r="B23" s="33" t="s">
        <v>56</v>
      </c>
      <c r="C23" s="5">
        <f>F23</f>
        <v>12</v>
      </c>
      <c r="D23" s="5"/>
      <c r="E23" s="5"/>
      <c r="F23" s="8">
        <v>12</v>
      </c>
      <c r="G23" s="6">
        <v>2</v>
      </c>
      <c r="H23" s="7">
        <f t="shared" ref="H23" si="22">C23*G23</f>
        <v>24</v>
      </c>
      <c r="I23" s="76"/>
      <c r="J23" s="77"/>
      <c r="K23" s="8"/>
      <c r="L23" s="8" t="str">
        <f t="shared" ref="L23" si="23">IF(C23&lt;11,"NA",IF(C23&lt;15,"ECA",IF(C23&lt;18,"A",IF(C23&lt;20,"A+"))))</f>
        <v>ECA</v>
      </c>
      <c r="O23" s="8">
        <f t="shared" ref="O23" si="24">D23*G23</f>
        <v>0</v>
      </c>
      <c r="P23" s="8">
        <f t="shared" si="20"/>
        <v>0</v>
      </c>
      <c r="Q23" s="8">
        <f t="shared" si="21"/>
        <v>24</v>
      </c>
    </row>
    <row r="24" spans="2:17" ht="16.5" thickBot="1" x14ac:dyDescent="0.3">
      <c r="B24" s="4" t="s">
        <v>11</v>
      </c>
      <c r="C24" s="5">
        <f t="shared" si="19"/>
        <v>10.366666666666667</v>
      </c>
      <c r="D24" s="5">
        <v>9.1</v>
      </c>
      <c r="E24" s="5">
        <v>8.75</v>
      </c>
      <c r="F24" s="8">
        <v>13.25</v>
      </c>
      <c r="G24" s="6">
        <v>2</v>
      </c>
      <c r="H24" s="7">
        <f t="shared" si="16"/>
        <v>20.733333333333334</v>
      </c>
      <c r="I24" s="76"/>
      <c r="J24" s="77"/>
      <c r="K24" s="8"/>
      <c r="L24" s="8" t="str">
        <f t="shared" si="17"/>
        <v>NA</v>
      </c>
      <c r="O24" s="8">
        <f t="shared" si="18"/>
        <v>18.2</v>
      </c>
      <c r="P24" s="8">
        <f t="shared" si="20"/>
        <v>17.5</v>
      </c>
      <c r="Q24" s="8">
        <f t="shared" si="21"/>
        <v>26.5</v>
      </c>
    </row>
    <row r="25" spans="2:17" ht="16.5" thickBot="1" x14ac:dyDescent="0.3">
      <c r="B25" s="78" t="s">
        <v>60</v>
      </c>
      <c r="C25" s="79"/>
      <c r="D25" s="79"/>
      <c r="E25" s="79"/>
      <c r="F25" s="79"/>
      <c r="G25" s="79"/>
      <c r="H25" s="79"/>
      <c r="I25" s="79"/>
      <c r="J25" s="79"/>
      <c r="K25" s="79"/>
      <c r="L25" s="80"/>
    </row>
    <row r="26" spans="2:17" ht="16.5" thickBot="1" x14ac:dyDescent="0.3">
      <c r="B26" s="9" t="s">
        <v>12</v>
      </c>
      <c r="C26" s="86">
        <f>(SUM(H21:H24)/SUM(G21:G24))</f>
        <v>8.9433333333333316</v>
      </c>
      <c r="D26" s="86"/>
      <c r="E26" s="86"/>
      <c r="F26" s="86"/>
      <c r="G26" s="87" t="s">
        <v>13</v>
      </c>
      <c r="H26" s="87"/>
      <c r="I26" s="10"/>
      <c r="J26" s="88"/>
      <c r="K26" s="88"/>
      <c r="L26" s="89"/>
    </row>
    <row r="27" spans="2:17" ht="16.5" thickBot="1" x14ac:dyDescent="0.3">
      <c r="B27" s="81"/>
      <c r="C27" s="82"/>
      <c r="D27" s="82"/>
      <c r="E27" s="82"/>
      <c r="F27" s="82"/>
      <c r="G27" s="82"/>
      <c r="H27" s="82"/>
      <c r="I27" s="100"/>
      <c r="J27" s="100"/>
      <c r="K27" s="100"/>
      <c r="L27" s="83"/>
    </row>
    <row r="28" spans="2:17" ht="16.5" thickBot="1" x14ac:dyDescent="0.3">
      <c r="B28" s="4" t="s">
        <v>53</v>
      </c>
      <c r="C28" s="5">
        <f>(D28+F28+E28)/3</f>
        <v>14.166666666666666</v>
      </c>
      <c r="D28" s="8">
        <v>15.5</v>
      </c>
      <c r="E28" s="8">
        <v>14</v>
      </c>
      <c r="F28" s="8">
        <v>13</v>
      </c>
      <c r="G28" s="6">
        <v>1</v>
      </c>
      <c r="H28" s="7">
        <f t="shared" ref="H28:H31" si="25">C28*G28</f>
        <v>14.166666666666666</v>
      </c>
      <c r="I28" s="76"/>
      <c r="J28" s="77"/>
      <c r="K28" s="8"/>
      <c r="L28" s="8" t="str">
        <f t="shared" ref="L28:L31" si="26">IF(C28&lt;11,"NA",IF(C28&lt;15,"ECA",IF(C28&lt;18,"A",IF(C28&lt;20,"A+"))))</f>
        <v>ECA</v>
      </c>
      <c r="O28" s="8">
        <f t="shared" ref="O28:O31" si="27">D28*G28</f>
        <v>15.5</v>
      </c>
      <c r="P28" s="8">
        <f>E28*G28</f>
        <v>14</v>
      </c>
      <c r="Q28" s="8">
        <f>G28*F28</f>
        <v>13</v>
      </c>
    </row>
    <row r="29" spans="2:17" ht="16.5" thickBot="1" x14ac:dyDescent="0.3">
      <c r="B29" s="31" t="s">
        <v>48</v>
      </c>
      <c r="C29" s="5">
        <f t="shared" ref="C29:C31" si="28">(D29+F29+E29)/3</f>
        <v>14.200000000000001</v>
      </c>
      <c r="D29" s="8">
        <v>13.3</v>
      </c>
      <c r="E29" s="8">
        <v>14.5</v>
      </c>
      <c r="F29" s="8">
        <v>14.8</v>
      </c>
      <c r="G29" s="6">
        <v>2</v>
      </c>
      <c r="H29" s="7">
        <f t="shared" si="25"/>
        <v>28.400000000000002</v>
      </c>
      <c r="I29" s="76"/>
      <c r="J29" s="77"/>
      <c r="K29" s="8"/>
      <c r="L29" s="8" t="str">
        <f t="shared" si="26"/>
        <v>ECA</v>
      </c>
      <c r="O29" s="8">
        <f t="shared" ref="O29" si="29">D29*G29</f>
        <v>26.6</v>
      </c>
      <c r="P29" s="8">
        <f t="shared" ref="P29:P31" si="30">E29*G29</f>
        <v>29</v>
      </c>
      <c r="Q29" s="8">
        <f t="shared" ref="Q29:Q31" si="31">G29*F29</f>
        <v>29.6</v>
      </c>
    </row>
    <row r="30" spans="2:17" ht="16.5" thickBot="1" x14ac:dyDescent="0.3">
      <c r="B30" s="4" t="s">
        <v>49</v>
      </c>
      <c r="C30" s="5">
        <f t="shared" si="28"/>
        <v>12.9</v>
      </c>
      <c r="D30" s="8">
        <v>13</v>
      </c>
      <c r="E30" s="8">
        <v>11.7</v>
      </c>
      <c r="F30" s="8">
        <v>14</v>
      </c>
      <c r="G30" s="6">
        <v>1</v>
      </c>
      <c r="H30" s="7">
        <f t="shared" si="25"/>
        <v>12.9</v>
      </c>
      <c r="I30" s="76"/>
      <c r="J30" s="77"/>
      <c r="K30" s="8"/>
      <c r="L30" s="8" t="str">
        <f t="shared" si="26"/>
        <v>ECA</v>
      </c>
      <c r="O30" s="8">
        <f t="shared" si="27"/>
        <v>13</v>
      </c>
      <c r="P30" s="8">
        <f t="shared" si="30"/>
        <v>11.7</v>
      </c>
      <c r="Q30" s="8">
        <f t="shared" si="31"/>
        <v>14</v>
      </c>
    </row>
    <row r="31" spans="2:17" ht="16.5" thickBot="1" x14ac:dyDescent="0.3">
      <c r="B31" s="4" t="s">
        <v>18</v>
      </c>
      <c r="C31" s="5">
        <f t="shared" si="28"/>
        <v>15.833333333333334</v>
      </c>
      <c r="D31" s="8">
        <v>16.5</v>
      </c>
      <c r="E31" s="8">
        <v>16</v>
      </c>
      <c r="F31" s="8">
        <v>15</v>
      </c>
      <c r="G31" s="6">
        <v>1</v>
      </c>
      <c r="H31" s="7">
        <f t="shared" si="25"/>
        <v>15.833333333333334</v>
      </c>
      <c r="I31" s="76"/>
      <c r="J31" s="77"/>
      <c r="K31" s="8"/>
      <c r="L31" s="8" t="str">
        <f t="shared" si="26"/>
        <v>A</v>
      </c>
      <c r="O31" s="8">
        <f t="shared" si="27"/>
        <v>16.5</v>
      </c>
      <c r="P31" s="8">
        <f t="shared" si="30"/>
        <v>16</v>
      </c>
      <c r="Q31" s="8">
        <f t="shared" si="31"/>
        <v>15</v>
      </c>
    </row>
    <row r="32" spans="2:17" ht="16.5" thickBot="1" x14ac:dyDescent="0.3">
      <c r="B32" s="4" t="s">
        <v>57</v>
      </c>
      <c r="C32" s="12"/>
      <c r="D32" s="12"/>
      <c r="E32" s="55"/>
      <c r="F32" s="12"/>
      <c r="G32" s="12"/>
      <c r="H32" s="12"/>
      <c r="I32" s="12"/>
      <c r="J32" s="12"/>
      <c r="K32" s="12"/>
      <c r="L32" s="13"/>
      <c r="O32" s="1">
        <f>SUM(O6:O31)</f>
        <v>247.48749999999998</v>
      </c>
      <c r="P32" s="1">
        <f>SUM(P6:P31)</f>
        <v>245.18249999999998</v>
      </c>
      <c r="Q32" s="1">
        <f>SUM(Q5:Q31)</f>
        <v>329.36250000000001</v>
      </c>
    </row>
    <row r="33" spans="2:17" ht="16.5" thickBot="1" x14ac:dyDescent="0.3">
      <c r="B33" s="9" t="s">
        <v>16</v>
      </c>
      <c r="C33" s="86">
        <f>(SUM(H28:H31)/SUM(G28:G31))</f>
        <v>14.26</v>
      </c>
      <c r="D33" s="86"/>
      <c r="E33" s="86"/>
      <c r="F33" s="86"/>
      <c r="G33" s="87" t="s">
        <v>13</v>
      </c>
      <c r="H33" s="87"/>
      <c r="I33" s="10"/>
      <c r="J33" s="88"/>
      <c r="K33" s="88"/>
      <c r="L33" s="89"/>
      <c r="O33" s="1">
        <v>26</v>
      </c>
      <c r="P33" s="1">
        <v>26</v>
      </c>
      <c r="Q33" s="1">
        <v>32</v>
      </c>
    </row>
    <row r="34" spans="2:17" ht="16.5" thickBot="1" x14ac:dyDescent="0.3">
      <c r="B34" s="81"/>
      <c r="C34" s="82"/>
      <c r="D34" s="82"/>
      <c r="E34" s="82"/>
      <c r="F34" s="82"/>
      <c r="G34" s="82"/>
      <c r="H34" s="82"/>
      <c r="I34" s="82"/>
      <c r="J34" s="82"/>
      <c r="K34" s="82"/>
      <c r="L34" s="83"/>
      <c r="O34" s="1">
        <f>O32/O33</f>
        <v>9.5187499999999989</v>
      </c>
      <c r="P34" s="1">
        <f>P32/P33</f>
        <v>9.4300961538461525</v>
      </c>
      <c r="Q34" s="1">
        <f>Q32/Q33</f>
        <v>10.292578125</v>
      </c>
    </row>
    <row r="35" spans="2:17" s="17" customFormat="1" ht="48" thickBot="1" x14ac:dyDescent="0.3">
      <c r="B35" s="4" t="s">
        <v>19</v>
      </c>
      <c r="C35" s="14" t="s">
        <v>20</v>
      </c>
      <c r="D35" s="48"/>
      <c r="E35" s="51"/>
      <c r="F35" s="15" t="s">
        <v>21</v>
      </c>
      <c r="G35" s="88"/>
      <c r="H35" s="88"/>
      <c r="I35" s="15" t="s">
        <v>22</v>
      </c>
      <c r="J35" s="88"/>
      <c r="K35" s="88"/>
      <c r="L35" s="16"/>
    </row>
    <row r="36" spans="2:17" x14ac:dyDescent="0.25">
      <c r="B36" s="18"/>
      <c r="C36" s="19" t="s">
        <v>1</v>
      </c>
      <c r="D36" s="19" t="s">
        <v>63</v>
      </c>
      <c r="E36" s="19" t="s">
        <v>65</v>
      </c>
      <c r="F36" s="20"/>
      <c r="G36" s="20"/>
      <c r="H36" s="21"/>
      <c r="I36" s="101"/>
      <c r="J36" s="100"/>
      <c r="K36" s="100"/>
      <c r="L36" s="102"/>
    </row>
    <row r="37" spans="2:17" x14ac:dyDescent="0.25">
      <c r="B37" s="22" t="s">
        <v>23</v>
      </c>
      <c r="C37" s="23">
        <f>O34</f>
        <v>9.5187499999999989</v>
      </c>
      <c r="D37" s="23">
        <f>P34</f>
        <v>9.4300961538461525</v>
      </c>
      <c r="E37" s="23">
        <f>Q34</f>
        <v>10.292578125</v>
      </c>
      <c r="F37" s="32" t="s">
        <v>66</v>
      </c>
      <c r="G37" s="25">
        <f>(H5+H6+H7+H8+H9+H10+H14+H15+H16+H17+H21+H22+H23+H24+H28+H29+H30+H31)/32</f>
        <v>10.104505208333331</v>
      </c>
      <c r="H37" s="24" t="s">
        <v>25</v>
      </c>
      <c r="I37" s="103" t="s">
        <v>26</v>
      </c>
      <c r="J37" s="104"/>
      <c r="K37" s="26"/>
      <c r="L37" s="27" t="s">
        <v>25</v>
      </c>
    </row>
    <row r="38" spans="2:17" ht="16.5" thickBot="1" x14ac:dyDescent="0.3">
      <c r="B38" s="95"/>
      <c r="C38" s="96"/>
      <c r="D38" s="96"/>
      <c r="E38" s="96"/>
      <c r="F38" s="96"/>
      <c r="G38" s="96"/>
      <c r="H38" s="96"/>
      <c r="I38" s="97"/>
      <c r="J38" s="98"/>
      <c r="K38" s="98"/>
      <c r="L38" s="99"/>
    </row>
    <row r="39" spans="2:17" ht="16.5" thickBot="1" x14ac:dyDescent="0.3">
      <c r="B39" s="105" t="s">
        <v>67</v>
      </c>
      <c r="C39" s="106"/>
      <c r="D39" s="106"/>
      <c r="E39" s="106"/>
      <c r="F39" s="106"/>
      <c r="G39" s="106"/>
      <c r="H39" s="106"/>
      <c r="I39" s="106"/>
      <c r="J39" s="106"/>
      <c r="K39" s="106"/>
      <c r="L39" s="107"/>
    </row>
    <row r="40" spans="2:17" ht="16.5" thickBot="1" x14ac:dyDescent="0.3">
      <c r="B40" s="108" t="s">
        <v>28</v>
      </c>
      <c r="C40" s="88"/>
      <c r="D40" s="88"/>
      <c r="E40" s="88"/>
      <c r="F40" s="88"/>
      <c r="G40" s="88"/>
      <c r="H40" s="88"/>
      <c r="I40" s="88"/>
      <c r="J40" s="88"/>
      <c r="K40" s="88"/>
      <c r="L40" s="89"/>
    </row>
    <row r="41" spans="2:17" ht="16.5" thickBot="1" x14ac:dyDescent="0.3">
      <c r="B41" s="33" t="s">
        <v>29</v>
      </c>
      <c r="C41" s="81" t="s">
        <v>30</v>
      </c>
      <c r="D41" s="82"/>
      <c r="E41" s="82"/>
      <c r="F41" s="83"/>
      <c r="G41" s="109" t="s">
        <v>31</v>
      </c>
      <c r="H41" s="110"/>
      <c r="I41" s="110"/>
      <c r="J41" s="110"/>
      <c r="K41" s="110"/>
      <c r="L41" s="111"/>
    </row>
    <row r="42" spans="2:17" ht="16.5" thickBot="1" x14ac:dyDescent="0.3">
      <c r="B42" s="42" t="s">
        <v>32</v>
      </c>
      <c r="C42" s="110" t="str">
        <f>IF(G37&lt;11,"NA",IF(G37&lt;15,"ECA",IF(G37&lt;18,"A",IF(G37&lt;20,"A+"))))</f>
        <v>NA</v>
      </c>
      <c r="D42" s="110" t="e">
        <f>IF(#REF!&lt;11,"NA",IF(#REF!&lt;15,"ECA",IF(#REF!&lt;18,"A",IF(#REF!&lt;20,"A+"))))</f>
        <v>#REF!</v>
      </c>
      <c r="E42" s="110"/>
      <c r="F42" s="111" t="e">
        <f>IF(#REF!&lt;11,"NA",IF(#REF!&lt;15,"ECA",IF(#REF!&lt;18,"A",IF(#REF!&lt;20,"A+"))))</f>
        <v>#REF!</v>
      </c>
      <c r="G42" s="112"/>
      <c r="H42" s="113"/>
      <c r="I42" s="113"/>
      <c r="J42" s="113"/>
      <c r="K42" s="113"/>
      <c r="L42" s="114"/>
    </row>
    <row r="43" spans="2:17" ht="16.5" thickBot="1" x14ac:dyDescent="0.3">
      <c r="B43" s="43" t="s">
        <v>33</v>
      </c>
      <c r="C43" s="115" t="e">
        <f>IF(#REF!&lt;11,"NA",IF(#REF!&lt;15,"ECA",IF(#REF!&lt;18,"A",IF(#REF!&lt;20,"A+"))))</f>
        <v>#REF!</v>
      </c>
      <c r="D43" s="116" t="e">
        <f>IF(#REF!&lt;11,"NA",IF(#REF!&lt;15,"ECA",IF(#REF!&lt;18,"A",IF(#REF!&lt;20,"A+"))))</f>
        <v>#REF!</v>
      </c>
      <c r="E43" s="116"/>
      <c r="F43" s="117" t="e">
        <f>IF(#REF!&lt;11,"NA",IF(#REF!&lt;15,"ECA",IF(#REF!&lt;18,"A",IF(#REF!&lt;20,"A+"))))</f>
        <v>#REF!</v>
      </c>
      <c r="G43" s="108" t="s">
        <v>34</v>
      </c>
      <c r="H43" s="88"/>
      <c r="I43" s="88"/>
      <c r="J43" s="89"/>
      <c r="K43" s="109" t="s">
        <v>35</v>
      </c>
      <c r="L43" s="111"/>
    </row>
    <row r="44" spans="2:17" ht="16.5" thickBot="1" x14ac:dyDescent="0.3">
      <c r="B44" s="29" t="s">
        <v>36</v>
      </c>
      <c r="C44" s="112" t="e">
        <f>IF(#REF!&lt;11,"NA",IF(#REF!&lt;15,"ECA",IF(#REF!&lt;18,"A",IF(#REF!&lt;20,"A+"))))</f>
        <v>#REF!</v>
      </c>
      <c r="D44" s="113" t="e">
        <f>IF(#REF!&lt;11,"NA",IF(#REF!&lt;15,"ECA",IF(#REF!&lt;18,"A",IF(#REF!&lt;20,"A+"))))</f>
        <v>#REF!</v>
      </c>
      <c r="E44" s="113"/>
      <c r="F44" s="114" t="e">
        <f>IF(#REF!&lt;11,"NA",IF(#REF!&lt;15,"ECA",IF(#REF!&lt;18,"A",IF(#REF!&lt;20,"A+"))))</f>
        <v>#REF!</v>
      </c>
      <c r="G44" s="108" t="s">
        <v>37</v>
      </c>
      <c r="H44" s="88"/>
      <c r="I44" s="88"/>
      <c r="J44" s="89"/>
      <c r="K44" s="118" t="s">
        <v>38</v>
      </c>
      <c r="L44" s="119"/>
    </row>
    <row r="45" spans="2:17" ht="16.5" thickBot="1" x14ac:dyDescent="0.3">
      <c r="B45" s="14" t="s">
        <v>39</v>
      </c>
      <c r="C45" s="109" t="s">
        <v>40</v>
      </c>
      <c r="D45" s="110"/>
      <c r="E45" s="110"/>
      <c r="F45" s="111"/>
      <c r="G45" s="108" t="s">
        <v>41</v>
      </c>
      <c r="H45" s="88"/>
      <c r="I45" s="88"/>
      <c r="J45" s="89"/>
      <c r="K45" s="118"/>
      <c r="L45" s="119"/>
    </row>
    <row r="46" spans="2:17" ht="16.5" thickBot="1" x14ac:dyDescent="0.3">
      <c r="B46" s="14" t="s">
        <v>42</v>
      </c>
      <c r="C46" s="112"/>
      <c r="D46" s="113"/>
      <c r="E46" s="113"/>
      <c r="F46" s="114"/>
      <c r="G46" s="108" t="s">
        <v>43</v>
      </c>
      <c r="H46" s="88"/>
      <c r="I46" s="88"/>
      <c r="J46" s="89"/>
      <c r="K46" s="120" t="s">
        <v>44</v>
      </c>
      <c r="L46" s="121"/>
    </row>
    <row r="47" spans="2:17" ht="31.5" x14ac:dyDescent="0.25">
      <c r="B47" s="4" t="s">
        <v>45</v>
      </c>
      <c r="C47" s="101"/>
      <c r="D47" s="100"/>
      <c r="E47" s="100"/>
      <c r="F47" s="102"/>
      <c r="G47" s="101"/>
      <c r="H47" s="100"/>
      <c r="I47" s="100"/>
      <c r="J47" s="102"/>
      <c r="K47" s="120" t="s">
        <v>46</v>
      </c>
      <c r="L47" s="121"/>
    </row>
    <row r="48" spans="2:17" x14ac:dyDescent="0.25">
      <c r="B48" s="28"/>
      <c r="C48" s="122"/>
      <c r="D48" s="123"/>
      <c r="E48" s="123"/>
      <c r="F48" s="124"/>
      <c r="G48" s="122"/>
      <c r="H48" s="123"/>
      <c r="I48" s="123"/>
      <c r="J48" s="124"/>
      <c r="K48" s="128"/>
      <c r="L48" s="129"/>
    </row>
    <row r="49" spans="2:12" x14ac:dyDescent="0.25">
      <c r="B49" s="28"/>
      <c r="C49" s="122"/>
      <c r="D49" s="123"/>
      <c r="E49" s="123"/>
      <c r="F49" s="124"/>
      <c r="G49" s="122"/>
      <c r="H49" s="123"/>
      <c r="I49" s="123"/>
      <c r="J49" s="124"/>
      <c r="K49" s="128"/>
      <c r="L49" s="129"/>
    </row>
    <row r="50" spans="2:12" ht="16.5" thickBot="1" x14ac:dyDescent="0.3">
      <c r="B50" s="29"/>
      <c r="C50" s="125"/>
      <c r="D50" s="126"/>
      <c r="E50" s="126"/>
      <c r="F50" s="127"/>
      <c r="G50" s="125"/>
      <c r="H50" s="126"/>
      <c r="I50" s="126"/>
      <c r="J50" s="127"/>
      <c r="K50" s="97"/>
      <c r="L50" s="99"/>
    </row>
  </sheetData>
  <mergeCells count="62">
    <mergeCell ref="K50:L50"/>
    <mergeCell ref="C45:F46"/>
    <mergeCell ref="G45:J45"/>
    <mergeCell ref="K45:L45"/>
    <mergeCell ref="G46:J46"/>
    <mergeCell ref="K46:L46"/>
    <mergeCell ref="C47:F50"/>
    <mergeCell ref="G47:J50"/>
    <mergeCell ref="K47:L47"/>
    <mergeCell ref="K48:L48"/>
    <mergeCell ref="K49:L49"/>
    <mergeCell ref="B39:L39"/>
    <mergeCell ref="B40:L40"/>
    <mergeCell ref="C41:F41"/>
    <mergeCell ref="G41:L42"/>
    <mergeCell ref="C42:F44"/>
    <mergeCell ref="G43:J43"/>
    <mergeCell ref="K43:L43"/>
    <mergeCell ref="G44:J44"/>
    <mergeCell ref="K44:L44"/>
    <mergeCell ref="B38:H38"/>
    <mergeCell ref="I38:L38"/>
    <mergeCell ref="C26:F26"/>
    <mergeCell ref="G26:H26"/>
    <mergeCell ref="J26:L26"/>
    <mergeCell ref="B27:L27"/>
    <mergeCell ref="C33:F33"/>
    <mergeCell ref="G33:H33"/>
    <mergeCell ref="J33:L33"/>
    <mergeCell ref="B34:L34"/>
    <mergeCell ref="G35:H35"/>
    <mergeCell ref="J35:K35"/>
    <mergeCell ref="I36:L36"/>
    <mergeCell ref="I37:J37"/>
    <mergeCell ref="I31:J31"/>
    <mergeCell ref="B18:L18"/>
    <mergeCell ref="C19:F19"/>
    <mergeCell ref="G19:H19"/>
    <mergeCell ref="J19:L19"/>
    <mergeCell ref="B20:L20"/>
    <mergeCell ref="I4:J4"/>
    <mergeCell ref="B11:L11"/>
    <mergeCell ref="C12:F12"/>
    <mergeCell ref="G12:H12"/>
    <mergeCell ref="J12:L12"/>
    <mergeCell ref="I6:J6"/>
    <mergeCell ref="I7:J7"/>
    <mergeCell ref="I9:J9"/>
    <mergeCell ref="I10:J10"/>
    <mergeCell ref="I14:J14"/>
    <mergeCell ref="I15:J15"/>
    <mergeCell ref="I16:J16"/>
    <mergeCell ref="I17:J17"/>
    <mergeCell ref="B13:L13"/>
    <mergeCell ref="I21:J21"/>
    <mergeCell ref="I22:J22"/>
    <mergeCell ref="I24:J24"/>
    <mergeCell ref="I28:J28"/>
    <mergeCell ref="I30:J30"/>
    <mergeCell ref="B25:L25"/>
    <mergeCell ref="I29:J29"/>
    <mergeCell ref="I23:J2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C50"/>
  <sheetViews>
    <sheetView zoomScale="60" zoomScaleNormal="60" workbookViewId="0">
      <selection activeCell="G37" sqref="G37"/>
    </sheetView>
  </sheetViews>
  <sheetFormatPr baseColWidth="10" defaultColWidth="11.42578125" defaultRowHeight="15.75" x14ac:dyDescent="0.25"/>
  <cols>
    <col min="1" max="1" width="11.42578125" style="1"/>
    <col min="2" max="2" width="44.140625" style="1" customWidth="1"/>
    <col min="3" max="3" width="12.140625" style="1" customWidth="1"/>
    <col min="4" max="5" width="11.42578125" style="1"/>
    <col min="6" max="6" width="15.5703125" style="1" customWidth="1"/>
    <col min="7" max="7" width="11.42578125" style="1"/>
    <col min="8" max="8" width="12.42578125" style="1" customWidth="1"/>
    <col min="9" max="11" width="11.42578125" style="1"/>
    <col min="12" max="12" width="18.28515625" style="1" bestFit="1" customWidth="1"/>
    <col min="13" max="16384" width="11.42578125" style="1"/>
  </cols>
  <sheetData>
    <row r="3" spans="2:29" ht="16.5" thickBot="1" x14ac:dyDescent="0.3"/>
    <row r="4" spans="2:29" ht="30.75" customHeight="1" thickBot="1" x14ac:dyDescent="0.3">
      <c r="B4" s="59" t="s">
        <v>0</v>
      </c>
      <c r="C4" s="68" t="s">
        <v>68</v>
      </c>
      <c r="D4" s="68" t="s">
        <v>1</v>
      </c>
      <c r="E4" s="68" t="s">
        <v>63</v>
      </c>
      <c r="F4" s="68" t="s">
        <v>64</v>
      </c>
      <c r="G4" s="68" t="s">
        <v>4</v>
      </c>
      <c r="H4" s="67" t="s">
        <v>5</v>
      </c>
      <c r="I4" s="84" t="s">
        <v>6</v>
      </c>
      <c r="J4" s="85"/>
      <c r="K4" s="68" t="s">
        <v>7</v>
      </c>
      <c r="L4" s="68" t="s">
        <v>8</v>
      </c>
    </row>
    <row r="5" spans="2:29" ht="18" customHeight="1" thickBot="1" x14ac:dyDescent="0.3">
      <c r="B5" s="60" t="s">
        <v>61</v>
      </c>
      <c r="C5" s="5">
        <f>F5</f>
        <v>6.5</v>
      </c>
      <c r="D5" s="58"/>
      <c r="E5" s="58"/>
      <c r="F5" s="5">
        <v>6.5</v>
      </c>
      <c r="G5" s="61">
        <v>2</v>
      </c>
      <c r="H5" s="7">
        <f>C5*G5</f>
        <v>13</v>
      </c>
      <c r="I5" s="67"/>
      <c r="J5" s="68"/>
      <c r="K5" s="58"/>
      <c r="L5" s="8" t="str">
        <f>IF(C5&lt;11,"NA",IF(C5&lt;15,"ECA",IF(C5&lt;18,"A",IF(C5&lt;20,"A+"))))</f>
        <v>NA</v>
      </c>
      <c r="O5" s="8">
        <f>D5*G5</f>
        <v>0</v>
      </c>
      <c r="P5" s="8">
        <f>E5*G5</f>
        <v>0</v>
      </c>
      <c r="Q5" s="8">
        <f>G5*F5</f>
        <v>13</v>
      </c>
    </row>
    <row r="6" spans="2:29" ht="16.5" thickBot="1" x14ac:dyDescent="0.3">
      <c r="B6" s="64" t="s">
        <v>17</v>
      </c>
      <c r="C6" s="5">
        <f t="shared" ref="C6:C10" si="0">(D6+F6+E6)/3</f>
        <v>5.1166666666666663</v>
      </c>
      <c r="D6" s="5">
        <v>3.9</v>
      </c>
      <c r="E6" s="5">
        <v>5.4499999999999993</v>
      </c>
      <c r="F6" s="5">
        <v>6</v>
      </c>
      <c r="G6" s="6">
        <v>3</v>
      </c>
      <c r="H6" s="7">
        <f>C6*G6</f>
        <v>15.349999999999998</v>
      </c>
      <c r="I6" s="76"/>
      <c r="J6" s="77"/>
      <c r="K6" s="8"/>
      <c r="L6" s="8" t="str">
        <f>IF(C6&lt;11,"NA",IF(C6&lt;15,"ECA",IF(C6&lt;18,"A",IF(C6&lt;20,"A+"))))</f>
        <v>NA</v>
      </c>
      <c r="O6" s="8">
        <f>D6*G6</f>
        <v>11.7</v>
      </c>
      <c r="P6" s="8">
        <f t="shared" ref="P6:P10" si="1">E6*G6</f>
        <v>16.349999999999998</v>
      </c>
      <c r="Q6" s="8">
        <f t="shared" ref="Q6:Q10" si="2">G6*F6</f>
        <v>18</v>
      </c>
    </row>
    <row r="7" spans="2:29" ht="16.5" thickBot="1" x14ac:dyDescent="0.3">
      <c r="B7" s="64" t="s">
        <v>54</v>
      </c>
      <c r="C7" s="5">
        <f t="shared" si="0"/>
        <v>3.4833333333333329</v>
      </c>
      <c r="D7" s="5">
        <v>5.6999999999999993</v>
      </c>
      <c r="E7" s="5">
        <v>2.75</v>
      </c>
      <c r="F7" s="5">
        <v>2</v>
      </c>
      <c r="G7" s="6">
        <v>1</v>
      </c>
      <c r="H7" s="7">
        <f t="shared" ref="H7:H10" si="3">C7*G7</f>
        <v>3.4833333333333329</v>
      </c>
      <c r="I7" s="76"/>
      <c r="J7" s="77"/>
      <c r="K7" s="8"/>
      <c r="L7" s="8" t="str">
        <f t="shared" ref="L7:L10" si="4">IF(C7&lt;11,"NA",IF(C7&lt;15,"ECA",IF(C7&lt;18,"A",IF(C7&lt;20,"A+"))))</f>
        <v>NA</v>
      </c>
      <c r="O7" s="8">
        <f t="shared" ref="O7:O10" si="5">D7*G7</f>
        <v>5.6999999999999993</v>
      </c>
      <c r="P7" s="8">
        <f t="shared" si="1"/>
        <v>2.75</v>
      </c>
      <c r="Q7" s="8">
        <f t="shared" si="2"/>
        <v>2</v>
      </c>
    </row>
    <row r="8" spans="2:29" ht="16.5" thickBot="1" x14ac:dyDescent="0.3">
      <c r="B8" s="64" t="s">
        <v>62</v>
      </c>
      <c r="C8" s="5">
        <f>F8</f>
        <v>13.25</v>
      </c>
      <c r="D8" s="5"/>
      <c r="E8" s="5"/>
      <c r="F8" s="5">
        <v>13.25</v>
      </c>
      <c r="G8" s="6">
        <v>2</v>
      </c>
      <c r="H8" s="7">
        <f t="shared" si="3"/>
        <v>26.5</v>
      </c>
      <c r="I8" s="62"/>
      <c r="J8" s="63"/>
      <c r="K8" s="8"/>
      <c r="L8" s="8" t="str">
        <f t="shared" si="4"/>
        <v>ECA</v>
      </c>
      <c r="O8" s="8">
        <f t="shared" si="5"/>
        <v>0</v>
      </c>
      <c r="P8" s="8">
        <f t="shared" si="1"/>
        <v>0</v>
      </c>
      <c r="Q8" s="8">
        <f t="shared" si="2"/>
        <v>26.5</v>
      </c>
    </row>
    <row r="9" spans="2:29" ht="16.5" thickBot="1" x14ac:dyDescent="0.3">
      <c r="B9" s="64" t="s">
        <v>50</v>
      </c>
      <c r="C9" s="5">
        <f t="shared" si="0"/>
        <v>5.1716666666666669</v>
      </c>
      <c r="D9" s="5">
        <v>2.75</v>
      </c>
      <c r="E9" s="5">
        <v>8.7650000000000006</v>
      </c>
      <c r="F9" s="5">
        <v>4</v>
      </c>
      <c r="G9" s="6">
        <v>2</v>
      </c>
      <c r="H9" s="7">
        <f t="shared" si="3"/>
        <v>10.343333333333334</v>
      </c>
      <c r="I9" s="90"/>
      <c r="J9" s="91"/>
      <c r="K9" s="8"/>
      <c r="L9" s="8" t="str">
        <f t="shared" si="4"/>
        <v>NA</v>
      </c>
      <c r="O9" s="8">
        <f t="shared" si="5"/>
        <v>5.5</v>
      </c>
      <c r="P9" s="8">
        <f t="shared" si="1"/>
        <v>17.53</v>
      </c>
      <c r="Q9" s="8">
        <f t="shared" si="2"/>
        <v>8</v>
      </c>
    </row>
    <row r="10" spans="2:29" ht="16.5" thickBot="1" x14ac:dyDescent="0.3">
      <c r="B10" s="64" t="s">
        <v>51</v>
      </c>
      <c r="C10" s="5">
        <f t="shared" si="0"/>
        <v>7.788333333333334</v>
      </c>
      <c r="D10" s="5">
        <v>4</v>
      </c>
      <c r="E10" s="5">
        <v>13.365</v>
      </c>
      <c r="F10" s="5">
        <v>6</v>
      </c>
      <c r="G10" s="6">
        <v>1</v>
      </c>
      <c r="H10" s="7">
        <f t="shared" si="3"/>
        <v>7.788333333333334</v>
      </c>
      <c r="I10" s="76"/>
      <c r="J10" s="77"/>
      <c r="K10" s="8"/>
      <c r="L10" s="8" t="str">
        <f t="shared" si="4"/>
        <v>NA</v>
      </c>
      <c r="O10" s="8">
        <f t="shared" si="5"/>
        <v>4</v>
      </c>
      <c r="P10" s="8">
        <f t="shared" si="1"/>
        <v>13.365</v>
      </c>
      <c r="Q10" s="8">
        <f t="shared" si="2"/>
        <v>6</v>
      </c>
    </row>
    <row r="11" spans="2:29" ht="16.5" thickBot="1" x14ac:dyDescent="0.3">
      <c r="B11" s="78" t="s">
        <v>58</v>
      </c>
      <c r="C11" s="79"/>
      <c r="D11" s="79"/>
      <c r="E11" s="79"/>
      <c r="F11" s="79"/>
      <c r="G11" s="79"/>
      <c r="H11" s="79"/>
      <c r="I11" s="79"/>
      <c r="J11" s="79"/>
      <c r="K11" s="79"/>
      <c r="L11" s="80"/>
    </row>
    <row r="12" spans="2:29" ht="16.5" thickBot="1" x14ac:dyDescent="0.3">
      <c r="B12" s="9" t="s">
        <v>12</v>
      </c>
      <c r="C12" s="86">
        <f>(SUM(H5:H10)/SUM(G5:G10))</f>
        <v>6.9513636363636371</v>
      </c>
      <c r="D12" s="86"/>
      <c r="E12" s="86"/>
      <c r="F12" s="86"/>
      <c r="G12" s="87" t="s">
        <v>13</v>
      </c>
      <c r="H12" s="87"/>
      <c r="I12" s="69"/>
      <c r="J12" s="88"/>
      <c r="K12" s="88"/>
      <c r="L12" s="89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spans="2:29" ht="16.5" thickBot="1" x14ac:dyDescent="0.3">
      <c r="B13" s="81"/>
      <c r="C13" s="82"/>
      <c r="D13" s="82"/>
      <c r="E13" s="82"/>
      <c r="F13" s="82"/>
      <c r="G13" s="82"/>
      <c r="H13" s="82"/>
      <c r="I13" s="82"/>
      <c r="J13" s="82"/>
      <c r="K13" s="82"/>
      <c r="L13" s="83"/>
    </row>
    <row r="14" spans="2:29" ht="16.5" thickBot="1" x14ac:dyDescent="0.3">
      <c r="B14" s="64" t="s">
        <v>47</v>
      </c>
      <c r="C14" s="5">
        <f>(D14+F14+E14)/3</f>
        <v>7.25</v>
      </c>
      <c r="D14" s="5">
        <v>6.4</v>
      </c>
      <c r="E14" s="5">
        <v>6.35</v>
      </c>
      <c r="F14" s="5">
        <v>9</v>
      </c>
      <c r="G14" s="6">
        <v>2</v>
      </c>
      <c r="H14" s="7">
        <f t="shared" ref="H14:H17" si="6">C14*G14</f>
        <v>14.5</v>
      </c>
      <c r="I14" s="76"/>
      <c r="J14" s="77"/>
      <c r="K14" s="8"/>
      <c r="L14" s="8" t="str">
        <f>IF(C14&lt;11,"NA",IF(C14&lt;15,"ECA",IF(C14&lt;18,"A",IF(C14&lt;20,"A+"))))</f>
        <v>NA</v>
      </c>
      <c r="O14" s="8">
        <f t="shared" ref="O14:O17" si="7">D14*G14</f>
        <v>12.8</v>
      </c>
      <c r="P14" s="8">
        <f>E14*G14</f>
        <v>12.7</v>
      </c>
      <c r="Q14" s="8">
        <f>G14*F14</f>
        <v>18</v>
      </c>
    </row>
    <row r="15" spans="2:29" ht="16.5" thickBot="1" x14ac:dyDescent="0.3">
      <c r="B15" s="64" t="s">
        <v>14</v>
      </c>
      <c r="C15" s="5">
        <f t="shared" ref="C15:C17" si="8">(D15+F15+E15)/3</f>
        <v>7.4416666666666664</v>
      </c>
      <c r="D15" s="5">
        <v>4</v>
      </c>
      <c r="E15" s="5">
        <v>10.074999999999999</v>
      </c>
      <c r="F15" s="5">
        <v>8.25</v>
      </c>
      <c r="G15" s="6">
        <v>1.5</v>
      </c>
      <c r="H15" s="7">
        <f t="shared" si="6"/>
        <v>11.1625</v>
      </c>
      <c r="I15" s="76"/>
      <c r="J15" s="77"/>
      <c r="K15" s="8"/>
      <c r="L15" s="8" t="str">
        <f t="shared" ref="L15:L17" si="9">IF(C15&lt;11,"NA",IF(C15&lt;15,"ECA",IF(C15&lt;18,"A",IF(C15&lt;20,"A+"))))</f>
        <v>NA</v>
      </c>
      <c r="O15" s="8">
        <f t="shared" si="7"/>
        <v>6</v>
      </c>
      <c r="P15" s="8">
        <f t="shared" ref="P15:P17" si="10">E15*G15</f>
        <v>15.112499999999999</v>
      </c>
      <c r="Q15" s="8">
        <f t="shared" ref="Q15:Q17" si="11">G15*F15</f>
        <v>12.375</v>
      </c>
    </row>
    <row r="16" spans="2:29" ht="16.5" thickBot="1" x14ac:dyDescent="0.3">
      <c r="B16" s="64" t="s">
        <v>15</v>
      </c>
      <c r="C16" s="5">
        <f t="shared" si="8"/>
        <v>7.125</v>
      </c>
      <c r="D16" s="5">
        <v>6.2750000000000004</v>
      </c>
      <c r="E16" s="5">
        <v>7.35</v>
      </c>
      <c r="F16" s="5">
        <v>7.75</v>
      </c>
      <c r="G16" s="6">
        <v>1.5</v>
      </c>
      <c r="H16" s="7">
        <f t="shared" si="6"/>
        <v>10.6875</v>
      </c>
      <c r="I16" s="76"/>
      <c r="J16" s="77"/>
      <c r="K16" s="8"/>
      <c r="L16" s="8" t="str">
        <f t="shared" si="9"/>
        <v>NA</v>
      </c>
      <c r="O16" s="8">
        <f t="shared" si="7"/>
        <v>9.4125000000000014</v>
      </c>
      <c r="P16" s="8">
        <f t="shared" si="10"/>
        <v>11.024999999999999</v>
      </c>
      <c r="Q16" s="8">
        <f t="shared" si="11"/>
        <v>11.625</v>
      </c>
    </row>
    <row r="17" spans="2:17" ht="16.5" thickBot="1" x14ac:dyDescent="0.3">
      <c r="B17" s="64" t="s">
        <v>52</v>
      </c>
      <c r="C17" s="5">
        <f t="shared" si="8"/>
        <v>10.4</v>
      </c>
      <c r="D17" s="5">
        <v>6.7</v>
      </c>
      <c r="E17" s="5">
        <v>10.5</v>
      </c>
      <c r="F17" s="5">
        <v>14</v>
      </c>
      <c r="G17" s="6">
        <v>1</v>
      </c>
      <c r="H17" s="7">
        <f t="shared" si="6"/>
        <v>10.4</v>
      </c>
      <c r="I17" s="76"/>
      <c r="J17" s="77"/>
      <c r="K17" s="8"/>
      <c r="L17" s="8" t="str">
        <f t="shared" si="9"/>
        <v>NA</v>
      </c>
      <c r="O17" s="8">
        <f t="shared" si="7"/>
        <v>6.7</v>
      </c>
      <c r="P17" s="8">
        <f t="shared" si="10"/>
        <v>10.5</v>
      </c>
      <c r="Q17" s="8">
        <f t="shared" si="11"/>
        <v>14</v>
      </c>
    </row>
    <row r="18" spans="2:17" ht="16.149999999999999" customHeight="1" thickBot="1" x14ac:dyDescent="0.3">
      <c r="B18" s="78" t="s">
        <v>59</v>
      </c>
      <c r="C18" s="79"/>
      <c r="D18" s="79"/>
      <c r="E18" s="79"/>
      <c r="F18" s="79"/>
      <c r="G18" s="79"/>
      <c r="H18" s="79"/>
      <c r="I18" s="79"/>
      <c r="J18" s="79"/>
      <c r="K18" s="79"/>
      <c r="L18" s="80"/>
    </row>
    <row r="19" spans="2:17" ht="16.5" thickBot="1" x14ac:dyDescent="0.3">
      <c r="B19" s="9" t="s">
        <v>16</v>
      </c>
      <c r="C19" s="86">
        <f>(SUM(H14:H17)/SUM(G14:G17))</f>
        <v>7.791666666666667</v>
      </c>
      <c r="D19" s="86"/>
      <c r="E19" s="86"/>
      <c r="F19" s="86"/>
      <c r="G19" s="87" t="s">
        <v>13</v>
      </c>
      <c r="H19" s="87"/>
      <c r="I19" s="69"/>
      <c r="J19" s="88"/>
      <c r="K19" s="88"/>
      <c r="L19" s="89"/>
    </row>
    <row r="20" spans="2:17" ht="16.5" thickBot="1" x14ac:dyDescent="0.3">
      <c r="B20" s="92"/>
      <c r="C20" s="93"/>
      <c r="D20" s="93"/>
      <c r="E20" s="93"/>
      <c r="F20" s="93"/>
      <c r="G20" s="93"/>
      <c r="H20" s="93"/>
      <c r="I20" s="93"/>
      <c r="J20" s="93"/>
      <c r="K20" s="93"/>
      <c r="L20" s="94"/>
    </row>
    <row r="21" spans="2:17" ht="16.5" thickBot="1" x14ac:dyDescent="0.3">
      <c r="B21" s="64" t="s">
        <v>9</v>
      </c>
      <c r="C21" s="5">
        <f>(D21+F21+E21)/3</f>
        <v>3.3583333333333329</v>
      </c>
      <c r="D21" s="5">
        <v>3.125</v>
      </c>
      <c r="E21" s="5">
        <v>2.9499999999999997</v>
      </c>
      <c r="F21" s="8">
        <v>4</v>
      </c>
      <c r="G21" s="6">
        <v>2</v>
      </c>
      <c r="H21" s="7">
        <f t="shared" ref="H21:H24" si="12">C21*G21</f>
        <v>6.7166666666666659</v>
      </c>
      <c r="I21" s="76"/>
      <c r="J21" s="77"/>
      <c r="K21" s="8"/>
      <c r="L21" s="8" t="str">
        <f t="shared" ref="L21:L24" si="13">IF(C21&lt;11,"NA",IF(C21&lt;15,"ECA",IF(C21&lt;18,"A",IF(C21&lt;20,"A+"))))</f>
        <v>NA</v>
      </c>
      <c r="O21" s="8">
        <f t="shared" ref="O21:O24" si="14">D21*G21</f>
        <v>6.25</v>
      </c>
      <c r="P21" s="8">
        <f>E21*G21</f>
        <v>5.8999999999999995</v>
      </c>
      <c r="Q21" s="8">
        <f>G21*F21</f>
        <v>8</v>
      </c>
    </row>
    <row r="22" spans="2:17" ht="16.5" thickBot="1" x14ac:dyDescent="0.3">
      <c r="B22" s="64" t="s">
        <v>10</v>
      </c>
      <c r="C22" s="5">
        <f t="shared" ref="C22:C24" si="15">(D22+F22+E22)/3</f>
        <v>8.0783333333333331</v>
      </c>
      <c r="D22" s="5">
        <v>6.35</v>
      </c>
      <c r="E22" s="5">
        <v>6.3849999999999998</v>
      </c>
      <c r="F22" s="8">
        <v>11.5</v>
      </c>
      <c r="G22" s="6">
        <v>4</v>
      </c>
      <c r="H22" s="7">
        <f t="shared" si="12"/>
        <v>32.313333333333333</v>
      </c>
      <c r="I22" s="76"/>
      <c r="J22" s="77"/>
      <c r="K22" s="8"/>
      <c r="L22" s="8" t="str">
        <f t="shared" si="13"/>
        <v>NA</v>
      </c>
      <c r="O22" s="8">
        <f t="shared" si="14"/>
        <v>25.4</v>
      </c>
      <c r="P22" s="8">
        <f t="shared" ref="P22:P24" si="16">E22*G22</f>
        <v>25.54</v>
      </c>
      <c r="Q22" s="8">
        <f t="shared" ref="Q22:Q24" si="17">G22*F22</f>
        <v>46</v>
      </c>
    </row>
    <row r="23" spans="2:17" ht="16.5" thickBot="1" x14ac:dyDescent="0.3">
      <c r="B23" s="64" t="s">
        <v>56</v>
      </c>
      <c r="C23" s="5">
        <f>F23</f>
        <v>9</v>
      </c>
      <c r="D23" s="5"/>
      <c r="E23" s="5"/>
      <c r="F23" s="8">
        <v>9</v>
      </c>
      <c r="G23" s="6">
        <v>2</v>
      </c>
      <c r="H23" s="7">
        <f t="shared" si="12"/>
        <v>18</v>
      </c>
      <c r="I23" s="76"/>
      <c r="J23" s="77"/>
      <c r="K23" s="8"/>
      <c r="L23" s="8" t="str">
        <f t="shared" si="13"/>
        <v>NA</v>
      </c>
      <c r="O23" s="8">
        <f t="shared" si="14"/>
        <v>0</v>
      </c>
      <c r="P23" s="8">
        <f t="shared" si="16"/>
        <v>0</v>
      </c>
      <c r="Q23" s="8">
        <f t="shared" si="17"/>
        <v>18</v>
      </c>
    </row>
    <row r="24" spans="2:17" ht="16.5" thickBot="1" x14ac:dyDescent="0.3">
      <c r="B24" s="64" t="s">
        <v>11</v>
      </c>
      <c r="C24" s="5">
        <f t="shared" si="15"/>
        <v>6.56</v>
      </c>
      <c r="D24" s="5">
        <v>5.45</v>
      </c>
      <c r="E24" s="5">
        <v>3.73</v>
      </c>
      <c r="F24" s="8">
        <v>10.5</v>
      </c>
      <c r="G24" s="6">
        <v>2</v>
      </c>
      <c r="H24" s="7">
        <f t="shared" si="12"/>
        <v>13.12</v>
      </c>
      <c r="I24" s="76"/>
      <c r="J24" s="77"/>
      <c r="K24" s="8"/>
      <c r="L24" s="8" t="str">
        <f t="shared" si="13"/>
        <v>NA</v>
      </c>
      <c r="O24" s="8">
        <f t="shared" si="14"/>
        <v>10.9</v>
      </c>
      <c r="P24" s="8">
        <f t="shared" si="16"/>
        <v>7.46</v>
      </c>
      <c r="Q24" s="8">
        <f t="shared" si="17"/>
        <v>21</v>
      </c>
    </row>
    <row r="25" spans="2:17" ht="16.149999999999999" customHeight="1" thickBot="1" x14ac:dyDescent="0.3">
      <c r="B25" s="78" t="s">
        <v>60</v>
      </c>
      <c r="C25" s="79"/>
      <c r="D25" s="79"/>
      <c r="E25" s="79"/>
      <c r="F25" s="79"/>
      <c r="G25" s="79"/>
      <c r="H25" s="79"/>
      <c r="I25" s="79"/>
      <c r="J25" s="79"/>
      <c r="K25" s="79"/>
      <c r="L25" s="80"/>
    </row>
    <row r="26" spans="2:17" ht="16.5" thickBot="1" x14ac:dyDescent="0.3">
      <c r="B26" s="9" t="s">
        <v>12</v>
      </c>
      <c r="C26" s="86">
        <f>(SUM(H21:H24)/SUM(G21:G24))</f>
        <v>7.0150000000000006</v>
      </c>
      <c r="D26" s="86"/>
      <c r="E26" s="86"/>
      <c r="F26" s="86"/>
      <c r="G26" s="87" t="s">
        <v>13</v>
      </c>
      <c r="H26" s="87"/>
      <c r="I26" s="69"/>
      <c r="J26" s="88"/>
      <c r="K26" s="88"/>
      <c r="L26" s="89"/>
    </row>
    <row r="27" spans="2:17" ht="16.5" thickBot="1" x14ac:dyDescent="0.3">
      <c r="B27" s="81"/>
      <c r="C27" s="82"/>
      <c r="D27" s="82"/>
      <c r="E27" s="82"/>
      <c r="F27" s="82"/>
      <c r="G27" s="82"/>
      <c r="H27" s="82"/>
      <c r="I27" s="100"/>
      <c r="J27" s="100"/>
      <c r="K27" s="100"/>
      <c r="L27" s="83"/>
    </row>
    <row r="28" spans="2:17" ht="16.5" thickBot="1" x14ac:dyDescent="0.3">
      <c r="B28" s="64" t="s">
        <v>53</v>
      </c>
      <c r="C28" s="5">
        <f>(D28+F28+E28)/2</f>
        <v>14.5</v>
      </c>
      <c r="D28" s="8">
        <v>15.5</v>
      </c>
      <c r="E28" s="8">
        <v>13.5</v>
      </c>
      <c r="F28" s="8">
        <v>0</v>
      </c>
      <c r="G28" s="6">
        <v>1</v>
      </c>
      <c r="H28" s="7">
        <f t="shared" ref="H28:H31" si="18">C28*G28</f>
        <v>14.5</v>
      </c>
      <c r="I28" s="76"/>
      <c r="J28" s="77"/>
      <c r="K28" s="8"/>
      <c r="L28" s="8" t="str">
        <f t="shared" ref="L28:L31" si="19">IF(C28&lt;11,"NA",IF(C28&lt;15,"ECA",IF(C28&lt;18,"A",IF(C28&lt;20,"A+"))))</f>
        <v>ECA</v>
      </c>
      <c r="O28" s="8">
        <f t="shared" ref="O28:O31" si="20">D28*G28</f>
        <v>15.5</v>
      </c>
      <c r="P28" s="8">
        <f>E28*G28</f>
        <v>13.5</v>
      </c>
      <c r="Q28" s="8">
        <f>G28*F28</f>
        <v>0</v>
      </c>
    </row>
    <row r="29" spans="2:17" ht="16.5" thickBot="1" x14ac:dyDescent="0.3">
      <c r="B29" s="64" t="s">
        <v>48</v>
      </c>
      <c r="C29" s="5">
        <f t="shared" ref="C29:C31" si="21">(D29+F29+E29)/3</f>
        <v>12.75</v>
      </c>
      <c r="D29" s="8">
        <v>13.45</v>
      </c>
      <c r="E29" s="8">
        <v>14.8</v>
      </c>
      <c r="F29" s="8">
        <v>10</v>
      </c>
      <c r="G29" s="6">
        <v>2</v>
      </c>
      <c r="H29" s="7">
        <f t="shared" si="18"/>
        <v>25.5</v>
      </c>
      <c r="I29" s="76"/>
      <c r="J29" s="77"/>
      <c r="K29" s="8"/>
      <c r="L29" s="8" t="str">
        <f t="shared" si="19"/>
        <v>ECA</v>
      </c>
      <c r="O29" s="8">
        <f t="shared" si="20"/>
        <v>26.9</v>
      </c>
      <c r="P29" s="8">
        <f t="shared" ref="P29:P31" si="22">E29*G29</f>
        <v>29.6</v>
      </c>
      <c r="Q29" s="8">
        <f t="shared" ref="Q29:Q31" si="23">G29*F29</f>
        <v>20</v>
      </c>
    </row>
    <row r="30" spans="2:17" ht="16.5" thickBot="1" x14ac:dyDescent="0.3">
      <c r="B30" s="64" t="s">
        <v>49</v>
      </c>
      <c r="C30" s="5">
        <f>(D30+F30+E30)/2</f>
        <v>10.25</v>
      </c>
      <c r="D30" s="8">
        <v>12.5</v>
      </c>
      <c r="E30" s="8">
        <v>8</v>
      </c>
      <c r="F30" s="8">
        <v>0</v>
      </c>
      <c r="G30" s="6">
        <v>1</v>
      </c>
      <c r="H30" s="7">
        <f t="shared" si="18"/>
        <v>10.25</v>
      </c>
      <c r="I30" s="76"/>
      <c r="J30" s="77"/>
      <c r="K30" s="8"/>
      <c r="L30" s="8" t="str">
        <f t="shared" si="19"/>
        <v>NA</v>
      </c>
      <c r="O30" s="8">
        <f t="shared" si="20"/>
        <v>12.5</v>
      </c>
      <c r="P30" s="8">
        <f t="shared" si="22"/>
        <v>8</v>
      </c>
      <c r="Q30" s="8">
        <f t="shared" si="23"/>
        <v>0</v>
      </c>
    </row>
    <row r="31" spans="2:17" ht="16.5" thickBot="1" x14ac:dyDescent="0.3">
      <c r="B31" s="64" t="s">
        <v>18</v>
      </c>
      <c r="C31" s="5">
        <f t="shared" si="21"/>
        <v>16.166666666666668</v>
      </c>
      <c r="D31" s="8">
        <v>16.5</v>
      </c>
      <c r="E31" s="8">
        <v>16</v>
      </c>
      <c r="F31" s="8">
        <v>16</v>
      </c>
      <c r="G31" s="6">
        <v>1</v>
      </c>
      <c r="H31" s="7">
        <f t="shared" si="18"/>
        <v>16.166666666666668</v>
      </c>
      <c r="I31" s="76"/>
      <c r="J31" s="77"/>
      <c r="K31" s="8"/>
      <c r="L31" s="8" t="str">
        <f t="shared" si="19"/>
        <v>A</v>
      </c>
      <c r="O31" s="8">
        <f t="shared" si="20"/>
        <v>16.5</v>
      </c>
      <c r="P31" s="8">
        <f t="shared" si="22"/>
        <v>16</v>
      </c>
      <c r="Q31" s="8">
        <f t="shared" si="23"/>
        <v>16</v>
      </c>
    </row>
    <row r="32" spans="2:17" ht="16.149999999999999" customHeight="1" thickBot="1" x14ac:dyDescent="0.3">
      <c r="B32" s="64" t="s">
        <v>57</v>
      </c>
      <c r="C32" s="65"/>
      <c r="D32" s="65"/>
      <c r="E32" s="65"/>
      <c r="F32" s="65"/>
      <c r="G32" s="65"/>
      <c r="H32" s="65"/>
      <c r="I32" s="65"/>
      <c r="J32" s="65"/>
      <c r="K32" s="65"/>
      <c r="L32" s="66"/>
      <c r="O32" s="1">
        <f>SUM(O6:O31)</f>
        <v>175.76250000000002</v>
      </c>
      <c r="P32" s="1">
        <f>SUM(P6:P31)</f>
        <v>205.33249999999998</v>
      </c>
      <c r="Q32" s="1">
        <f>SUM(Q5:Q31)</f>
        <v>258.5</v>
      </c>
    </row>
    <row r="33" spans="2:17" ht="16.5" thickBot="1" x14ac:dyDescent="0.3">
      <c r="B33" s="9" t="s">
        <v>16</v>
      </c>
      <c r="C33" s="86">
        <f>(SUM(H28:H31)/SUM(G28:G31))</f>
        <v>13.283333333333335</v>
      </c>
      <c r="D33" s="86"/>
      <c r="E33" s="86"/>
      <c r="F33" s="86"/>
      <c r="G33" s="87" t="s">
        <v>13</v>
      </c>
      <c r="H33" s="87"/>
      <c r="I33" s="69"/>
      <c r="J33" s="88"/>
      <c r="K33" s="88"/>
      <c r="L33" s="89"/>
      <c r="O33" s="1">
        <v>26</v>
      </c>
      <c r="P33" s="1">
        <v>26</v>
      </c>
      <c r="Q33" s="1">
        <v>30</v>
      </c>
    </row>
    <row r="34" spans="2:17" ht="16.5" thickBot="1" x14ac:dyDescent="0.3">
      <c r="B34" s="81"/>
      <c r="C34" s="82"/>
      <c r="D34" s="82"/>
      <c r="E34" s="82"/>
      <c r="F34" s="82"/>
      <c r="G34" s="82"/>
      <c r="H34" s="82"/>
      <c r="I34" s="82"/>
      <c r="J34" s="82"/>
      <c r="K34" s="82"/>
      <c r="L34" s="83"/>
      <c r="O34" s="1">
        <f>O32/O33</f>
        <v>6.7600961538461544</v>
      </c>
      <c r="P34" s="1">
        <f>P32/P33</f>
        <v>7.8974038461538454</v>
      </c>
      <c r="Q34" s="1">
        <f>Q32/Q33</f>
        <v>8.6166666666666671</v>
      </c>
    </row>
    <row r="35" spans="2:17" s="17" customFormat="1" ht="48" thickBot="1" x14ac:dyDescent="0.3">
      <c r="B35" s="64" t="s">
        <v>19</v>
      </c>
      <c r="C35" s="70" t="s">
        <v>20</v>
      </c>
      <c r="D35" s="69"/>
      <c r="E35" s="69"/>
      <c r="F35" s="71" t="s">
        <v>21</v>
      </c>
      <c r="G35" s="88"/>
      <c r="H35" s="88"/>
      <c r="I35" s="71" t="s">
        <v>22</v>
      </c>
      <c r="J35" s="88"/>
      <c r="K35" s="88"/>
      <c r="L35" s="72"/>
    </row>
    <row r="36" spans="2:17" x14ac:dyDescent="0.25">
      <c r="B36" s="18"/>
      <c r="C36" s="19" t="s">
        <v>1</v>
      </c>
      <c r="D36" s="19" t="s">
        <v>63</v>
      </c>
      <c r="E36" s="19" t="s">
        <v>65</v>
      </c>
      <c r="F36" s="20"/>
      <c r="G36" s="20"/>
      <c r="H36" s="21"/>
      <c r="I36" s="101"/>
      <c r="J36" s="100"/>
      <c r="K36" s="100"/>
      <c r="L36" s="102"/>
    </row>
    <row r="37" spans="2:17" x14ac:dyDescent="0.25">
      <c r="B37" s="22" t="s">
        <v>23</v>
      </c>
      <c r="C37" s="23">
        <f>O34</f>
        <v>6.7600961538461544</v>
      </c>
      <c r="D37" s="23">
        <f>P34</f>
        <v>7.8974038461538454</v>
      </c>
      <c r="E37" s="23">
        <f>Q34</f>
        <v>8.6166666666666671</v>
      </c>
      <c r="F37" s="32" t="s">
        <v>66</v>
      </c>
      <c r="G37" s="25">
        <f>(H5+H6+H7+H8+H9+H10+H14+H15+H16+H17+H21+H22+H23+H24+H28+H29+H30+H31)/32</f>
        <v>8.1181770833333342</v>
      </c>
      <c r="H37" s="24" t="s">
        <v>25</v>
      </c>
      <c r="I37" s="103" t="s">
        <v>26</v>
      </c>
      <c r="J37" s="104"/>
      <c r="K37" s="26"/>
      <c r="L37" s="27" t="s">
        <v>25</v>
      </c>
    </row>
    <row r="38" spans="2:17" ht="16.149999999999999" customHeight="1" thickBot="1" x14ac:dyDescent="0.3">
      <c r="B38" s="95"/>
      <c r="C38" s="96"/>
      <c r="D38" s="96"/>
      <c r="E38" s="96"/>
      <c r="F38" s="96"/>
      <c r="G38" s="96"/>
      <c r="H38" s="96"/>
      <c r="I38" s="97"/>
      <c r="J38" s="98"/>
      <c r="K38" s="98"/>
      <c r="L38" s="99"/>
    </row>
    <row r="39" spans="2:17" ht="16.149999999999999" customHeight="1" thickBot="1" x14ac:dyDescent="0.3">
      <c r="B39" s="105" t="s">
        <v>67</v>
      </c>
      <c r="C39" s="106"/>
      <c r="D39" s="106"/>
      <c r="E39" s="106"/>
      <c r="F39" s="106"/>
      <c r="G39" s="106"/>
      <c r="H39" s="106"/>
      <c r="I39" s="106"/>
      <c r="J39" s="106"/>
      <c r="K39" s="106"/>
      <c r="L39" s="107"/>
    </row>
    <row r="40" spans="2:17" ht="16.149999999999999" customHeight="1" thickBot="1" x14ac:dyDescent="0.3">
      <c r="B40" s="108" t="s">
        <v>28</v>
      </c>
      <c r="C40" s="88"/>
      <c r="D40" s="88"/>
      <c r="E40" s="88"/>
      <c r="F40" s="88"/>
      <c r="G40" s="88"/>
      <c r="H40" s="88"/>
      <c r="I40" s="88"/>
      <c r="J40" s="88"/>
      <c r="K40" s="88"/>
      <c r="L40" s="89"/>
    </row>
    <row r="41" spans="2:17" ht="16.5" thickBot="1" x14ac:dyDescent="0.3">
      <c r="B41" s="64" t="s">
        <v>29</v>
      </c>
      <c r="C41" s="81" t="s">
        <v>30</v>
      </c>
      <c r="D41" s="82"/>
      <c r="E41" s="82"/>
      <c r="F41" s="83"/>
      <c r="G41" s="109" t="s">
        <v>31</v>
      </c>
      <c r="H41" s="110"/>
      <c r="I41" s="110"/>
      <c r="J41" s="110"/>
      <c r="K41" s="110"/>
      <c r="L41" s="111"/>
    </row>
    <row r="42" spans="2:17" ht="16.149999999999999" customHeight="1" thickBot="1" x14ac:dyDescent="0.3">
      <c r="B42" s="42" t="s">
        <v>32</v>
      </c>
      <c r="C42" s="110" t="str">
        <f>IF(G37&lt;11,"NA",IF(G37&lt;15,"ECA",IF(G37&lt;18,"A",IF(G37&lt;20,"A+"))))</f>
        <v>NA</v>
      </c>
      <c r="D42" s="110" t="e">
        <f>IF(#REF!&lt;11,"NA",IF(#REF!&lt;15,"ECA",IF(#REF!&lt;18,"A",IF(#REF!&lt;20,"A+"))))</f>
        <v>#REF!</v>
      </c>
      <c r="E42" s="110"/>
      <c r="F42" s="111" t="e">
        <f>IF(#REF!&lt;11,"NA",IF(#REF!&lt;15,"ECA",IF(#REF!&lt;18,"A",IF(#REF!&lt;20,"A+"))))</f>
        <v>#REF!</v>
      </c>
      <c r="G42" s="112"/>
      <c r="H42" s="113"/>
      <c r="I42" s="113"/>
      <c r="J42" s="113"/>
      <c r="K42" s="113"/>
      <c r="L42" s="114"/>
    </row>
    <row r="43" spans="2:17" ht="16.149999999999999" customHeight="1" thickBot="1" x14ac:dyDescent="0.3">
      <c r="B43" s="43" t="s">
        <v>33</v>
      </c>
      <c r="C43" s="115" t="e">
        <f>IF(#REF!&lt;11,"NA",IF(#REF!&lt;15,"ECA",IF(#REF!&lt;18,"A",IF(#REF!&lt;20,"A+"))))</f>
        <v>#REF!</v>
      </c>
      <c r="D43" s="116" t="e">
        <f>IF(#REF!&lt;11,"NA",IF(#REF!&lt;15,"ECA",IF(#REF!&lt;18,"A",IF(#REF!&lt;20,"A+"))))</f>
        <v>#REF!</v>
      </c>
      <c r="E43" s="116"/>
      <c r="F43" s="117" t="e">
        <f>IF(#REF!&lt;11,"NA",IF(#REF!&lt;15,"ECA",IF(#REF!&lt;18,"A",IF(#REF!&lt;20,"A+"))))</f>
        <v>#REF!</v>
      </c>
      <c r="G43" s="108" t="s">
        <v>34</v>
      </c>
      <c r="H43" s="88"/>
      <c r="I43" s="88"/>
      <c r="J43" s="89"/>
      <c r="K43" s="109" t="s">
        <v>35</v>
      </c>
      <c r="L43" s="111"/>
    </row>
    <row r="44" spans="2:17" ht="16.149999999999999" customHeight="1" thickBot="1" x14ac:dyDescent="0.3">
      <c r="B44" s="29" t="s">
        <v>36</v>
      </c>
      <c r="C44" s="112" t="e">
        <f>IF(#REF!&lt;11,"NA",IF(#REF!&lt;15,"ECA",IF(#REF!&lt;18,"A",IF(#REF!&lt;20,"A+"))))</f>
        <v>#REF!</v>
      </c>
      <c r="D44" s="113" t="e">
        <f>IF(#REF!&lt;11,"NA",IF(#REF!&lt;15,"ECA",IF(#REF!&lt;18,"A",IF(#REF!&lt;20,"A+"))))</f>
        <v>#REF!</v>
      </c>
      <c r="E44" s="113"/>
      <c r="F44" s="114" t="e">
        <f>IF(#REF!&lt;11,"NA",IF(#REF!&lt;15,"ECA",IF(#REF!&lt;18,"A",IF(#REF!&lt;20,"A+"))))</f>
        <v>#REF!</v>
      </c>
      <c r="G44" s="108" t="s">
        <v>37</v>
      </c>
      <c r="H44" s="88"/>
      <c r="I44" s="88"/>
      <c r="J44" s="89"/>
      <c r="K44" s="118" t="s">
        <v>38</v>
      </c>
      <c r="L44" s="119"/>
    </row>
    <row r="45" spans="2:17" ht="16.149999999999999" customHeight="1" thickBot="1" x14ac:dyDescent="0.3">
      <c r="B45" s="70" t="s">
        <v>39</v>
      </c>
      <c r="C45" s="109" t="s">
        <v>40</v>
      </c>
      <c r="D45" s="110"/>
      <c r="E45" s="110"/>
      <c r="F45" s="111"/>
      <c r="G45" s="108" t="s">
        <v>41</v>
      </c>
      <c r="H45" s="88"/>
      <c r="I45" s="88"/>
      <c r="J45" s="89"/>
      <c r="K45" s="118"/>
      <c r="L45" s="119"/>
    </row>
    <row r="46" spans="2:17" ht="16.5" thickBot="1" x14ac:dyDescent="0.3">
      <c r="B46" s="70" t="s">
        <v>42</v>
      </c>
      <c r="C46" s="112"/>
      <c r="D46" s="113"/>
      <c r="E46" s="113"/>
      <c r="F46" s="114"/>
      <c r="G46" s="108" t="s">
        <v>43</v>
      </c>
      <c r="H46" s="88"/>
      <c r="I46" s="88"/>
      <c r="J46" s="89"/>
      <c r="K46" s="120" t="s">
        <v>44</v>
      </c>
      <c r="L46" s="121"/>
    </row>
    <row r="47" spans="2:17" ht="31.5" x14ac:dyDescent="0.25">
      <c r="B47" s="64" t="s">
        <v>45</v>
      </c>
      <c r="C47" s="101"/>
      <c r="D47" s="100"/>
      <c r="E47" s="100"/>
      <c r="F47" s="102"/>
      <c r="G47" s="101"/>
      <c r="H47" s="100"/>
      <c r="I47" s="100"/>
      <c r="J47" s="102"/>
      <c r="K47" s="120" t="s">
        <v>46</v>
      </c>
      <c r="L47" s="121"/>
    </row>
    <row r="48" spans="2:17" x14ac:dyDescent="0.25">
      <c r="B48" s="28"/>
      <c r="C48" s="122"/>
      <c r="D48" s="123"/>
      <c r="E48" s="123"/>
      <c r="F48" s="124"/>
      <c r="G48" s="122"/>
      <c r="H48" s="123"/>
      <c r="I48" s="123"/>
      <c r="J48" s="124"/>
      <c r="K48" s="128"/>
      <c r="L48" s="129"/>
    </row>
    <row r="49" spans="2:12" x14ac:dyDescent="0.25">
      <c r="B49" s="28"/>
      <c r="C49" s="122"/>
      <c r="D49" s="123"/>
      <c r="E49" s="123"/>
      <c r="F49" s="124"/>
      <c r="G49" s="122"/>
      <c r="H49" s="123"/>
      <c r="I49" s="123"/>
      <c r="J49" s="124"/>
      <c r="K49" s="128"/>
      <c r="L49" s="129"/>
    </row>
    <row r="50" spans="2:12" ht="16.5" thickBot="1" x14ac:dyDescent="0.3">
      <c r="B50" s="29"/>
      <c r="C50" s="125"/>
      <c r="D50" s="126"/>
      <c r="E50" s="126"/>
      <c r="F50" s="127"/>
      <c r="G50" s="125"/>
      <c r="H50" s="126"/>
      <c r="I50" s="126"/>
      <c r="J50" s="127"/>
      <c r="K50" s="97"/>
      <c r="L50" s="99"/>
    </row>
  </sheetData>
  <mergeCells count="62">
    <mergeCell ref="I28:J28"/>
    <mergeCell ref="I29:J29"/>
    <mergeCell ref="I30:J30"/>
    <mergeCell ref="I4:J4"/>
    <mergeCell ref="I6:J6"/>
    <mergeCell ref="I7:J7"/>
    <mergeCell ref="I9:J9"/>
    <mergeCell ref="I10:J10"/>
    <mergeCell ref="B11:L11"/>
    <mergeCell ref="B25:L25"/>
    <mergeCell ref="C26:F26"/>
    <mergeCell ref="G26:H26"/>
    <mergeCell ref="J26:L26"/>
    <mergeCell ref="B27:L27"/>
    <mergeCell ref="C12:F12"/>
    <mergeCell ref="G12:H12"/>
    <mergeCell ref="C45:F46"/>
    <mergeCell ref="G45:J45"/>
    <mergeCell ref="K45:L45"/>
    <mergeCell ref="G46:J46"/>
    <mergeCell ref="K46:L46"/>
    <mergeCell ref="J12:L12"/>
    <mergeCell ref="B13:L13"/>
    <mergeCell ref="I14:J14"/>
    <mergeCell ref="I15:J15"/>
    <mergeCell ref="I16:J16"/>
    <mergeCell ref="I17:J17"/>
    <mergeCell ref="B18:L18"/>
    <mergeCell ref="C19:F19"/>
    <mergeCell ref="G19:H19"/>
    <mergeCell ref="J19:L19"/>
    <mergeCell ref="B20:L20"/>
    <mergeCell ref="I21:J21"/>
    <mergeCell ref="I22:J22"/>
    <mergeCell ref="I23:J23"/>
    <mergeCell ref="I24:J24"/>
    <mergeCell ref="I31:J31"/>
    <mergeCell ref="C33:F33"/>
    <mergeCell ref="G33:H33"/>
    <mergeCell ref="J33:L33"/>
    <mergeCell ref="B34:L34"/>
    <mergeCell ref="G35:H35"/>
    <mergeCell ref="J35:K35"/>
    <mergeCell ref="I36:L36"/>
    <mergeCell ref="I37:J37"/>
    <mergeCell ref="B38:H38"/>
    <mergeCell ref="I38:L38"/>
    <mergeCell ref="B39:L39"/>
    <mergeCell ref="B40:L40"/>
    <mergeCell ref="C41:F41"/>
    <mergeCell ref="G41:L42"/>
    <mergeCell ref="C42:F44"/>
    <mergeCell ref="G43:J43"/>
    <mergeCell ref="K43:L43"/>
    <mergeCell ref="G44:J44"/>
    <mergeCell ref="K44:L44"/>
    <mergeCell ref="C47:F50"/>
    <mergeCell ref="G47:J50"/>
    <mergeCell ref="K47:L47"/>
    <mergeCell ref="K48:L48"/>
    <mergeCell ref="K49:L49"/>
    <mergeCell ref="K50:L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C50"/>
  <sheetViews>
    <sheetView zoomScale="60" zoomScaleNormal="60" workbookViewId="0">
      <selection activeCell="G37" sqref="G37"/>
    </sheetView>
  </sheetViews>
  <sheetFormatPr baseColWidth="10" defaultColWidth="11.42578125" defaultRowHeight="15.75" x14ac:dyDescent="0.25"/>
  <cols>
    <col min="1" max="1" width="11.42578125" style="1"/>
    <col min="2" max="2" width="44.140625" style="1" customWidth="1"/>
    <col min="3" max="3" width="12.140625" style="1" customWidth="1"/>
    <col min="4" max="5" width="11.42578125" style="1"/>
    <col min="6" max="6" width="15.5703125" style="1" customWidth="1"/>
    <col min="7" max="7" width="11.42578125" style="1"/>
    <col min="8" max="8" width="12.42578125" style="1" customWidth="1"/>
    <col min="9" max="11" width="11.42578125" style="1"/>
    <col min="12" max="12" width="18.28515625" style="1" bestFit="1" customWidth="1"/>
    <col min="13" max="16384" width="11.42578125" style="1"/>
  </cols>
  <sheetData>
    <row r="3" spans="2:29" ht="16.5" thickBot="1" x14ac:dyDescent="0.3"/>
    <row r="4" spans="2:29" ht="30.75" customHeight="1" thickBot="1" x14ac:dyDescent="0.3">
      <c r="B4" s="59" t="s">
        <v>0</v>
      </c>
      <c r="C4" s="68" t="s">
        <v>68</v>
      </c>
      <c r="D4" s="68" t="s">
        <v>1</v>
      </c>
      <c r="E4" s="68" t="s">
        <v>63</v>
      </c>
      <c r="F4" s="68" t="s">
        <v>64</v>
      </c>
      <c r="G4" s="68" t="s">
        <v>4</v>
      </c>
      <c r="H4" s="67" t="s">
        <v>5</v>
      </c>
      <c r="I4" s="84" t="s">
        <v>6</v>
      </c>
      <c r="J4" s="85"/>
      <c r="K4" s="68" t="s">
        <v>7</v>
      </c>
      <c r="L4" s="68" t="s">
        <v>8</v>
      </c>
    </row>
    <row r="5" spans="2:29" ht="18" customHeight="1" thickBot="1" x14ac:dyDescent="0.3">
      <c r="B5" s="60" t="s">
        <v>61</v>
      </c>
      <c r="C5" s="5">
        <f>F5</f>
        <v>13</v>
      </c>
      <c r="D5" s="58"/>
      <c r="E5" s="58"/>
      <c r="F5" s="5">
        <v>13</v>
      </c>
      <c r="G5" s="61">
        <v>2</v>
      </c>
      <c r="H5" s="7">
        <f>C5*G5</f>
        <v>26</v>
      </c>
      <c r="I5" s="67"/>
      <c r="J5" s="68"/>
      <c r="K5" s="58"/>
      <c r="L5" s="8" t="str">
        <f>IF(C5&lt;11,"NA",IF(C5&lt;15,"ECA",IF(C5&lt;18,"A",IF(C5&lt;20,"A+"))))</f>
        <v>ECA</v>
      </c>
      <c r="O5" s="8">
        <f>D5*G5</f>
        <v>0</v>
      </c>
      <c r="P5" s="8">
        <f>E5*G5</f>
        <v>0</v>
      </c>
      <c r="Q5" s="8">
        <f>G5*F5</f>
        <v>26</v>
      </c>
    </row>
    <row r="6" spans="2:29" ht="16.5" thickBot="1" x14ac:dyDescent="0.3">
      <c r="B6" s="64" t="s">
        <v>17</v>
      </c>
      <c r="C6" s="5">
        <f t="shared" ref="C6:C10" si="0">(D6+F6+E6)/3</f>
        <v>13.266666666666666</v>
      </c>
      <c r="D6" s="5">
        <v>12.8</v>
      </c>
      <c r="E6" s="5">
        <v>11.55</v>
      </c>
      <c r="F6" s="5">
        <v>15.45</v>
      </c>
      <c r="G6" s="6">
        <v>3</v>
      </c>
      <c r="H6" s="7">
        <f>C6*G6</f>
        <v>39.799999999999997</v>
      </c>
      <c r="I6" s="76"/>
      <c r="J6" s="77"/>
      <c r="K6" s="8"/>
      <c r="L6" s="8" t="str">
        <f>IF(C6&lt;11,"NA",IF(C6&lt;15,"ECA",IF(C6&lt;18,"A",IF(C6&lt;20,"A+"))))</f>
        <v>ECA</v>
      </c>
      <c r="O6" s="8">
        <f>D6*G6</f>
        <v>38.400000000000006</v>
      </c>
      <c r="P6" s="8">
        <f t="shared" ref="P6:P10" si="1">E6*G6</f>
        <v>34.650000000000006</v>
      </c>
      <c r="Q6" s="8">
        <f t="shared" ref="Q6:Q10" si="2">G6*F6</f>
        <v>46.349999999999994</v>
      </c>
    </row>
    <row r="7" spans="2:29" ht="16.5" thickBot="1" x14ac:dyDescent="0.3">
      <c r="B7" s="64" t="s">
        <v>54</v>
      </c>
      <c r="C7" s="5">
        <f t="shared" si="0"/>
        <v>7.5250000000000012</v>
      </c>
      <c r="D7" s="5">
        <v>8.85</v>
      </c>
      <c r="E7" s="5">
        <v>5.85</v>
      </c>
      <c r="F7" s="5">
        <v>7.875</v>
      </c>
      <c r="G7" s="6">
        <v>1</v>
      </c>
      <c r="H7" s="7">
        <f t="shared" ref="H7:H10" si="3">C7*G7</f>
        <v>7.5250000000000012</v>
      </c>
      <c r="I7" s="76"/>
      <c r="J7" s="77"/>
      <c r="K7" s="8"/>
      <c r="L7" s="8" t="str">
        <f t="shared" ref="L7:L10" si="4">IF(C7&lt;11,"NA",IF(C7&lt;15,"ECA",IF(C7&lt;18,"A",IF(C7&lt;20,"A+"))))</f>
        <v>NA</v>
      </c>
      <c r="O7" s="8">
        <f t="shared" ref="O7:O10" si="5">D7*G7</f>
        <v>8.85</v>
      </c>
      <c r="P7" s="8">
        <f t="shared" si="1"/>
        <v>5.85</v>
      </c>
      <c r="Q7" s="8">
        <f t="shared" si="2"/>
        <v>7.875</v>
      </c>
    </row>
    <row r="8" spans="2:29" ht="16.5" thickBot="1" x14ac:dyDescent="0.3">
      <c r="B8" s="64" t="s">
        <v>62</v>
      </c>
      <c r="C8" s="5">
        <f>F8</f>
        <v>17</v>
      </c>
      <c r="D8" s="5"/>
      <c r="E8" s="5"/>
      <c r="F8" s="5">
        <v>17</v>
      </c>
      <c r="G8" s="6">
        <v>2</v>
      </c>
      <c r="H8" s="7">
        <f t="shared" si="3"/>
        <v>34</v>
      </c>
      <c r="I8" s="62"/>
      <c r="J8" s="63"/>
      <c r="K8" s="8"/>
      <c r="L8" s="8" t="str">
        <f t="shared" si="4"/>
        <v>A</v>
      </c>
      <c r="O8" s="8">
        <f t="shared" si="5"/>
        <v>0</v>
      </c>
      <c r="P8" s="8">
        <f t="shared" si="1"/>
        <v>0</v>
      </c>
      <c r="Q8" s="8">
        <f t="shared" si="2"/>
        <v>34</v>
      </c>
    </row>
    <row r="9" spans="2:29" ht="16.5" thickBot="1" x14ac:dyDescent="0.3">
      <c r="B9" s="64" t="s">
        <v>50</v>
      </c>
      <c r="C9" s="5">
        <f t="shared" si="0"/>
        <v>9.9216666666666669</v>
      </c>
      <c r="D9" s="5">
        <v>10.5</v>
      </c>
      <c r="E9" s="5">
        <v>10.414999999999999</v>
      </c>
      <c r="F9" s="5">
        <v>8.85</v>
      </c>
      <c r="G9" s="6">
        <v>2</v>
      </c>
      <c r="H9" s="7">
        <f t="shared" si="3"/>
        <v>19.843333333333334</v>
      </c>
      <c r="I9" s="90"/>
      <c r="J9" s="91"/>
      <c r="K9" s="8"/>
      <c r="L9" s="8" t="str">
        <f t="shared" si="4"/>
        <v>NA</v>
      </c>
      <c r="O9" s="8">
        <f t="shared" si="5"/>
        <v>21</v>
      </c>
      <c r="P9" s="8">
        <f t="shared" si="1"/>
        <v>20.83</v>
      </c>
      <c r="Q9" s="8">
        <f t="shared" si="2"/>
        <v>17.7</v>
      </c>
    </row>
    <row r="10" spans="2:29" ht="16.5" thickBot="1" x14ac:dyDescent="0.3">
      <c r="B10" s="64" t="s">
        <v>51</v>
      </c>
      <c r="C10" s="5">
        <f t="shared" si="0"/>
        <v>11.183333333333332</v>
      </c>
      <c r="D10" s="5">
        <v>12.05</v>
      </c>
      <c r="E10" s="5">
        <v>10.899999999999999</v>
      </c>
      <c r="F10" s="5">
        <v>10.6</v>
      </c>
      <c r="G10" s="6">
        <v>1</v>
      </c>
      <c r="H10" s="7">
        <f t="shared" si="3"/>
        <v>11.183333333333332</v>
      </c>
      <c r="I10" s="76"/>
      <c r="J10" s="77"/>
      <c r="K10" s="8"/>
      <c r="L10" s="8" t="str">
        <f t="shared" si="4"/>
        <v>ECA</v>
      </c>
      <c r="O10" s="8">
        <f t="shared" si="5"/>
        <v>12.05</v>
      </c>
      <c r="P10" s="8">
        <f t="shared" si="1"/>
        <v>10.899999999999999</v>
      </c>
      <c r="Q10" s="8">
        <f t="shared" si="2"/>
        <v>10.6</v>
      </c>
    </row>
    <row r="11" spans="2:29" ht="16.5" thickBot="1" x14ac:dyDescent="0.3">
      <c r="B11" s="78" t="s">
        <v>58</v>
      </c>
      <c r="C11" s="79"/>
      <c r="D11" s="79"/>
      <c r="E11" s="79"/>
      <c r="F11" s="79"/>
      <c r="G11" s="79"/>
      <c r="H11" s="79"/>
      <c r="I11" s="79"/>
      <c r="J11" s="79"/>
      <c r="K11" s="79"/>
      <c r="L11" s="80"/>
    </row>
    <row r="12" spans="2:29" ht="16.5" thickBot="1" x14ac:dyDescent="0.3">
      <c r="B12" s="9" t="s">
        <v>12</v>
      </c>
      <c r="C12" s="86">
        <f>(SUM(H5:H10)/SUM(G5:G10))</f>
        <v>12.577424242424241</v>
      </c>
      <c r="D12" s="86"/>
      <c r="E12" s="86"/>
      <c r="F12" s="86"/>
      <c r="G12" s="87" t="s">
        <v>13</v>
      </c>
      <c r="H12" s="87"/>
      <c r="I12" s="69"/>
      <c r="J12" s="88"/>
      <c r="K12" s="88"/>
      <c r="L12" s="89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spans="2:29" ht="16.5" thickBot="1" x14ac:dyDescent="0.3">
      <c r="B13" s="81"/>
      <c r="C13" s="82"/>
      <c r="D13" s="82"/>
      <c r="E13" s="82"/>
      <c r="F13" s="82"/>
      <c r="G13" s="82"/>
      <c r="H13" s="82"/>
      <c r="I13" s="82"/>
      <c r="J13" s="82"/>
      <c r="K13" s="82"/>
      <c r="L13" s="83"/>
    </row>
    <row r="14" spans="2:29" ht="16.5" thickBot="1" x14ac:dyDescent="0.3">
      <c r="B14" s="64" t="s">
        <v>47</v>
      </c>
      <c r="C14" s="5">
        <f>(D14+F14+E14)/3</f>
        <v>15.783333333333333</v>
      </c>
      <c r="D14" s="5">
        <v>16.149999999999999</v>
      </c>
      <c r="E14" s="5">
        <v>16.700000000000003</v>
      </c>
      <c r="F14" s="5">
        <v>14.5</v>
      </c>
      <c r="G14" s="6">
        <v>2</v>
      </c>
      <c r="H14" s="7">
        <f t="shared" ref="H14:H17" si="6">C14*G14</f>
        <v>31.566666666666666</v>
      </c>
      <c r="I14" s="76"/>
      <c r="J14" s="77"/>
      <c r="K14" s="8"/>
      <c r="L14" s="8" t="str">
        <f>IF(C14&lt;11,"NA",IF(C14&lt;15,"ECA",IF(C14&lt;18,"A",IF(C14&lt;20,"A+"))))</f>
        <v>A</v>
      </c>
      <c r="O14" s="8">
        <f t="shared" ref="O14:O17" si="7">D14*G14</f>
        <v>32.299999999999997</v>
      </c>
      <c r="P14" s="8">
        <f>E14*G14</f>
        <v>33.400000000000006</v>
      </c>
      <c r="Q14" s="8">
        <f>G14*F14</f>
        <v>29</v>
      </c>
    </row>
    <row r="15" spans="2:29" ht="16.5" thickBot="1" x14ac:dyDescent="0.3">
      <c r="B15" s="64" t="s">
        <v>14</v>
      </c>
      <c r="C15" s="5">
        <f t="shared" ref="C15:C17" si="8">(D15+F15+E15)/3</f>
        <v>13.475</v>
      </c>
      <c r="D15" s="5">
        <v>12.125</v>
      </c>
      <c r="E15" s="5">
        <v>14.725</v>
      </c>
      <c r="F15" s="5">
        <v>13.574999999999999</v>
      </c>
      <c r="G15" s="6">
        <v>1.5</v>
      </c>
      <c r="H15" s="7">
        <f t="shared" si="6"/>
        <v>20.212499999999999</v>
      </c>
      <c r="I15" s="76"/>
      <c r="J15" s="77"/>
      <c r="K15" s="8"/>
      <c r="L15" s="8" t="str">
        <f t="shared" ref="L15:L17" si="9">IF(C15&lt;11,"NA",IF(C15&lt;15,"ECA",IF(C15&lt;18,"A",IF(C15&lt;20,"A+"))))</f>
        <v>ECA</v>
      </c>
      <c r="O15" s="8">
        <f t="shared" si="7"/>
        <v>18.1875</v>
      </c>
      <c r="P15" s="8">
        <f t="shared" ref="P15:P17" si="10">E15*G15</f>
        <v>22.087499999999999</v>
      </c>
      <c r="Q15" s="8">
        <f t="shared" ref="Q15:Q17" si="11">G15*F15</f>
        <v>20.362499999999997</v>
      </c>
    </row>
    <row r="16" spans="2:29" ht="16.5" thickBot="1" x14ac:dyDescent="0.3">
      <c r="B16" s="64" t="s">
        <v>15</v>
      </c>
      <c r="C16" s="5">
        <f t="shared" si="8"/>
        <v>13.341666666666669</v>
      </c>
      <c r="D16" s="5">
        <v>12.675000000000001</v>
      </c>
      <c r="E16" s="5">
        <v>14.475000000000001</v>
      </c>
      <c r="F16" s="5">
        <v>12.875</v>
      </c>
      <c r="G16" s="6">
        <v>1.5</v>
      </c>
      <c r="H16" s="7">
        <f t="shared" si="6"/>
        <v>20.012500000000003</v>
      </c>
      <c r="I16" s="76"/>
      <c r="J16" s="77"/>
      <c r="K16" s="8"/>
      <c r="L16" s="8" t="str">
        <f t="shared" si="9"/>
        <v>ECA</v>
      </c>
      <c r="O16" s="8">
        <f t="shared" si="7"/>
        <v>19.012500000000003</v>
      </c>
      <c r="P16" s="8">
        <f t="shared" si="10"/>
        <v>21.712500000000002</v>
      </c>
      <c r="Q16" s="8">
        <f t="shared" si="11"/>
        <v>19.3125</v>
      </c>
    </row>
    <row r="17" spans="2:17" ht="16.5" thickBot="1" x14ac:dyDescent="0.3">
      <c r="B17" s="64" t="s">
        <v>52</v>
      </c>
      <c r="C17" s="5">
        <f t="shared" si="8"/>
        <v>13.458333333333334</v>
      </c>
      <c r="D17" s="5">
        <v>11.75</v>
      </c>
      <c r="E17" s="5">
        <v>14.25</v>
      </c>
      <c r="F17" s="5">
        <v>14.375</v>
      </c>
      <c r="G17" s="6">
        <v>1</v>
      </c>
      <c r="H17" s="7">
        <f t="shared" si="6"/>
        <v>13.458333333333334</v>
      </c>
      <c r="I17" s="76"/>
      <c r="J17" s="77"/>
      <c r="K17" s="8"/>
      <c r="L17" s="8" t="str">
        <f t="shared" si="9"/>
        <v>ECA</v>
      </c>
      <c r="O17" s="8">
        <f t="shared" si="7"/>
        <v>11.75</v>
      </c>
      <c r="P17" s="8">
        <f t="shared" si="10"/>
        <v>14.25</v>
      </c>
      <c r="Q17" s="8">
        <f t="shared" si="11"/>
        <v>14.375</v>
      </c>
    </row>
    <row r="18" spans="2:17" ht="16.5" customHeight="1" thickBot="1" x14ac:dyDescent="0.3">
      <c r="B18" s="78" t="s">
        <v>59</v>
      </c>
      <c r="C18" s="79"/>
      <c r="D18" s="79"/>
      <c r="E18" s="79"/>
      <c r="F18" s="79"/>
      <c r="G18" s="79"/>
      <c r="H18" s="79"/>
      <c r="I18" s="79"/>
      <c r="J18" s="79"/>
      <c r="K18" s="79"/>
      <c r="L18" s="80"/>
    </row>
    <row r="19" spans="2:17" ht="16.149999999999999" customHeight="1" thickBot="1" x14ac:dyDescent="0.3">
      <c r="B19" s="9" t="s">
        <v>16</v>
      </c>
      <c r="C19" s="86">
        <f>(SUM(H14:H17)/SUM(G14:G17))</f>
        <v>14.208333333333334</v>
      </c>
      <c r="D19" s="86"/>
      <c r="E19" s="86"/>
      <c r="F19" s="86"/>
      <c r="G19" s="87" t="s">
        <v>13</v>
      </c>
      <c r="H19" s="87"/>
      <c r="I19" s="69"/>
      <c r="J19" s="88"/>
      <c r="K19" s="88"/>
      <c r="L19" s="89"/>
    </row>
    <row r="20" spans="2:17" ht="16.5" thickBot="1" x14ac:dyDescent="0.3">
      <c r="B20" s="92"/>
      <c r="C20" s="93"/>
      <c r="D20" s="93"/>
      <c r="E20" s="93"/>
      <c r="F20" s="93"/>
      <c r="G20" s="93"/>
      <c r="H20" s="93"/>
      <c r="I20" s="93"/>
      <c r="J20" s="93"/>
      <c r="K20" s="93"/>
      <c r="L20" s="94"/>
    </row>
    <row r="21" spans="2:17" ht="16.5" thickBot="1" x14ac:dyDescent="0.3">
      <c r="B21" s="64" t="s">
        <v>9</v>
      </c>
      <c r="C21" s="5">
        <f>(D21+F21+E21)/3</f>
        <v>13.674999999999999</v>
      </c>
      <c r="D21" s="5">
        <v>15.024999999999999</v>
      </c>
      <c r="E21" s="5">
        <v>12.399999999999999</v>
      </c>
      <c r="F21" s="8">
        <v>13.6</v>
      </c>
      <c r="G21" s="6">
        <v>2</v>
      </c>
      <c r="H21" s="7">
        <f t="shared" ref="H21:H24" si="12">C21*G21</f>
        <v>27.349999999999998</v>
      </c>
      <c r="I21" s="76"/>
      <c r="J21" s="77"/>
      <c r="K21" s="8"/>
      <c r="L21" s="8" t="str">
        <f t="shared" ref="L21:L24" si="13">IF(C21&lt;11,"NA",IF(C21&lt;15,"ECA",IF(C21&lt;18,"A",IF(C21&lt;20,"A+"))))</f>
        <v>ECA</v>
      </c>
      <c r="O21" s="8">
        <f t="shared" ref="O21:O24" si="14">D21*G21</f>
        <v>30.049999999999997</v>
      </c>
      <c r="P21" s="8">
        <f>E21*G21</f>
        <v>24.799999999999997</v>
      </c>
      <c r="Q21" s="8">
        <f>G21*F21</f>
        <v>27.2</v>
      </c>
    </row>
    <row r="22" spans="2:17" ht="16.5" thickBot="1" x14ac:dyDescent="0.3">
      <c r="B22" s="64" t="s">
        <v>10</v>
      </c>
      <c r="C22" s="5">
        <f t="shared" ref="C22:C24" si="15">(D22+F22+E22)/3</f>
        <v>11.943333333333333</v>
      </c>
      <c r="D22" s="5">
        <v>9.85</v>
      </c>
      <c r="E22" s="5">
        <v>12.379999999999999</v>
      </c>
      <c r="F22" s="8">
        <v>13.6</v>
      </c>
      <c r="G22" s="6">
        <v>4</v>
      </c>
      <c r="H22" s="7">
        <f t="shared" si="12"/>
        <v>47.773333333333333</v>
      </c>
      <c r="I22" s="76"/>
      <c r="J22" s="77"/>
      <c r="K22" s="8"/>
      <c r="L22" s="8" t="str">
        <f t="shared" si="13"/>
        <v>ECA</v>
      </c>
      <c r="O22" s="8">
        <f t="shared" si="14"/>
        <v>39.4</v>
      </c>
      <c r="P22" s="8">
        <f t="shared" ref="P22:P24" si="16">E22*G22</f>
        <v>49.519999999999996</v>
      </c>
      <c r="Q22" s="8">
        <f t="shared" ref="Q22:Q24" si="17">G22*F22</f>
        <v>54.4</v>
      </c>
    </row>
    <row r="23" spans="2:17" ht="16.5" thickBot="1" x14ac:dyDescent="0.3">
      <c r="B23" s="64" t="s">
        <v>56</v>
      </c>
      <c r="C23" s="5">
        <f>F23</f>
        <v>18</v>
      </c>
      <c r="D23" s="5"/>
      <c r="E23" s="5"/>
      <c r="F23" s="8">
        <v>18</v>
      </c>
      <c r="G23" s="6">
        <v>2</v>
      </c>
      <c r="H23" s="7">
        <f t="shared" si="12"/>
        <v>36</v>
      </c>
      <c r="I23" s="76"/>
      <c r="J23" s="77"/>
      <c r="K23" s="8"/>
      <c r="L23" s="8" t="str">
        <f t="shared" si="13"/>
        <v>A+</v>
      </c>
      <c r="O23" s="8">
        <f t="shared" si="14"/>
        <v>0</v>
      </c>
      <c r="P23" s="8">
        <f t="shared" si="16"/>
        <v>0</v>
      </c>
      <c r="Q23" s="8">
        <f t="shared" si="17"/>
        <v>36</v>
      </c>
    </row>
    <row r="24" spans="2:17" ht="16.5" thickBot="1" x14ac:dyDescent="0.3">
      <c r="B24" s="64" t="s">
        <v>11</v>
      </c>
      <c r="C24" s="5">
        <f t="shared" si="15"/>
        <v>12.85</v>
      </c>
      <c r="D24" s="5">
        <v>12.35</v>
      </c>
      <c r="E24" s="5">
        <v>11.2</v>
      </c>
      <c r="F24" s="8">
        <v>15</v>
      </c>
      <c r="G24" s="6">
        <v>2</v>
      </c>
      <c r="H24" s="7">
        <f t="shared" si="12"/>
        <v>25.7</v>
      </c>
      <c r="I24" s="76"/>
      <c r="J24" s="77"/>
      <c r="K24" s="8"/>
      <c r="L24" s="8" t="str">
        <f t="shared" si="13"/>
        <v>ECA</v>
      </c>
      <c r="O24" s="8">
        <f t="shared" si="14"/>
        <v>24.7</v>
      </c>
      <c r="P24" s="8">
        <f t="shared" si="16"/>
        <v>22.4</v>
      </c>
      <c r="Q24" s="8">
        <f t="shared" si="17"/>
        <v>30</v>
      </c>
    </row>
    <row r="25" spans="2:17" ht="16.5" customHeight="1" thickBot="1" x14ac:dyDescent="0.3">
      <c r="B25" s="78" t="s">
        <v>60</v>
      </c>
      <c r="C25" s="79"/>
      <c r="D25" s="79"/>
      <c r="E25" s="79"/>
      <c r="F25" s="79"/>
      <c r="G25" s="79"/>
      <c r="H25" s="79"/>
      <c r="I25" s="79"/>
      <c r="J25" s="79"/>
      <c r="K25" s="79"/>
      <c r="L25" s="80"/>
    </row>
    <row r="26" spans="2:17" ht="16.149999999999999" customHeight="1" thickBot="1" x14ac:dyDescent="0.3">
      <c r="B26" s="9" t="s">
        <v>12</v>
      </c>
      <c r="C26" s="86">
        <f>(SUM(H21:H24)/SUM(G21:G24))</f>
        <v>13.682333333333332</v>
      </c>
      <c r="D26" s="86"/>
      <c r="E26" s="86"/>
      <c r="F26" s="86"/>
      <c r="G26" s="87" t="s">
        <v>13</v>
      </c>
      <c r="H26" s="87"/>
      <c r="I26" s="69"/>
      <c r="J26" s="88"/>
      <c r="K26" s="88"/>
      <c r="L26" s="89"/>
    </row>
    <row r="27" spans="2:17" ht="16.5" thickBot="1" x14ac:dyDescent="0.3">
      <c r="B27" s="81"/>
      <c r="C27" s="82"/>
      <c r="D27" s="82"/>
      <c r="E27" s="82"/>
      <c r="F27" s="82"/>
      <c r="G27" s="82"/>
      <c r="H27" s="82"/>
      <c r="I27" s="100"/>
      <c r="J27" s="100"/>
      <c r="K27" s="100"/>
      <c r="L27" s="83"/>
    </row>
    <row r="28" spans="2:17" ht="16.5" thickBot="1" x14ac:dyDescent="0.3">
      <c r="B28" s="64" t="s">
        <v>53</v>
      </c>
      <c r="C28" s="5">
        <f>(D28+F28+E28)/3</f>
        <v>17.5</v>
      </c>
      <c r="D28" s="8">
        <v>18.5</v>
      </c>
      <c r="E28" s="8">
        <v>17</v>
      </c>
      <c r="F28" s="8">
        <v>17</v>
      </c>
      <c r="G28" s="6">
        <v>1</v>
      </c>
      <c r="H28" s="7">
        <f t="shared" ref="H28:H31" si="18">C28*G28</f>
        <v>17.5</v>
      </c>
      <c r="I28" s="76"/>
      <c r="J28" s="77"/>
      <c r="K28" s="8"/>
      <c r="L28" s="8" t="str">
        <f t="shared" ref="L28:L31" si="19">IF(C28&lt;11,"NA",IF(C28&lt;15,"ECA",IF(C28&lt;18,"A",IF(C28&lt;20,"A+"))))</f>
        <v>A</v>
      </c>
      <c r="O28" s="8">
        <f t="shared" ref="O28:O31" si="20">D28*G28</f>
        <v>18.5</v>
      </c>
      <c r="P28" s="8">
        <f>E28*G28</f>
        <v>17</v>
      </c>
      <c r="Q28" s="8">
        <f>G28*F28</f>
        <v>17</v>
      </c>
    </row>
    <row r="29" spans="2:17" ht="16.5" thickBot="1" x14ac:dyDescent="0.3">
      <c r="B29" s="64" t="s">
        <v>48</v>
      </c>
      <c r="C29" s="5">
        <f t="shared" ref="C29:C31" si="21">(D29+F29+E29)/3</f>
        <v>14.700000000000001</v>
      </c>
      <c r="D29" s="8">
        <v>13.9</v>
      </c>
      <c r="E29" s="8">
        <v>15.4</v>
      </c>
      <c r="F29" s="8">
        <v>14.8</v>
      </c>
      <c r="G29" s="6">
        <v>2</v>
      </c>
      <c r="H29" s="7">
        <f t="shared" si="18"/>
        <v>29.400000000000002</v>
      </c>
      <c r="I29" s="76"/>
      <c r="J29" s="77"/>
      <c r="K29" s="8"/>
      <c r="L29" s="8" t="str">
        <f t="shared" si="19"/>
        <v>ECA</v>
      </c>
      <c r="O29" s="8">
        <f t="shared" si="20"/>
        <v>27.8</v>
      </c>
      <c r="P29" s="8">
        <f t="shared" ref="P29:P31" si="22">E29*G29</f>
        <v>30.8</v>
      </c>
      <c r="Q29" s="8">
        <f t="shared" ref="Q29:Q31" si="23">G29*F29</f>
        <v>29.6</v>
      </c>
    </row>
    <row r="30" spans="2:17" ht="16.5" thickBot="1" x14ac:dyDescent="0.3">
      <c r="B30" s="64" t="s">
        <v>49</v>
      </c>
      <c r="C30" s="5">
        <f t="shared" si="21"/>
        <v>13.533333333333333</v>
      </c>
      <c r="D30" s="8">
        <v>13</v>
      </c>
      <c r="E30" s="8">
        <v>13.6</v>
      </c>
      <c r="F30" s="8">
        <v>14</v>
      </c>
      <c r="G30" s="6">
        <v>1</v>
      </c>
      <c r="H30" s="7">
        <f t="shared" si="18"/>
        <v>13.533333333333333</v>
      </c>
      <c r="I30" s="76"/>
      <c r="J30" s="77"/>
      <c r="K30" s="8"/>
      <c r="L30" s="8" t="str">
        <f t="shared" si="19"/>
        <v>ECA</v>
      </c>
      <c r="O30" s="8">
        <f t="shared" si="20"/>
        <v>13</v>
      </c>
      <c r="P30" s="8">
        <f t="shared" si="22"/>
        <v>13.6</v>
      </c>
      <c r="Q30" s="8">
        <f t="shared" si="23"/>
        <v>14</v>
      </c>
    </row>
    <row r="31" spans="2:17" ht="16.5" thickBot="1" x14ac:dyDescent="0.3">
      <c r="B31" s="64" t="s">
        <v>18</v>
      </c>
      <c r="C31" s="5">
        <f t="shared" si="21"/>
        <v>15.166666666666666</v>
      </c>
      <c r="D31" s="8">
        <v>13</v>
      </c>
      <c r="E31" s="8">
        <v>16</v>
      </c>
      <c r="F31" s="8">
        <v>16.5</v>
      </c>
      <c r="G31" s="6">
        <v>1</v>
      </c>
      <c r="H31" s="7">
        <f t="shared" si="18"/>
        <v>15.166666666666666</v>
      </c>
      <c r="I31" s="76"/>
      <c r="J31" s="77"/>
      <c r="K31" s="8"/>
      <c r="L31" s="8" t="str">
        <f t="shared" si="19"/>
        <v>A</v>
      </c>
      <c r="O31" s="8">
        <f t="shared" si="20"/>
        <v>13</v>
      </c>
      <c r="P31" s="8">
        <f t="shared" si="22"/>
        <v>16</v>
      </c>
      <c r="Q31" s="8">
        <f t="shared" si="23"/>
        <v>16.5</v>
      </c>
    </row>
    <row r="32" spans="2:17" ht="16.5" customHeight="1" thickBot="1" x14ac:dyDescent="0.3">
      <c r="B32" s="64" t="s">
        <v>57</v>
      </c>
      <c r="C32" s="65"/>
      <c r="D32" s="65"/>
      <c r="E32" s="65"/>
      <c r="F32" s="65"/>
      <c r="G32" s="65"/>
      <c r="H32" s="65"/>
      <c r="I32" s="65"/>
      <c r="J32" s="65"/>
      <c r="K32" s="65"/>
      <c r="L32" s="66"/>
      <c r="O32" s="1">
        <f>SUM(O6:O31)</f>
        <v>328.00000000000006</v>
      </c>
      <c r="P32" s="1">
        <f>SUM(P6:P31)</f>
        <v>337.8</v>
      </c>
      <c r="Q32" s="1">
        <f>SUM(Q5:Q31)</f>
        <v>450.27499999999998</v>
      </c>
    </row>
    <row r="33" spans="2:17" ht="16.149999999999999" customHeight="1" thickBot="1" x14ac:dyDescent="0.3">
      <c r="B33" s="9" t="s">
        <v>16</v>
      </c>
      <c r="C33" s="86">
        <f>(SUM(H28:H31)/SUM(G28:G31))</f>
        <v>15.120000000000001</v>
      </c>
      <c r="D33" s="86"/>
      <c r="E33" s="86"/>
      <c r="F33" s="86"/>
      <c r="G33" s="87" t="s">
        <v>13</v>
      </c>
      <c r="H33" s="87"/>
      <c r="I33" s="69"/>
      <c r="J33" s="88"/>
      <c r="K33" s="88"/>
      <c r="L33" s="89"/>
      <c r="O33" s="1">
        <v>26</v>
      </c>
      <c r="P33" s="1">
        <v>26</v>
      </c>
      <c r="Q33" s="1">
        <v>32</v>
      </c>
    </row>
    <row r="34" spans="2:17" ht="16.5" thickBot="1" x14ac:dyDescent="0.3">
      <c r="B34" s="81"/>
      <c r="C34" s="82"/>
      <c r="D34" s="82"/>
      <c r="E34" s="82"/>
      <c r="F34" s="82"/>
      <c r="G34" s="82"/>
      <c r="H34" s="82"/>
      <c r="I34" s="82"/>
      <c r="J34" s="82"/>
      <c r="K34" s="82"/>
      <c r="L34" s="83"/>
      <c r="O34" s="1">
        <f>O32/O33</f>
        <v>12.615384615384617</v>
      </c>
      <c r="P34" s="1">
        <f>P32/P33</f>
        <v>12.992307692307692</v>
      </c>
      <c r="Q34" s="1">
        <f>Q32/Q33</f>
        <v>14.071093749999999</v>
      </c>
    </row>
    <row r="35" spans="2:17" s="17" customFormat="1" ht="48" thickBot="1" x14ac:dyDescent="0.3">
      <c r="B35" s="64" t="s">
        <v>19</v>
      </c>
      <c r="C35" s="70" t="s">
        <v>20</v>
      </c>
      <c r="D35" s="69"/>
      <c r="E35" s="69"/>
      <c r="F35" s="71" t="s">
        <v>21</v>
      </c>
      <c r="G35" s="88"/>
      <c r="H35" s="88"/>
      <c r="I35" s="71" t="s">
        <v>22</v>
      </c>
      <c r="J35" s="88"/>
      <c r="K35" s="88"/>
      <c r="L35" s="72"/>
    </row>
    <row r="36" spans="2:17" x14ac:dyDescent="0.25">
      <c r="B36" s="18"/>
      <c r="C36" s="19" t="s">
        <v>1</v>
      </c>
      <c r="D36" s="19" t="s">
        <v>63</v>
      </c>
      <c r="E36" s="19" t="s">
        <v>65</v>
      </c>
      <c r="F36" s="20"/>
      <c r="G36" s="20"/>
      <c r="H36" s="21"/>
      <c r="I36" s="101"/>
      <c r="J36" s="100"/>
      <c r="K36" s="100"/>
      <c r="L36" s="102"/>
    </row>
    <row r="37" spans="2:17" x14ac:dyDescent="0.25">
      <c r="B37" s="22" t="s">
        <v>23</v>
      </c>
      <c r="C37" s="23">
        <f>O34</f>
        <v>12.615384615384617</v>
      </c>
      <c r="D37" s="23">
        <f>P34</f>
        <v>12.992307692307692</v>
      </c>
      <c r="E37" s="23">
        <f>Q34</f>
        <v>14.071093749999999</v>
      </c>
      <c r="F37" s="32" t="s">
        <v>66</v>
      </c>
      <c r="G37" s="25">
        <f>(H5+H6+H7+H8+H9+H10+H14+H15+H16+H17+H21+H22+H23+H24+H28+H29+H30+H31)/32</f>
        <v>13.625781249999999</v>
      </c>
      <c r="H37" s="24" t="s">
        <v>25</v>
      </c>
      <c r="I37" s="103" t="s">
        <v>26</v>
      </c>
      <c r="J37" s="104"/>
      <c r="K37" s="26"/>
      <c r="L37" s="27" t="s">
        <v>25</v>
      </c>
    </row>
    <row r="38" spans="2:17" ht="16.5" customHeight="1" thickBot="1" x14ac:dyDescent="0.3">
      <c r="B38" s="95"/>
      <c r="C38" s="96"/>
      <c r="D38" s="96"/>
      <c r="E38" s="96"/>
      <c r="F38" s="96"/>
      <c r="G38" s="96"/>
      <c r="H38" s="96"/>
      <c r="I38" s="97"/>
      <c r="J38" s="98"/>
      <c r="K38" s="98"/>
      <c r="L38" s="99"/>
    </row>
    <row r="39" spans="2:17" ht="16.5" customHeight="1" thickBot="1" x14ac:dyDescent="0.3">
      <c r="B39" s="105" t="s">
        <v>67</v>
      </c>
      <c r="C39" s="106"/>
      <c r="D39" s="106"/>
      <c r="E39" s="106"/>
      <c r="F39" s="106"/>
      <c r="G39" s="106"/>
      <c r="H39" s="106"/>
      <c r="I39" s="106"/>
      <c r="J39" s="106"/>
      <c r="K39" s="106"/>
      <c r="L39" s="107"/>
    </row>
    <row r="40" spans="2:17" ht="16.5" customHeight="1" thickBot="1" x14ac:dyDescent="0.3">
      <c r="B40" s="108" t="s">
        <v>28</v>
      </c>
      <c r="C40" s="88"/>
      <c r="D40" s="88"/>
      <c r="E40" s="88"/>
      <c r="F40" s="88"/>
      <c r="G40" s="88"/>
      <c r="H40" s="88"/>
      <c r="I40" s="88"/>
      <c r="J40" s="88"/>
      <c r="K40" s="88"/>
      <c r="L40" s="89"/>
    </row>
    <row r="41" spans="2:17" ht="16.149999999999999" customHeight="1" thickBot="1" x14ac:dyDescent="0.3">
      <c r="B41" s="64" t="s">
        <v>29</v>
      </c>
      <c r="C41" s="81" t="s">
        <v>30</v>
      </c>
      <c r="D41" s="82"/>
      <c r="E41" s="82"/>
      <c r="F41" s="83"/>
      <c r="G41" s="109" t="s">
        <v>31</v>
      </c>
      <c r="H41" s="110"/>
      <c r="I41" s="110"/>
      <c r="J41" s="110"/>
      <c r="K41" s="110"/>
      <c r="L41" s="111"/>
    </row>
    <row r="42" spans="2:17" ht="16.5" customHeight="1" thickBot="1" x14ac:dyDescent="0.3">
      <c r="B42" s="42" t="s">
        <v>32</v>
      </c>
      <c r="C42" s="110" t="str">
        <f>IF(G37&lt;11,"NA",IF(G37&lt;15,"ECA",IF(G37&lt;18,"A",IF(G37&lt;20,"A+"))))</f>
        <v>ECA</v>
      </c>
      <c r="D42" s="110" t="e">
        <f>IF(#REF!&lt;11,"NA",IF(#REF!&lt;15,"ECA",IF(#REF!&lt;18,"A",IF(#REF!&lt;20,"A+"))))</f>
        <v>#REF!</v>
      </c>
      <c r="E42" s="110"/>
      <c r="F42" s="111" t="e">
        <f>IF(#REF!&lt;11,"NA",IF(#REF!&lt;15,"ECA",IF(#REF!&lt;18,"A",IF(#REF!&lt;20,"A+"))))</f>
        <v>#REF!</v>
      </c>
      <c r="G42" s="112"/>
      <c r="H42" s="113"/>
      <c r="I42" s="113"/>
      <c r="J42" s="113"/>
      <c r="K42" s="113"/>
      <c r="L42" s="114"/>
    </row>
    <row r="43" spans="2:17" ht="16.5" customHeight="1" thickBot="1" x14ac:dyDescent="0.3">
      <c r="B43" s="43" t="s">
        <v>33</v>
      </c>
      <c r="C43" s="115" t="e">
        <f>IF(#REF!&lt;11,"NA",IF(#REF!&lt;15,"ECA",IF(#REF!&lt;18,"A",IF(#REF!&lt;20,"A+"))))</f>
        <v>#REF!</v>
      </c>
      <c r="D43" s="116" t="e">
        <f>IF(#REF!&lt;11,"NA",IF(#REF!&lt;15,"ECA",IF(#REF!&lt;18,"A",IF(#REF!&lt;20,"A+"))))</f>
        <v>#REF!</v>
      </c>
      <c r="E43" s="116"/>
      <c r="F43" s="117" t="e">
        <f>IF(#REF!&lt;11,"NA",IF(#REF!&lt;15,"ECA",IF(#REF!&lt;18,"A",IF(#REF!&lt;20,"A+"))))</f>
        <v>#REF!</v>
      </c>
      <c r="G43" s="108" t="s">
        <v>34</v>
      </c>
      <c r="H43" s="88"/>
      <c r="I43" s="88"/>
      <c r="J43" s="89"/>
      <c r="K43" s="109" t="s">
        <v>35</v>
      </c>
      <c r="L43" s="111"/>
    </row>
    <row r="44" spans="2:17" ht="16.5" customHeight="1" thickBot="1" x14ac:dyDescent="0.3">
      <c r="B44" s="29" t="s">
        <v>36</v>
      </c>
      <c r="C44" s="112" t="e">
        <f>IF(#REF!&lt;11,"NA",IF(#REF!&lt;15,"ECA",IF(#REF!&lt;18,"A",IF(#REF!&lt;20,"A+"))))</f>
        <v>#REF!</v>
      </c>
      <c r="D44" s="113" t="e">
        <f>IF(#REF!&lt;11,"NA",IF(#REF!&lt;15,"ECA",IF(#REF!&lt;18,"A",IF(#REF!&lt;20,"A+"))))</f>
        <v>#REF!</v>
      </c>
      <c r="E44" s="113"/>
      <c r="F44" s="114" t="e">
        <f>IF(#REF!&lt;11,"NA",IF(#REF!&lt;15,"ECA",IF(#REF!&lt;18,"A",IF(#REF!&lt;20,"A+"))))</f>
        <v>#REF!</v>
      </c>
      <c r="G44" s="108" t="s">
        <v>37</v>
      </c>
      <c r="H44" s="88"/>
      <c r="I44" s="88"/>
      <c r="J44" s="89"/>
      <c r="K44" s="118" t="s">
        <v>38</v>
      </c>
      <c r="L44" s="119"/>
    </row>
    <row r="45" spans="2:17" ht="16.5" customHeight="1" thickBot="1" x14ac:dyDescent="0.3">
      <c r="B45" s="70" t="s">
        <v>39</v>
      </c>
      <c r="C45" s="109" t="s">
        <v>40</v>
      </c>
      <c r="D45" s="110"/>
      <c r="E45" s="110"/>
      <c r="F45" s="111"/>
      <c r="G45" s="108" t="s">
        <v>41</v>
      </c>
      <c r="H45" s="88"/>
      <c r="I45" s="88"/>
      <c r="J45" s="89"/>
      <c r="K45" s="118"/>
      <c r="L45" s="119"/>
    </row>
    <row r="46" spans="2:17" ht="16.149999999999999" customHeight="1" thickBot="1" x14ac:dyDescent="0.3">
      <c r="B46" s="70" t="s">
        <v>42</v>
      </c>
      <c r="C46" s="112"/>
      <c r="D46" s="113"/>
      <c r="E46" s="113"/>
      <c r="F46" s="114"/>
      <c r="G46" s="108" t="s">
        <v>43</v>
      </c>
      <c r="H46" s="88"/>
      <c r="I46" s="88"/>
      <c r="J46" s="89"/>
      <c r="K46" s="120" t="s">
        <v>44</v>
      </c>
      <c r="L46" s="121"/>
    </row>
    <row r="47" spans="2:17" ht="31.5" x14ac:dyDescent="0.25">
      <c r="B47" s="64" t="s">
        <v>45</v>
      </c>
      <c r="C47" s="101"/>
      <c r="D47" s="100"/>
      <c r="E47" s="100"/>
      <c r="F47" s="102"/>
      <c r="G47" s="101"/>
      <c r="H47" s="100"/>
      <c r="I47" s="100"/>
      <c r="J47" s="102"/>
      <c r="K47" s="120" t="s">
        <v>46</v>
      </c>
      <c r="L47" s="121"/>
    </row>
    <row r="48" spans="2:17" x14ac:dyDescent="0.25">
      <c r="B48" s="28"/>
      <c r="C48" s="122"/>
      <c r="D48" s="123"/>
      <c r="E48" s="123"/>
      <c r="F48" s="124"/>
      <c r="G48" s="122"/>
      <c r="H48" s="123"/>
      <c r="I48" s="123"/>
      <c r="J48" s="124"/>
      <c r="K48" s="128"/>
      <c r="L48" s="129"/>
    </row>
    <row r="49" spans="2:12" x14ac:dyDescent="0.25">
      <c r="B49" s="28"/>
      <c r="C49" s="122"/>
      <c r="D49" s="123"/>
      <c r="E49" s="123"/>
      <c r="F49" s="124"/>
      <c r="G49" s="122"/>
      <c r="H49" s="123"/>
      <c r="I49" s="123"/>
      <c r="J49" s="124"/>
      <c r="K49" s="128"/>
      <c r="L49" s="129"/>
    </row>
    <row r="50" spans="2:12" ht="16.5" thickBot="1" x14ac:dyDescent="0.3">
      <c r="B50" s="29"/>
      <c r="C50" s="125"/>
      <c r="D50" s="126"/>
      <c r="E50" s="126"/>
      <c r="F50" s="127"/>
      <c r="G50" s="125"/>
      <c r="H50" s="126"/>
      <c r="I50" s="126"/>
      <c r="J50" s="127"/>
      <c r="K50" s="97"/>
      <c r="L50" s="99"/>
    </row>
  </sheetData>
  <mergeCells count="62">
    <mergeCell ref="B13:L13"/>
    <mergeCell ref="I14:J14"/>
    <mergeCell ref="I15:J15"/>
    <mergeCell ref="I16:J16"/>
    <mergeCell ref="I4:J4"/>
    <mergeCell ref="I6:J6"/>
    <mergeCell ref="I7:J7"/>
    <mergeCell ref="I9:J9"/>
    <mergeCell ref="I10:J10"/>
    <mergeCell ref="B11:L11"/>
    <mergeCell ref="C12:F12"/>
    <mergeCell ref="G12:H12"/>
    <mergeCell ref="J12:L12"/>
    <mergeCell ref="I28:J28"/>
    <mergeCell ref="I29:J29"/>
    <mergeCell ref="I30:J30"/>
    <mergeCell ref="I31:J31"/>
    <mergeCell ref="C33:F33"/>
    <mergeCell ref="G33:H33"/>
    <mergeCell ref="J33:L33"/>
    <mergeCell ref="B25:L25"/>
    <mergeCell ref="C26:F26"/>
    <mergeCell ref="G26:H26"/>
    <mergeCell ref="J26:L26"/>
    <mergeCell ref="B27:L27"/>
    <mergeCell ref="I17:J17"/>
    <mergeCell ref="B18:L18"/>
    <mergeCell ref="C19:F19"/>
    <mergeCell ref="G19:H19"/>
    <mergeCell ref="J19:L19"/>
    <mergeCell ref="B20:L20"/>
    <mergeCell ref="I21:J21"/>
    <mergeCell ref="I22:J22"/>
    <mergeCell ref="I23:J23"/>
    <mergeCell ref="I24:J24"/>
    <mergeCell ref="B34:L34"/>
    <mergeCell ref="G35:H35"/>
    <mergeCell ref="J35:K35"/>
    <mergeCell ref="I36:L36"/>
    <mergeCell ref="I37:J37"/>
    <mergeCell ref="B38:H38"/>
    <mergeCell ref="I38:L38"/>
    <mergeCell ref="B39:L39"/>
    <mergeCell ref="B40:L40"/>
    <mergeCell ref="C41:F41"/>
    <mergeCell ref="G41:L42"/>
    <mergeCell ref="C42:F44"/>
    <mergeCell ref="G43:J43"/>
    <mergeCell ref="K43:L43"/>
    <mergeCell ref="G44:J44"/>
    <mergeCell ref="K44:L44"/>
    <mergeCell ref="C45:F46"/>
    <mergeCell ref="G45:J45"/>
    <mergeCell ref="K45:L45"/>
    <mergeCell ref="G46:J46"/>
    <mergeCell ref="K46:L46"/>
    <mergeCell ref="C47:F50"/>
    <mergeCell ref="G47:J50"/>
    <mergeCell ref="K47:L47"/>
    <mergeCell ref="K48:L48"/>
    <mergeCell ref="K49:L49"/>
    <mergeCell ref="K50:L5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C50"/>
  <sheetViews>
    <sheetView zoomScale="60" zoomScaleNormal="60" workbookViewId="0">
      <selection activeCell="P14" sqref="P14"/>
    </sheetView>
  </sheetViews>
  <sheetFormatPr baseColWidth="10" defaultColWidth="11.42578125" defaultRowHeight="15.75" x14ac:dyDescent="0.25"/>
  <cols>
    <col min="1" max="1" width="11.42578125" style="1"/>
    <col min="2" max="2" width="44.140625" style="1" customWidth="1"/>
    <col min="3" max="3" width="12.140625" style="1" customWidth="1"/>
    <col min="4" max="5" width="11.42578125" style="1"/>
    <col min="6" max="6" width="15.5703125" style="1" customWidth="1"/>
    <col min="7" max="7" width="11.42578125" style="1"/>
    <col min="8" max="8" width="12.42578125" style="1" customWidth="1"/>
    <col min="9" max="11" width="11.42578125" style="1"/>
    <col min="12" max="12" width="18.28515625" style="1" bestFit="1" customWidth="1"/>
    <col min="13" max="16384" width="11.42578125" style="1"/>
  </cols>
  <sheetData>
    <row r="3" spans="2:29" ht="16.5" thickBot="1" x14ac:dyDescent="0.3"/>
    <row r="4" spans="2:29" ht="30.75" customHeight="1" thickBot="1" x14ac:dyDescent="0.3">
      <c r="B4" s="59" t="s">
        <v>0</v>
      </c>
      <c r="C4" s="68" t="s">
        <v>68</v>
      </c>
      <c r="D4" s="68" t="s">
        <v>1</v>
      </c>
      <c r="E4" s="68" t="s">
        <v>63</v>
      </c>
      <c r="F4" s="68" t="s">
        <v>64</v>
      </c>
      <c r="G4" s="68" t="s">
        <v>4</v>
      </c>
      <c r="H4" s="67" t="s">
        <v>5</v>
      </c>
      <c r="I4" s="84" t="s">
        <v>6</v>
      </c>
      <c r="J4" s="85"/>
      <c r="K4" s="68" t="s">
        <v>7</v>
      </c>
      <c r="L4" s="68" t="s">
        <v>8</v>
      </c>
    </row>
    <row r="5" spans="2:29" ht="18" customHeight="1" thickBot="1" x14ac:dyDescent="0.3">
      <c r="B5" s="60" t="s">
        <v>61</v>
      </c>
      <c r="C5" s="5">
        <f>F5</f>
        <v>12.5</v>
      </c>
      <c r="D5" s="58"/>
      <c r="E5" s="58"/>
      <c r="F5" s="5">
        <v>12.5</v>
      </c>
      <c r="G5" s="61">
        <v>2</v>
      </c>
      <c r="H5" s="7">
        <f>C5*G5</f>
        <v>25</v>
      </c>
      <c r="I5" s="67"/>
      <c r="J5" s="68"/>
      <c r="K5" s="58"/>
      <c r="L5" s="8" t="str">
        <f>IF(C5&lt;11,"NA",IF(C5&lt;15,"ECA",IF(C5&lt;18,"A",IF(C5&lt;20,"A+"))))</f>
        <v>ECA</v>
      </c>
      <c r="O5" s="8">
        <f>D5*G5</f>
        <v>0</v>
      </c>
      <c r="P5" s="8">
        <f>E5*G5</f>
        <v>0</v>
      </c>
      <c r="Q5" s="8">
        <f>G5*F5</f>
        <v>25</v>
      </c>
    </row>
    <row r="6" spans="2:29" ht="16.5" thickBot="1" x14ac:dyDescent="0.3">
      <c r="B6" s="64" t="s">
        <v>17</v>
      </c>
      <c r="C6" s="5">
        <f t="shared" ref="C6:C10" si="0">(D6+F6+E6)/3</f>
        <v>12.008333333333333</v>
      </c>
      <c r="D6" s="5">
        <v>10.75</v>
      </c>
      <c r="E6" s="5">
        <v>11.5</v>
      </c>
      <c r="F6" s="5">
        <v>13.775</v>
      </c>
      <c r="G6" s="6">
        <v>3</v>
      </c>
      <c r="H6" s="7">
        <f>C6*G6</f>
        <v>36.024999999999999</v>
      </c>
      <c r="I6" s="76"/>
      <c r="J6" s="77"/>
      <c r="K6" s="8"/>
      <c r="L6" s="8" t="str">
        <f>IF(C6&lt;11,"NA",IF(C6&lt;15,"ECA",IF(C6&lt;18,"A",IF(C6&lt;20,"A+"))))</f>
        <v>ECA</v>
      </c>
      <c r="O6" s="8">
        <f>D6*G6</f>
        <v>32.25</v>
      </c>
      <c r="P6" s="8">
        <f t="shared" ref="P6:P10" si="1">E6*G6</f>
        <v>34.5</v>
      </c>
      <c r="Q6" s="8">
        <f t="shared" ref="Q6:Q10" si="2">G6*F6</f>
        <v>41.325000000000003</v>
      </c>
    </row>
    <row r="7" spans="2:29" ht="16.5" thickBot="1" x14ac:dyDescent="0.3">
      <c r="B7" s="64" t="s">
        <v>54</v>
      </c>
      <c r="C7" s="5">
        <f t="shared" si="0"/>
        <v>13.908333333333333</v>
      </c>
      <c r="D7" s="5">
        <v>14.5</v>
      </c>
      <c r="E7" s="5">
        <v>12.600000000000001</v>
      </c>
      <c r="F7" s="5">
        <v>14.625</v>
      </c>
      <c r="G7" s="6">
        <v>1</v>
      </c>
      <c r="H7" s="7">
        <f t="shared" ref="H7:H10" si="3">C7*G7</f>
        <v>13.908333333333333</v>
      </c>
      <c r="I7" s="76"/>
      <c r="J7" s="77"/>
      <c r="K7" s="8"/>
      <c r="L7" s="8" t="str">
        <f t="shared" ref="L7:L10" si="4">IF(C7&lt;11,"NA",IF(C7&lt;15,"ECA",IF(C7&lt;18,"A",IF(C7&lt;20,"A+"))))</f>
        <v>ECA</v>
      </c>
      <c r="O7" s="8">
        <f t="shared" ref="O7:O10" si="5">D7*G7</f>
        <v>14.5</v>
      </c>
      <c r="P7" s="8">
        <f t="shared" si="1"/>
        <v>12.600000000000001</v>
      </c>
      <c r="Q7" s="8">
        <f t="shared" si="2"/>
        <v>14.625</v>
      </c>
    </row>
    <row r="8" spans="2:29" ht="16.5" thickBot="1" x14ac:dyDescent="0.3">
      <c r="B8" s="64" t="s">
        <v>62</v>
      </c>
      <c r="C8" s="5">
        <f>F8</f>
        <v>19.25</v>
      </c>
      <c r="D8" s="5"/>
      <c r="E8" s="5"/>
      <c r="F8" s="5">
        <v>19.25</v>
      </c>
      <c r="G8" s="6">
        <v>2</v>
      </c>
      <c r="H8" s="7">
        <f t="shared" si="3"/>
        <v>38.5</v>
      </c>
      <c r="I8" s="62"/>
      <c r="J8" s="63"/>
      <c r="K8" s="8"/>
      <c r="L8" s="8" t="str">
        <f t="shared" si="4"/>
        <v>A+</v>
      </c>
      <c r="O8" s="8">
        <f t="shared" si="5"/>
        <v>0</v>
      </c>
      <c r="P8" s="8">
        <f t="shared" si="1"/>
        <v>0</v>
      </c>
      <c r="Q8" s="8">
        <f t="shared" si="2"/>
        <v>38.5</v>
      </c>
    </row>
    <row r="9" spans="2:29" ht="16.5" thickBot="1" x14ac:dyDescent="0.3">
      <c r="B9" s="64" t="s">
        <v>50</v>
      </c>
      <c r="C9" s="5">
        <f t="shared" si="0"/>
        <v>14.271666666666667</v>
      </c>
      <c r="D9" s="5">
        <v>13.25</v>
      </c>
      <c r="E9" s="5">
        <v>14.414999999999999</v>
      </c>
      <c r="F9" s="5">
        <v>15.15</v>
      </c>
      <c r="G9" s="6">
        <v>2</v>
      </c>
      <c r="H9" s="7">
        <f t="shared" si="3"/>
        <v>28.543333333333333</v>
      </c>
      <c r="I9" s="90"/>
      <c r="J9" s="91"/>
      <c r="K9" s="8"/>
      <c r="L9" s="8" t="str">
        <f t="shared" si="4"/>
        <v>ECA</v>
      </c>
      <c r="O9" s="8">
        <f t="shared" si="5"/>
        <v>26.5</v>
      </c>
      <c r="P9" s="8">
        <f t="shared" si="1"/>
        <v>28.83</v>
      </c>
      <c r="Q9" s="8">
        <f t="shared" si="2"/>
        <v>30.3</v>
      </c>
    </row>
    <row r="10" spans="2:29" ht="16.5" thickBot="1" x14ac:dyDescent="0.3">
      <c r="B10" s="64" t="s">
        <v>51</v>
      </c>
      <c r="C10" s="5">
        <f t="shared" si="0"/>
        <v>13.5</v>
      </c>
      <c r="D10" s="5">
        <v>13.7</v>
      </c>
      <c r="E10" s="5">
        <v>11.2</v>
      </c>
      <c r="F10" s="5">
        <v>15.6</v>
      </c>
      <c r="G10" s="6">
        <v>1</v>
      </c>
      <c r="H10" s="7">
        <f t="shared" si="3"/>
        <v>13.5</v>
      </c>
      <c r="I10" s="76"/>
      <c r="J10" s="77"/>
      <c r="K10" s="8"/>
      <c r="L10" s="8" t="str">
        <f t="shared" si="4"/>
        <v>ECA</v>
      </c>
      <c r="O10" s="8">
        <f t="shared" si="5"/>
        <v>13.7</v>
      </c>
      <c r="P10" s="8">
        <f t="shared" si="1"/>
        <v>11.2</v>
      </c>
      <c r="Q10" s="8">
        <f t="shared" si="2"/>
        <v>15.6</v>
      </c>
    </row>
    <row r="11" spans="2:29" ht="16.5" thickBot="1" x14ac:dyDescent="0.3">
      <c r="B11" s="78" t="s">
        <v>58</v>
      </c>
      <c r="C11" s="79"/>
      <c r="D11" s="79"/>
      <c r="E11" s="79"/>
      <c r="F11" s="79"/>
      <c r="G11" s="79"/>
      <c r="H11" s="79"/>
      <c r="I11" s="79"/>
      <c r="J11" s="79"/>
      <c r="K11" s="79"/>
      <c r="L11" s="80"/>
    </row>
    <row r="12" spans="2:29" ht="16.5" thickBot="1" x14ac:dyDescent="0.3">
      <c r="B12" s="9" t="s">
        <v>12</v>
      </c>
      <c r="C12" s="86">
        <f>(SUM(H5:H10)/SUM(G5:G10))</f>
        <v>14.134242424242423</v>
      </c>
      <c r="D12" s="86"/>
      <c r="E12" s="86"/>
      <c r="F12" s="86"/>
      <c r="G12" s="87" t="s">
        <v>13</v>
      </c>
      <c r="H12" s="87"/>
      <c r="I12" s="69"/>
      <c r="J12" s="88"/>
      <c r="K12" s="88"/>
      <c r="L12" s="89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spans="2:29" ht="16.5" thickBot="1" x14ac:dyDescent="0.3">
      <c r="B13" s="81"/>
      <c r="C13" s="82"/>
      <c r="D13" s="82"/>
      <c r="E13" s="82"/>
      <c r="F13" s="82"/>
      <c r="G13" s="82"/>
      <c r="H13" s="82"/>
      <c r="I13" s="82"/>
      <c r="J13" s="82"/>
      <c r="K13" s="82"/>
      <c r="L13" s="83"/>
    </row>
    <row r="14" spans="2:29" ht="16.5" thickBot="1" x14ac:dyDescent="0.3">
      <c r="B14" s="64" t="s">
        <v>47</v>
      </c>
      <c r="C14" s="5">
        <f>(D14+F14+E14)/3</f>
        <v>16.916666666666668</v>
      </c>
      <c r="D14" s="5">
        <v>16.55</v>
      </c>
      <c r="E14" s="5">
        <v>17.700000000000003</v>
      </c>
      <c r="F14" s="5">
        <v>16.5</v>
      </c>
      <c r="G14" s="6">
        <v>2</v>
      </c>
      <c r="H14" s="7">
        <f t="shared" ref="H14:H17" si="6">C14*G14</f>
        <v>33.833333333333336</v>
      </c>
      <c r="I14" s="76"/>
      <c r="J14" s="77"/>
      <c r="K14" s="8"/>
      <c r="L14" s="8" t="str">
        <f>IF(C14&lt;11,"NA",IF(C14&lt;15,"ECA",IF(C14&lt;18,"A",IF(C14&lt;20,"A+"))))</f>
        <v>A</v>
      </c>
      <c r="O14" s="8">
        <f t="shared" ref="O14:O17" si="7">D14*G14</f>
        <v>33.1</v>
      </c>
      <c r="P14" s="8">
        <f>E14*G14</f>
        <v>35.400000000000006</v>
      </c>
      <c r="Q14" s="8">
        <f>G14*F14</f>
        <v>33</v>
      </c>
    </row>
    <row r="15" spans="2:29" ht="16.5" thickBot="1" x14ac:dyDescent="0.3">
      <c r="B15" s="64" t="s">
        <v>14</v>
      </c>
      <c r="C15" s="5">
        <f t="shared" ref="C15:C17" si="8">(D15+F15+E15)/3</f>
        <v>15.525</v>
      </c>
      <c r="D15" s="5">
        <v>13.25</v>
      </c>
      <c r="E15" s="5">
        <v>16.55</v>
      </c>
      <c r="F15" s="5">
        <v>16.774999999999999</v>
      </c>
      <c r="G15" s="6">
        <v>1.5</v>
      </c>
      <c r="H15" s="7">
        <f t="shared" si="6"/>
        <v>23.287500000000001</v>
      </c>
      <c r="I15" s="76"/>
      <c r="J15" s="77"/>
      <c r="K15" s="8"/>
      <c r="L15" s="8" t="str">
        <f t="shared" ref="L15:L17" si="9">IF(C15&lt;11,"NA",IF(C15&lt;15,"ECA",IF(C15&lt;18,"A",IF(C15&lt;20,"A+"))))</f>
        <v>A</v>
      </c>
      <c r="O15" s="8">
        <f t="shared" si="7"/>
        <v>19.875</v>
      </c>
      <c r="P15" s="8">
        <f t="shared" ref="P15:P17" si="10">E15*G15</f>
        <v>24.825000000000003</v>
      </c>
      <c r="Q15" s="8">
        <f t="shared" ref="Q15:Q17" si="11">G15*F15</f>
        <v>25.162499999999998</v>
      </c>
    </row>
    <row r="16" spans="2:29" ht="16.5" thickBot="1" x14ac:dyDescent="0.3">
      <c r="B16" s="64" t="s">
        <v>15</v>
      </c>
      <c r="C16" s="5">
        <f t="shared" si="8"/>
        <v>12.691666666666668</v>
      </c>
      <c r="D16" s="5">
        <v>11.824999999999999</v>
      </c>
      <c r="E16" s="5">
        <v>12.125</v>
      </c>
      <c r="F16" s="5">
        <v>14.125</v>
      </c>
      <c r="G16" s="6">
        <v>1.5</v>
      </c>
      <c r="H16" s="7">
        <f t="shared" si="6"/>
        <v>19.037500000000001</v>
      </c>
      <c r="I16" s="76"/>
      <c r="J16" s="77"/>
      <c r="K16" s="8"/>
      <c r="L16" s="8" t="str">
        <f t="shared" si="9"/>
        <v>ECA</v>
      </c>
      <c r="O16" s="8">
        <f t="shared" si="7"/>
        <v>17.737499999999997</v>
      </c>
      <c r="P16" s="8">
        <f t="shared" si="10"/>
        <v>18.1875</v>
      </c>
      <c r="Q16" s="8">
        <f t="shared" si="11"/>
        <v>21.1875</v>
      </c>
    </row>
    <row r="17" spans="2:17" ht="16.5" thickBot="1" x14ac:dyDescent="0.3">
      <c r="B17" s="64" t="s">
        <v>52</v>
      </c>
      <c r="C17" s="5">
        <f t="shared" si="8"/>
        <v>14.316666666666668</v>
      </c>
      <c r="D17" s="5">
        <v>16.2</v>
      </c>
      <c r="E17" s="5">
        <v>12.75</v>
      </c>
      <c r="F17" s="5">
        <v>14</v>
      </c>
      <c r="G17" s="6">
        <v>1</v>
      </c>
      <c r="H17" s="7">
        <f t="shared" si="6"/>
        <v>14.316666666666668</v>
      </c>
      <c r="I17" s="76"/>
      <c r="J17" s="77"/>
      <c r="K17" s="8"/>
      <c r="L17" s="8" t="str">
        <f t="shared" si="9"/>
        <v>ECA</v>
      </c>
      <c r="O17" s="8">
        <f t="shared" si="7"/>
        <v>16.2</v>
      </c>
      <c r="P17" s="8">
        <f t="shared" si="10"/>
        <v>12.75</v>
      </c>
      <c r="Q17" s="8">
        <f t="shared" si="11"/>
        <v>14</v>
      </c>
    </row>
    <row r="18" spans="2:17" ht="16.5" customHeight="1" thickBot="1" x14ac:dyDescent="0.3">
      <c r="B18" s="78" t="s">
        <v>59</v>
      </c>
      <c r="C18" s="79"/>
      <c r="D18" s="79"/>
      <c r="E18" s="79"/>
      <c r="F18" s="79"/>
      <c r="G18" s="79"/>
      <c r="H18" s="79"/>
      <c r="I18" s="79"/>
      <c r="J18" s="79"/>
      <c r="K18" s="79"/>
      <c r="L18" s="80"/>
    </row>
    <row r="19" spans="2:17" ht="16.149999999999999" customHeight="1" thickBot="1" x14ac:dyDescent="0.3">
      <c r="B19" s="9" t="s">
        <v>16</v>
      </c>
      <c r="C19" s="86">
        <f>(SUM(H14:H17)/SUM(G14:G17))</f>
        <v>15.079166666666666</v>
      </c>
      <c r="D19" s="86"/>
      <c r="E19" s="86"/>
      <c r="F19" s="86"/>
      <c r="G19" s="87" t="s">
        <v>13</v>
      </c>
      <c r="H19" s="87"/>
      <c r="I19" s="69"/>
      <c r="J19" s="88"/>
      <c r="K19" s="88"/>
      <c r="L19" s="89"/>
    </row>
    <row r="20" spans="2:17" ht="16.5" thickBot="1" x14ac:dyDescent="0.3">
      <c r="B20" s="92"/>
      <c r="C20" s="93"/>
      <c r="D20" s="93"/>
      <c r="E20" s="93"/>
      <c r="F20" s="93"/>
      <c r="G20" s="93"/>
      <c r="H20" s="93"/>
      <c r="I20" s="93"/>
      <c r="J20" s="93"/>
      <c r="K20" s="93"/>
      <c r="L20" s="94"/>
    </row>
    <row r="21" spans="2:17" ht="16.5" thickBot="1" x14ac:dyDescent="0.3">
      <c r="B21" s="64" t="s">
        <v>9</v>
      </c>
      <c r="C21" s="5">
        <f>(D21+F21+E21)/3</f>
        <v>14.308333333333332</v>
      </c>
      <c r="D21" s="5">
        <v>14.175000000000001</v>
      </c>
      <c r="E21" s="5">
        <v>14.5</v>
      </c>
      <c r="F21" s="8">
        <v>14.25</v>
      </c>
      <c r="G21" s="6">
        <v>2</v>
      </c>
      <c r="H21" s="7">
        <f t="shared" ref="H21:H24" si="12">C21*G21</f>
        <v>28.616666666666664</v>
      </c>
      <c r="I21" s="76"/>
      <c r="J21" s="77"/>
      <c r="K21" s="8"/>
      <c r="L21" s="8" t="str">
        <f t="shared" ref="L21:L24" si="13">IF(C21&lt;11,"NA",IF(C21&lt;15,"ECA",IF(C21&lt;18,"A",IF(C21&lt;20,"A+"))))</f>
        <v>ECA</v>
      </c>
      <c r="O21" s="8">
        <f t="shared" ref="O21:O24" si="14">D21*G21</f>
        <v>28.35</v>
      </c>
      <c r="P21" s="8">
        <f>E21*G21</f>
        <v>29</v>
      </c>
      <c r="Q21" s="8">
        <f>G21*F21</f>
        <v>28.5</v>
      </c>
    </row>
    <row r="22" spans="2:17" ht="16.5" thickBot="1" x14ac:dyDescent="0.3">
      <c r="B22" s="64" t="s">
        <v>10</v>
      </c>
      <c r="C22" s="5">
        <f t="shared" ref="C22:C24" si="15">(D22+F22+E22)/3</f>
        <v>14.744999999999999</v>
      </c>
      <c r="D22" s="5">
        <v>14.4</v>
      </c>
      <c r="E22" s="5">
        <v>15.135</v>
      </c>
      <c r="F22" s="8">
        <v>14.7</v>
      </c>
      <c r="G22" s="6">
        <v>4</v>
      </c>
      <c r="H22" s="7">
        <f t="shared" si="12"/>
        <v>58.98</v>
      </c>
      <c r="I22" s="76"/>
      <c r="J22" s="77"/>
      <c r="K22" s="8"/>
      <c r="L22" s="8" t="str">
        <f t="shared" si="13"/>
        <v>ECA</v>
      </c>
      <c r="O22" s="8">
        <f t="shared" si="14"/>
        <v>57.6</v>
      </c>
      <c r="P22" s="8">
        <f t="shared" ref="P22:P24" si="16">E22*G22</f>
        <v>60.54</v>
      </c>
      <c r="Q22" s="8">
        <f t="shared" ref="Q22:Q24" si="17">G22*F22</f>
        <v>58.8</v>
      </c>
    </row>
    <row r="23" spans="2:17" ht="16.5" thickBot="1" x14ac:dyDescent="0.3">
      <c r="B23" s="64" t="s">
        <v>56</v>
      </c>
      <c r="C23" s="5">
        <f>F23</f>
        <v>16</v>
      </c>
      <c r="D23" s="5"/>
      <c r="E23" s="5"/>
      <c r="F23" s="8">
        <v>16</v>
      </c>
      <c r="G23" s="6">
        <v>2</v>
      </c>
      <c r="H23" s="7">
        <f t="shared" si="12"/>
        <v>32</v>
      </c>
      <c r="I23" s="76"/>
      <c r="J23" s="77"/>
      <c r="K23" s="8"/>
      <c r="L23" s="8" t="str">
        <f t="shared" si="13"/>
        <v>A</v>
      </c>
      <c r="O23" s="8">
        <f t="shared" si="14"/>
        <v>0</v>
      </c>
      <c r="P23" s="8">
        <f t="shared" si="16"/>
        <v>0</v>
      </c>
      <c r="Q23" s="8">
        <f t="shared" si="17"/>
        <v>32</v>
      </c>
    </row>
    <row r="24" spans="2:17" ht="16.5" thickBot="1" x14ac:dyDescent="0.3">
      <c r="B24" s="64" t="s">
        <v>11</v>
      </c>
      <c r="C24" s="5">
        <f t="shared" si="15"/>
        <v>16.993333333333336</v>
      </c>
      <c r="D24" s="5">
        <v>16.78</v>
      </c>
      <c r="E24" s="5">
        <v>15.7</v>
      </c>
      <c r="F24" s="8">
        <v>18.5</v>
      </c>
      <c r="G24" s="6">
        <v>2</v>
      </c>
      <c r="H24" s="7">
        <f t="shared" si="12"/>
        <v>33.986666666666672</v>
      </c>
      <c r="I24" s="76"/>
      <c r="J24" s="77"/>
      <c r="K24" s="8"/>
      <c r="L24" s="8" t="str">
        <f t="shared" si="13"/>
        <v>A</v>
      </c>
      <c r="O24" s="8">
        <f t="shared" si="14"/>
        <v>33.56</v>
      </c>
      <c r="P24" s="8">
        <f t="shared" si="16"/>
        <v>31.4</v>
      </c>
      <c r="Q24" s="8">
        <f t="shared" si="17"/>
        <v>37</v>
      </c>
    </row>
    <row r="25" spans="2:17" ht="16.5" customHeight="1" thickBot="1" x14ac:dyDescent="0.3">
      <c r="B25" s="78" t="s">
        <v>60</v>
      </c>
      <c r="C25" s="79"/>
      <c r="D25" s="79"/>
      <c r="E25" s="79"/>
      <c r="F25" s="79"/>
      <c r="G25" s="79"/>
      <c r="H25" s="79"/>
      <c r="I25" s="79"/>
      <c r="J25" s="79"/>
      <c r="K25" s="79"/>
      <c r="L25" s="80"/>
    </row>
    <row r="26" spans="2:17" ht="16.149999999999999" customHeight="1" thickBot="1" x14ac:dyDescent="0.3">
      <c r="B26" s="9" t="s">
        <v>12</v>
      </c>
      <c r="C26" s="86">
        <f>(SUM(H21:H24)/SUM(G21:G24))</f>
        <v>15.358333333333334</v>
      </c>
      <c r="D26" s="86"/>
      <c r="E26" s="86"/>
      <c r="F26" s="86"/>
      <c r="G26" s="87" t="s">
        <v>13</v>
      </c>
      <c r="H26" s="87"/>
      <c r="I26" s="69"/>
      <c r="J26" s="88"/>
      <c r="K26" s="88"/>
      <c r="L26" s="89"/>
    </row>
    <row r="27" spans="2:17" ht="16.5" thickBot="1" x14ac:dyDescent="0.3">
      <c r="B27" s="81"/>
      <c r="C27" s="82"/>
      <c r="D27" s="82"/>
      <c r="E27" s="82"/>
      <c r="F27" s="82"/>
      <c r="G27" s="82"/>
      <c r="H27" s="82"/>
      <c r="I27" s="100"/>
      <c r="J27" s="100"/>
      <c r="K27" s="100"/>
      <c r="L27" s="83"/>
    </row>
    <row r="28" spans="2:17" ht="16.5" thickBot="1" x14ac:dyDescent="0.3">
      <c r="B28" s="64" t="s">
        <v>53</v>
      </c>
      <c r="C28" s="5">
        <f>(D28+F28+E28)/3</f>
        <v>15.833333333333334</v>
      </c>
      <c r="D28" s="8">
        <v>16</v>
      </c>
      <c r="E28" s="8">
        <v>15.5</v>
      </c>
      <c r="F28" s="8">
        <v>16</v>
      </c>
      <c r="G28" s="6">
        <v>1</v>
      </c>
      <c r="H28" s="7">
        <f t="shared" ref="H28:H31" si="18">C28*G28</f>
        <v>15.833333333333334</v>
      </c>
      <c r="I28" s="76"/>
      <c r="J28" s="77"/>
      <c r="K28" s="8"/>
      <c r="L28" s="8" t="str">
        <f t="shared" ref="L28:L31" si="19">IF(C28&lt;11,"NA",IF(C28&lt;15,"ECA",IF(C28&lt;18,"A",IF(C28&lt;20,"A+"))))</f>
        <v>A</v>
      </c>
      <c r="O28" s="8">
        <f t="shared" ref="O28:O31" si="20">D28*G28</f>
        <v>16</v>
      </c>
      <c r="P28" s="8">
        <f>E28*G28</f>
        <v>15.5</v>
      </c>
      <c r="Q28" s="8">
        <f>G28*F28</f>
        <v>16</v>
      </c>
    </row>
    <row r="29" spans="2:17" ht="16.5" thickBot="1" x14ac:dyDescent="0.3">
      <c r="B29" s="64" t="s">
        <v>48</v>
      </c>
      <c r="C29" s="5">
        <f t="shared" ref="C29:C31" si="21">(D29+F29+E29)/3</f>
        <v>16.833333333333332</v>
      </c>
      <c r="D29" s="8">
        <v>17</v>
      </c>
      <c r="E29" s="8">
        <v>17</v>
      </c>
      <c r="F29" s="8">
        <v>16.5</v>
      </c>
      <c r="G29" s="6">
        <v>2</v>
      </c>
      <c r="H29" s="7">
        <f t="shared" si="18"/>
        <v>33.666666666666664</v>
      </c>
      <c r="I29" s="76"/>
      <c r="J29" s="77"/>
      <c r="K29" s="8"/>
      <c r="L29" s="8" t="str">
        <f t="shared" si="19"/>
        <v>A</v>
      </c>
      <c r="O29" s="8">
        <f t="shared" si="20"/>
        <v>34</v>
      </c>
      <c r="P29" s="8">
        <f t="shared" ref="P29:P31" si="22">E29*G29</f>
        <v>34</v>
      </c>
      <c r="Q29" s="8">
        <f t="shared" ref="Q29:Q31" si="23">G29*F29</f>
        <v>33</v>
      </c>
    </row>
    <row r="30" spans="2:17" ht="16.5" thickBot="1" x14ac:dyDescent="0.3">
      <c r="B30" s="64" t="s">
        <v>49</v>
      </c>
      <c r="C30" s="5">
        <f t="shared" si="21"/>
        <v>15.266666666666666</v>
      </c>
      <c r="D30" s="8">
        <v>16</v>
      </c>
      <c r="E30" s="8">
        <v>15.8</v>
      </c>
      <c r="F30" s="8">
        <v>14</v>
      </c>
      <c r="G30" s="6">
        <v>1</v>
      </c>
      <c r="H30" s="7">
        <f t="shared" si="18"/>
        <v>15.266666666666666</v>
      </c>
      <c r="I30" s="76"/>
      <c r="J30" s="77"/>
      <c r="K30" s="8"/>
      <c r="L30" s="8" t="str">
        <f t="shared" si="19"/>
        <v>A</v>
      </c>
      <c r="O30" s="8">
        <f t="shared" si="20"/>
        <v>16</v>
      </c>
      <c r="P30" s="8">
        <f t="shared" si="22"/>
        <v>15.8</v>
      </c>
      <c r="Q30" s="8">
        <f t="shared" si="23"/>
        <v>14</v>
      </c>
    </row>
    <row r="31" spans="2:17" ht="16.5" thickBot="1" x14ac:dyDescent="0.3">
      <c r="B31" s="64" t="s">
        <v>18</v>
      </c>
      <c r="C31" s="5">
        <f t="shared" si="21"/>
        <v>17.166666666666668</v>
      </c>
      <c r="D31" s="8">
        <v>18.5</v>
      </c>
      <c r="E31" s="8">
        <v>17</v>
      </c>
      <c r="F31" s="8">
        <v>16</v>
      </c>
      <c r="G31" s="6">
        <v>1</v>
      </c>
      <c r="H31" s="7">
        <f t="shared" si="18"/>
        <v>17.166666666666668</v>
      </c>
      <c r="I31" s="76"/>
      <c r="J31" s="77"/>
      <c r="K31" s="8"/>
      <c r="L31" s="8" t="str">
        <f t="shared" si="19"/>
        <v>A</v>
      </c>
      <c r="O31" s="8">
        <f t="shared" si="20"/>
        <v>18.5</v>
      </c>
      <c r="P31" s="8">
        <f t="shared" si="22"/>
        <v>17</v>
      </c>
      <c r="Q31" s="8">
        <f t="shared" si="23"/>
        <v>16</v>
      </c>
    </row>
    <row r="32" spans="2:17" ht="16.5" customHeight="1" thickBot="1" x14ac:dyDescent="0.3">
      <c r="B32" s="64" t="s">
        <v>57</v>
      </c>
      <c r="C32" s="65"/>
      <c r="D32" s="65"/>
      <c r="E32" s="65"/>
      <c r="F32" s="65"/>
      <c r="G32" s="65"/>
      <c r="H32" s="65"/>
      <c r="I32" s="65"/>
      <c r="J32" s="65"/>
      <c r="K32" s="65"/>
      <c r="L32" s="66"/>
      <c r="O32" s="1">
        <f>SUM(O6:O31)</f>
        <v>377.8725</v>
      </c>
      <c r="P32" s="1">
        <f>SUM(P6:P31)</f>
        <v>381.53250000000003</v>
      </c>
      <c r="Q32" s="1">
        <f>SUM(Q5:Q31)</f>
        <v>494</v>
      </c>
    </row>
    <row r="33" spans="2:17" ht="16.149999999999999" customHeight="1" thickBot="1" x14ac:dyDescent="0.3">
      <c r="B33" s="9" t="s">
        <v>16</v>
      </c>
      <c r="C33" s="86">
        <f>(SUM(H28:H31)/SUM(G28:G31))</f>
        <v>16.386666666666667</v>
      </c>
      <c r="D33" s="86"/>
      <c r="E33" s="86"/>
      <c r="F33" s="86"/>
      <c r="G33" s="87" t="s">
        <v>13</v>
      </c>
      <c r="H33" s="87"/>
      <c r="I33" s="69"/>
      <c r="J33" s="88"/>
      <c r="K33" s="88"/>
      <c r="L33" s="89"/>
      <c r="O33" s="1">
        <v>26</v>
      </c>
      <c r="P33" s="1">
        <v>26</v>
      </c>
      <c r="Q33" s="1">
        <v>32</v>
      </c>
    </row>
    <row r="34" spans="2:17" ht="16.5" thickBot="1" x14ac:dyDescent="0.3">
      <c r="B34" s="81"/>
      <c r="C34" s="82"/>
      <c r="D34" s="82"/>
      <c r="E34" s="82"/>
      <c r="F34" s="82"/>
      <c r="G34" s="82"/>
      <c r="H34" s="82"/>
      <c r="I34" s="82"/>
      <c r="J34" s="82"/>
      <c r="K34" s="82"/>
      <c r="L34" s="83"/>
      <c r="O34" s="1">
        <f>O32/O33</f>
        <v>14.533557692307692</v>
      </c>
      <c r="P34" s="1">
        <f>P32/P33</f>
        <v>14.674326923076924</v>
      </c>
      <c r="Q34" s="1">
        <f>Q32/Q33</f>
        <v>15.4375</v>
      </c>
    </row>
    <row r="35" spans="2:17" s="17" customFormat="1" ht="48" thickBot="1" x14ac:dyDescent="0.3">
      <c r="B35" s="64" t="s">
        <v>19</v>
      </c>
      <c r="C35" s="70" t="s">
        <v>20</v>
      </c>
      <c r="D35" s="69"/>
      <c r="E35" s="69"/>
      <c r="F35" s="71" t="s">
        <v>21</v>
      </c>
      <c r="G35" s="88"/>
      <c r="H35" s="88"/>
      <c r="I35" s="71" t="s">
        <v>22</v>
      </c>
      <c r="J35" s="88"/>
      <c r="K35" s="88"/>
      <c r="L35" s="72"/>
    </row>
    <row r="36" spans="2:17" x14ac:dyDescent="0.25">
      <c r="B36" s="18"/>
      <c r="C36" s="19" t="s">
        <v>1</v>
      </c>
      <c r="D36" s="19" t="s">
        <v>63</v>
      </c>
      <c r="E36" s="19" t="s">
        <v>65</v>
      </c>
      <c r="F36" s="20"/>
      <c r="G36" s="20"/>
      <c r="H36" s="21"/>
      <c r="I36" s="101"/>
      <c r="J36" s="100"/>
      <c r="K36" s="100"/>
      <c r="L36" s="102"/>
    </row>
    <row r="37" spans="2:17" x14ac:dyDescent="0.25">
      <c r="B37" s="22" t="s">
        <v>23</v>
      </c>
      <c r="C37" s="23">
        <f>O34</f>
        <v>14.533557692307692</v>
      </c>
      <c r="D37" s="23">
        <f>P34</f>
        <v>14.674326923076924</v>
      </c>
      <c r="E37" s="23">
        <f>Q34</f>
        <v>15.4375</v>
      </c>
      <c r="F37" s="32" t="s">
        <v>66</v>
      </c>
      <c r="G37" s="25">
        <f>(H5+H6+H7+H8+H9+H10+H14+H15+H16+H17+H21+H22+H23+H24+H28+H29+H30+H31)/32</f>
        <v>15.045885416666668</v>
      </c>
      <c r="H37" s="24" t="s">
        <v>25</v>
      </c>
      <c r="I37" s="103" t="s">
        <v>26</v>
      </c>
      <c r="J37" s="104"/>
      <c r="K37" s="26"/>
      <c r="L37" s="27" t="s">
        <v>25</v>
      </c>
    </row>
    <row r="38" spans="2:17" ht="16.5" customHeight="1" thickBot="1" x14ac:dyDescent="0.3">
      <c r="B38" s="95"/>
      <c r="C38" s="96"/>
      <c r="D38" s="96"/>
      <c r="E38" s="96"/>
      <c r="F38" s="96"/>
      <c r="G38" s="96"/>
      <c r="H38" s="96"/>
      <c r="I38" s="97"/>
      <c r="J38" s="98"/>
      <c r="K38" s="98"/>
      <c r="L38" s="99"/>
    </row>
    <row r="39" spans="2:17" ht="16.5" customHeight="1" thickBot="1" x14ac:dyDescent="0.3">
      <c r="B39" s="105" t="s">
        <v>67</v>
      </c>
      <c r="C39" s="106"/>
      <c r="D39" s="106"/>
      <c r="E39" s="106"/>
      <c r="F39" s="106"/>
      <c r="G39" s="106"/>
      <c r="H39" s="106"/>
      <c r="I39" s="106"/>
      <c r="J39" s="106"/>
      <c r="K39" s="106"/>
      <c r="L39" s="107"/>
    </row>
    <row r="40" spans="2:17" ht="16.5" customHeight="1" thickBot="1" x14ac:dyDescent="0.3">
      <c r="B40" s="108" t="s">
        <v>28</v>
      </c>
      <c r="C40" s="88"/>
      <c r="D40" s="88"/>
      <c r="E40" s="88"/>
      <c r="F40" s="88"/>
      <c r="G40" s="88"/>
      <c r="H40" s="88"/>
      <c r="I40" s="88"/>
      <c r="J40" s="88"/>
      <c r="K40" s="88"/>
      <c r="L40" s="89"/>
    </row>
    <row r="41" spans="2:17" ht="16.149999999999999" customHeight="1" thickBot="1" x14ac:dyDescent="0.3">
      <c r="B41" s="64" t="s">
        <v>29</v>
      </c>
      <c r="C41" s="81" t="s">
        <v>30</v>
      </c>
      <c r="D41" s="82"/>
      <c r="E41" s="82"/>
      <c r="F41" s="83"/>
      <c r="G41" s="109" t="s">
        <v>31</v>
      </c>
      <c r="H41" s="110"/>
      <c r="I41" s="110"/>
      <c r="J41" s="110"/>
      <c r="K41" s="110"/>
      <c r="L41" s="111"/>
    </row>
    <row r="42" spans="2:17" ht="16.5" customHeight="1" thickBot="1" x14ac:dyDescent="0.3">
      <c r="B42" s="42" t="s">
        <v>32</v>
      </c>
      <c r="C42" s="110" t="str">
        <f>IF(G37&lt;11,"NA",IF(G37&lt;15,"ECA",IF(G37&lt;18,"A",IF(G37&lt;20,"A+"))))</f>
        <v>A</v>
      </c>
      <c r="D42" s="110" t="e">
        <f>IF(#REF!&lt;11,"NA",IF(#REF!&lt;15,"ECA",IF(#REF!&lt;18,"A",IF(#REF!&lt;20,"A+"))))</f>
        <v>#REF!</v>
      </c>
      <c r="E42" s="110"/>
      <c r="F42" s="111" t="e">
        <f>IF(#REF!&lt;11,"NA",IF(#REF!&lt;15,"ECA",IF(#REF!&lt;18,"A",IF(#REF!&lt;20,"A+"))))</f>
        <v>#REF!</v>
      </c>
      <c r="G42" s="112"/>
      <c r="H42" s="113"/>
      <c r="I42" s="113"/>
      <c r="J42" s="113"/>
      <c r="K42" s="113"/>
      <c r="L42" s="114"/>
    </row>
    <row r="43" spans="2:17" ht="16.5" customHeight="1" thickBot="1" x14ac:dyDescent="0.3">
      <c r="B43" s="43" t="s">
        <v>33</v>
      </c>
      <c r="C43" s="115" t="e">
        <f>IF(#REF!&lt;11,"NA",IF(#REF!&lt;15,"ECA",IF(#REF!&lt;18,"A",IF(#REF!&lt;20,"A+"))))</f>
        <v>#REF!</v>
      </c>
      <c r="D43" s="116" t="e">
        <f>IF(#REF!&lt;11,"NA",IF(#REF!&lt;15,"ECA",IF(#REF!&lt;18,"A",IF(#REF!&lt;20,"A+"))))</f>
        <v>#REF!</v>
      </c>
      <c r="E43" s="116"/>
      <c r="F43" s="117" t="e">
        <f>IF(#REF!&lt;11,"NA",IF(#REF!&lt;15,"ECA",IF(#REF!&lt;18,"A",IF(#REF!&lt;20,"A+"))))</f>
        <v>#REF!</v>
      </c>
      <c r="G43" s="108" t="s">
        <v>34</v>
      </c>
      <c r="H43" s="88"/>
      <c r="I43" s="88"/>
      <c r="J43" s="89"/>
      <c r="K43" s="109" t="s">
        <v>35</v>
      </c>
      <c r="L43" s="111"/>
    </row>
    <row r="44" spans="2:17" ht="16.5" customHeight="1" thickBot="1" x14ac:dyDescent="0.3">
      <c r="B44" s="29" t="s">
        <v>36</v>
      </c>
      <c r="C44" s="112" t="e">
        <f>IF(#REF!&lt;11,"NA",IF(#REF!&lt;15,"ECA",IF(#REF!&lt;18,"A",IF(#REF!&lt;20,"A+"))))</f>
        <v>#REF!</v>
      </c>
      <c r="D44" s="113" t="e">
        <f>IF(#REF!&lt;11,"NA",IF(#REF!&lt;15,"ECA",IF(#REF!&lt;18,"A",IF(#REF!&lt;20,"A+"))))</f>
        <v>#REF!</v>
      </c>
      <c r="E44" s="113"/>
      <c r="F44" s="114" t="e">
        <f>IF(#REF!&lt;11,"NA",IF(#REF!&lt;15,"ECA",IF(#REF!&lt;18,"A",IF(#REF!&lt;20,"A+"))))</f>
        <v>#REF!</v>
      </c>
      <c r="G44" s="108" t="s">
        <v>37</v>
      </c>
      <c r="H44" s="88"/>
      <c r="I44" s="88"/>
      <c r="J44" s="89"/>
      <c r="K44" s="118" t="s">
        <v>38</v>
      </c>
      <c r="L44" s="119"/>
    </row>
    <row r="45" spans="2:17" ht="16.5" customHeight="1" thickBot="1" x14ac:dyDescent="0.3">
      <c r="B45" s="70" t="s">
        <v>39</v>
      </c>
      <c r="C45" s="109" t="s">
        <v>40</v>
      </c>
      <c r="D45" s="110"/>
      <c r="E45" s="110"/>
      <c r="F45" s="111"/>
      <c r="G45" s="108" t="s">
        <v>41</v>
      </c>
      <c r="H45" s="88"/>
      <c r="I45" s="88"/>
      <c r="J45" s="89"/>
      <c r="K45" s="118"/>
      <c r="L45" s="119"/>
    </row>
    <row r="46" spans="2:17" ht="16.149999999999999" customHeight="1" thickBot="1" x14ac:dyDescent="0.3">
      <c r="B46" s="70" t="s">
        <v>42</v>
      </c>
      <c r="C46" s="112"/>
      <c r="D46" s="113"/>
      <c r="E46" s="113"/>
      <c r="F46" s="114"/>
      <c r="G46" s="108" t="s">
        <v>43</v>
      </c>
      <c r="H46" s="88"/>
      <c r="I46" s="88"/>
      <c r="J46" s="89"/>
      <c r="K46" s="120" t="s">
        <v>44</v>
      </c>
      <c r="L46" s="121"/>
    </row>
    <row r="47" spans="2:17" ht="31.5" x14ac:dyDescent="0.25">
      <c r="B47" s="64" t="s">
        <v>45</v>
      </c>
      <c r="C47" s="101"/>
      <c r="D47" s="100"/>
      <c r="E47" s="100"/>
      <c r="F47" s="102"/>
      <c r="G47" s="101"/>
      <c r="H47" s="100"/>
      <c r="I47" s="100"/>
      <c r="J47" s="102"/>
      <c r="K47" s="120" t="s">
        <v>46</v>
      </c>
      <c r="L47" s="121"/>
    </row>
    <row r="48" spans="2:17" x14ac:dyDescent="0.25">
      <c r="B48" s="28"/>
      <c r="C48" s="122"/>
      <c r="D48" s="123"/>
      <c r="E48" s="123"/>
      <c r="F48" s="124"/>
      <c r="G48" s="122"/>
      <c r="H48" s="123"/>
      <c r="I48" s="123"/>
      <c r="J48" s="124"/>
      <c r="K48" s="128"/>
      <c r="L48" s="129"/>
    </row>
    <row r="49" spans="2:12" x14ac:dyDescent="0.25">
      <c r="B49" s="28"/>
      <c r="C49" s="122"/>
      <c r="D49" s="123"/>
      <c r="E49" s="123"/>
      <c r="F49" s="124"/>
      <c r="G49" s="122"/>
      <c r="H49" s="123"/>
      <c r="I49" s="123"/>
      <c r="J49" s="124"/>
      <c r="K49" s="128"/>
      <c r="L49" s="129"/>
    </row>
    <row r="50" spans="2:12" ht="16.5" thickBot="1" x14ac:dyDescent="0.3">
      <c r="B50" s="29"/>
      <c r="C50" s="125"/>
      <c r="D50" s="126"/>
      <c r="E50" s="126"/>
      <c r="F50" s="127"/>
      <c r="G50" s="125"/>
      <c r="H50" s="126"/>
      <c r="I50" s="126"/>
      <c r="J50" s="127"/>
      <c r="K50" s="97"/>
      <c r="L50" s="99"/>
    </row>
  </sheetData>
  <mergeCells count="62">
    <mergeCell ref="B13:L13"/>
    <mergeCell ref="I14:J14"/>
    <mergeCell ref="I15:J15"/>
    <mergeCell ref="I16:J16"/>
    <mergeCell ref="I4:J4"/>
    <mergeCell ref="I6:J6"/>
    <mergeCell ref="I7:J7"/>
    <mergeCell ref="I9:J9"/>
    <mergeCell ref="I10:J10"/>
    <mergeCell ref="B11:L11"/>
    <mergeCell ref="C12:F12"/>
    <mergeCell ref="G12:H12"/>
    <mergeCell ref="J12:L12"/>
    <mergeCell ref="I28:J28"/>
    <mergeCell ref="I29:J29"/>
    <mergeCell ref="I30:J30"/>
    <mergeCell ref="I31:J31"/>
    <mergeCell ref="C33:F33"/>
    <mergeCell ref="G33:H33"/>
    <mergeCell ref="J33:L33"/>
    <mergeCell ref="B25:L25"/>
    <mergeCell ref="C26:F26"/>
    <mergeCell ref="G26:H26"/>
    <mergeCell ref="J26:L26"/>
    <mergeCell ref="B27:L27"/>
    <mergeCell ref="I17:J17"/>
    <mergeCell ref="B18:L18"/>
    <mergeCell ref="C19:F19"/>
    <mergeCell ref="G19:H19"/>
    <mergeCell ref="J19:L19"/>
    <mergeCell ref="B20:L20"/>
    <mergeCell ref="I21:J21"/>
    <mergeCell ref="I22:J22"/>
    <mergeCell ref="I23:J23"/>
    <mergeCell ref="I24:J24"/>
    <mergeCell ref="B34:L34"/>
    <mergeCell ref="G35:H35"/>
    <mergeCell ref="J35:K35"/>
    <mergeCell ref="I36:L36"/>
    <mergeCell ref="I37:J37"/>
    <mergeCell ref="B38:H38"/>
    <mergeCell ref="I38:L38"/>
    <mergeCell ref="B39:L39"/>
    <mergeCell ref="B40:L40"/>
    <mergeCell ref="C41:F41"/>
    <mergeCell ref="G41:L42"/>
    <mergeCell ref="C42:F44"/>
    <mergeCell ref="G43:J43"/>
    <mergeCell ref="K43:L43"/>
    <mergeCell ref="G44:J44"/>
    <mergeCell ref="K44:L44"/>
    <mergeCell ref="C45:F46"/>
    <mergeCell ref="G45:J45"/>
    <mergeCell ref="K45:L45"/>
    <mergeCell ref="G46:J46"/>
    <mergeCell ref="K46:L46"/>
    <mergeCell ref="C47:F50"/>
    <mergeCell ref="G47:J50"/>
    <mergeCell ref="K47:L47"/>
    <mergeCell ref="K48:L48"/>
    <mergeCell ref="K49:L49"/>
    <mergeCell ref="K50:L5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C50"/>
  <sheetViews>
    <sheetView zoomScale="60" zoomScaleNormal="60" workbookViewId="0">
      <selection activeCell="Q15" sqref="Q15"/>
    </sheetView>
  </sheetViews>
  <sheetFormatPr baseColWidth="10" defaultColWidth="11.42578125" defaultRowHeight="15.75" x14ac:dyDescent="0.25"/>
  <cols>
    <col min="1" max="1" width="11.42578125" style="1"/>
    <col min="2" max="2" width="44.140625" style="1" customWidth="1"/>
    <col min="3" max="3" width="12.140625" style="1" customWidth="1"/>
    <col min="4" max="5" width="11.42578125" style="1"/>
    <col min="6" max="6" width="15.5703125" style="1" customWidth="1"/>
    <col min="7" max="7" width="11.42578125" style="1"/>
    <col min="8" max="8" width="12.42578125" style="1" customWidth="1"/>
    <col min="9" max="11" width="11.42578125" style="1"/>
    <col min="12" max="12" width="18.28515625" style="1" bestFit="1" customWidth="1"/>
    <col min="13" max="16384" width="11.42578125" style="1"/>
  </cols>
  <sheetData>
    <row r="3" spans="2:29" ht="16.5" thickBot="1" x14ac:dyDescent="0.3"/>
    <row r="4" spans="2:29" ht="30.75" customHeight="1" thickBot="1" x14ac:dyDescent="0.3">
      <c r="B4" s="59" t="s">
        <v>0</v>
      </c>
      <c r="C4" s="68" t="s">
        <v>68</v>
      </c>
      <c r="D4" s="68" t="s">
        <v>1</v>
      </c>
      <c r="E4" s="68" t="s">
        <v>63</v>
      </c>
      <c r="F4" s="68" t="s">
        <v>64</v>
      </c>
      <c r="G4" s="68" t="s">
        <v>4</v>
      </c>
      <c r="H4" s="67" t="s">
        <v>5</v>
      </c>
      <c r="I4" s="84" t="s">
        <v>6</v>
      </c>
      <c r="J4" s="85"/>
      <c r="K4" s="68" t="s">
        <v>7</v>
      </c>
      <c r="L4" s="68" t="s">
        <v>8</v>
      </c>
    </row>
    <row r="5" spans="2:29" ht="18" customHeight="1" thickBot="1" x14ac:dyDescent="0.3">
      <c r="B5" s="60" t="s">
        <v>61</v>
      </c>
      <c r="C5" s="5">
        <f>F5</f>
        <v>14.5</v>
      </c>
      <c r="D5" s="58"/>
      <c r="E5" s="58"/>
      <c r="F5" s="5">
        <v>14.5</v>
      </c>
      <c r="G5" s="61">
        <v>2</v>
      </c>
      <c r="H5" s="7">
        <f>C5*G5</f>
        <v>29</v>
      </c>
      <c r="I5" s="67"/>
      <c r="J5" s="68"/>
      <c r="K5" s="58"/>
      <c r="L5" s="8" t="str">
        <f>IF(C5&lt;11,"NA",IF(C5&lt;15,"ECA",IF(C5&lt;18,"A",IF(C5&lt;20,"A+"))))</f>
        <v>ECA</v>
      </c>
      <c r="O5" s="8">
        <f>D5*G5</f>
        <v>0</v>
      </c>
      <c r="P5" s="8">
        <f>E5*G5</f>
        <v>0</v>
      </c>
      <c r="Q5" s="8">
        <f>G5*F5</f>
        <v>29</v>
      </c>
    </row>
    <row r="6" spans="2:29" ht="16.5" thickBot="1" x14ac:dyDescent="0.3">
      <c r="B6" s="64" t="s">
        <v>17</v>
      </c>
      <c r="C6" s="5">
        <f t="shared" ref="C6:C10" si="0">(D6+F6+E6)/3</f>
        <v>8</v>
      </c>
      <c r="D6" s="5">
        <v>7.3</v>
      </c>
      <c r="E6" s="5">
        <v>9</v>
      </c>
      <c r="F6" s="5">
        <v>7.7</v>
      </c>
      <c r="G6" s="6">
        <v>3</v>
      </c>
      <c r="H6" s="7">
        <f>C6*G6</f>
        <v>24</v>
      </c>
      <c r="I6" s="76"/>
      <c r="J6" s="77"/>
      <c r="K6" s="8"/>
      <c r="L6" s="8" t="str">
        <f>IF(C6&lt;11,"NA",IF(C6&lt;15,"ECA",IF(C6&lt;18,"A",IF(C6&lt;20,"A+"))))</f>
        <v>NA</v>
      </c>
      <c r="O6" s="8">
        <f>D6*G6</f>
        <v>21.9</v>
      </c>
      <c r="P6" s="8">
        <f t="shared" ref="P6:P10" si="1">E6*G6</f>
        <v>27</v>
      </c>
      <c r="Q6" s="8">
        <f t="shared" ref="Q6:Q10" si="2">G6*F6</f>
        <v>23.1</v>
      </c>
    </row>
    <row r="7" spans="2:29" ht="16.5" thickBot="1" x14ac:dyDescent="0.3">
      <c r="B7" s="64" t="s">
        <v>54</v>
      </c>
      <c r="C7" s="5">
        <f t="shared" si="0"/>
        <v>7.3250000000000002</v>
      </c>
      <c r="D7" s="5">
        <v>8.6</v>
      </c>
      <c r="E7" s="5">
        <v>7</v>
      </c>
      <c r="F7" s="5">
        <v>6.375</v>
      </c>
      <c r="G7" s="6">
        <v>1</v>
      </c>
      <c r="H7" s="7">
        <f t="shared" ref="H7:H10" si="3">C7*G7</f>
        <v>7.3250000000000002</v>
      </c>
      <c r="I7" s="76"/>
      <c r="J7" s="77"/>
      <c r="K7" s="8"/>
      <c r="L7" s="8" t="str">
        <f t="shared" ref="L7:L10" si="4">IF(C7&lt;11,"NA",IF(C7&lt;15,"ECA",IF(C7&lt;18,"A",IF(C7&lt;20,"A+"))))</f>
        <v>NA</v>
      </c>
      <c r="O7" s="8">
        <f t="shared" ref="O7:O10" si="5">D7*G7</f>
        <v>8.6</v>
      </c>
      <c r="P7" s="8">
        <f t="shared" si="1"/>
        <v>7</v>
      </c>
      <c r="Q7" s="8">
        <f t="shared" si="2"/>
        <v>6.375</v>
      </c>
    </row>
    <row r="8" spans="2:29" ht="16.5" thickBot="1" x14ac:dyDescent="0.3">
      <c r="B8" s="64" t="s">
        <v>62</v>
      </c>
      <c r="C8" s="5">
        <f>F8</f>
        <v>15</v>
      </c>
      <c r="D8" s="5"/>
      <c r="E8" s="5"/>
      <c r="F8" s="5">
        <v>15</v>
      </c>
      <c r="G8" s="6">
        <v>2</v>
      </c>
      <c r="H8" s="7">
        <f t="shared" si="3"/>
        <v>30</v>
      </c>
      <c r="I8" s="62"/>
      <c r="J8" s="63"/>
      <c r="K8" s="8"/>
      <c r="L8" s="8" t="str">
        <f t="shared" si="4"/>
        <v>A</v>
      </c>
      <c r="O8" s="8">
        <f t="shared" si="5"/>
        <v>0</v>
      </c>
      <c r="P8" s="8">
        <f t="shared" si="1"/>
        <v>0</v>
      </c>
      <c r="Q8" s="8">
        <f t="shared" si="2"/>
        <v>30</v>
      </c>
    </row>
    <row r="9" spans="2:29" ht="16.5" thickBot="1" x14ac:dyDescent="0.3">
      <c r="B9" s="64" t="s">
        <v>50</v>
      </c>
      <c r="C9" s="5">
        <f t="shared" si="0"/>
        <v>8.7099999999999991</v>
      </c>
      <c r="D9" s="5">
        <v>6.5</v>
      </c>
      <c r="E9" s="5">
        <v>11.03</v>
      </c>
      <c r="F9" s="5">
        <v>8.6</v>
      </c>
      <c r="G9" s="6">
        <v>2</v>
      </c>
      <c r="H9" s="7">
        <f t="shared" si="3"/>
        <v>17.419999999999998</v>
      </c>
      <c r="I9" s="90"/>
      <c r="J9" s="91"/>
      <c r="K9" s="8"/>
      <c r="L9" s="8" t="str">
        <f t="shared" si="4"/>
        <v>NA</v>
      </c>
      <c r="O9" s="8">
        <f t="shared" si="5"/>
        <v>13</v>
      </c>
      <c r="P9" s="8">
        <f t="shared" si="1"/>
        <v>22.06</v>
      </c>
      <c r="Q9" s="8">
        <f t="shared" si="2"/>
        <v>17.2</v>
      </c>
    </row>
    <row r="10" spans="2:29" ht="16.5" thickBot="1" x14ac:dyDescent="0.3">
      <c r="B10" s="64" t="s">
        <v>51</v>
      </c>
      <c r="C10" s="5">
        <f t="shared" si="0"/>
        <v>9.7900000000000009</v>
      </c>
      <c r="D10" s="5">
        <v>8</v>
      </c>
      <c r="E10" s="5">
        <v>11.07</v>
      </c>
      <c r="F10" s="5">
        <v>10.3</v>
      </c>
      <c r="G10" s="6">
        <v>1</v>
      </c>
      <c r="H10" s="7">
        <f t="shared" si="3"/>
        <v>9.7900000000000009</v>
      </c>
      <c r="I10" s="76"/>
      <c r="J10" s="77"/>
      <c r="K10" s="8"/>
      <c r="L10" s="8" t="str">
        <f t="shared" si="4"/>
        <v>NA</v>
      </c>
      <c r="O10" s="8">
        <f t="shared" si="5"/>
        <v>8</v>
      </c>
      <c r="P10" s="8">
        <f t="shared" si="1"/>
        <v>11.07</v>
      </c>
      <c r="Q10" s="8">
        <f t="shared" si="2"/>
        <v>10.3</v>
      </c>
    </row>
    <row r="11" spans="2:29" ht="16.5" thickBot="1" x14ac:dyDescent="0.3">
      <c r="B11" s="78" t="s">
        <v>58</v>
      </c>
      <c r="C11" s="79"/>
      <c r="D11" s="79"/>
      <c r="E11" s="79"/>
      <c r="F11" s="79"/>
      <c r="G11" s="79"/>
      <c r="H11" s="79"/>
      <c r="I11" s="79"/>
      <c r="J11" s="79"/>
      <c r="K11" s="79"/>
      <c r="L11" s="80"/>
    </row>
    <row r="12" spans="2:29" ht="16.5" thickBot="1" x14ac:dyDescent="0.3">
      <c r="B12" s="9" t="s">
        <v>12</v>
      </c>
      <c r="C12" s="86">
        <f>(SUM(H5:H10)/SUM(G5:G10))</f>
        <v>10.685</v>
      </c>
      <c r="D12" s="86"/>
      <c r="E12" s="86"/>
      <c r="F12" s="86"/>
      <c r="G12" s="87" t="s">
        <v>13</v>
      </c>
      <c r="H12" s="87"/>
      <c r="I12" s="69"/>
      <c r="J12" s="88"/>
      <c r="K12" s="88"/>
      <c r="L12" s="89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spans="2:29" ht="16.5" thickBot="1" x14ac:dyDescent="0.3">
      <c r="B13" s="81"/>
      <c r="C13" s="82"/>
      <c r="D13" s="82"/>
      <c r="E13" s="82"/>
      <c r="F13" s="82"/>
      <c r="G13" s="82"/>
      <c r="H13" s="82"/>
      <c r="I13" s="82"/>
      <c r="J13" s="82"/>
      <c r="K13" s="82"/>
      <c r="L13" s="83"/>
    </row>
    <row r="14" spans="2:29" ht="16.5" thickBot="1" x14ac:dyDescent="0.3">
      <c r="B14" s="64" t="s">
        <v>47</v>
      </c>
      <c r="C14" s="5">
        <f>(D14+F14+E14)/3</f>
        <v>13.283333333333331</v>
      </c>
      <c r="D14" s="5">
        <v>11.65</v>
      </c>
      <c r="E14" s="5">
        <v>13.7</v>
      </c>
      <c r="F14" s="5">
        <v>14.5</v>
      </c>
      <c r="G14" s="6">
        <v>2</v>
      </c>
      <c r="H14" s="7">
        <f t="shared" ref="H14:H17" si="6">C14*G14</f>
        <v>26.566666666666663</v>
      </c>
      <c r="I14" s="76"/>
      <c r="J14" s="77"/>
      <c r="K14" s="8"/>
      <c r="L14" s="8" t="str">
        <f>IF(C14&lt;11,"NA",IF(C14&lt;15,"ECA",IF(C14&lt;18,"A",IF(C14&lt;20,"A+"))))</f>
        <v>ECA</v>
      </c>
      <c r="O14" s="8">
        <f t="shared" ref="O14:O17" si="7">D14*G14</f>
        <v>23.3</v>
      </c>
      <c r="P14" s="8">
        <f>E14*G14</f>
        <v>27.4</v>
      </c>
      <c r="Q14" s="8">
        <f>G14*F14</f>
        <v>29</v>
      </c>
    </row>
    <row r="15" spans="2:29" ht="16.5" thickBot="1" x14ac:dyDescent="0.3">
      <c r="B15" s="64" t="s">
        <v>14</v>
      </c>
      <c r="C15" s="5">
        <f t="shared" ref="C15:C17" si="8">(D15+F15+E15)/3</f>
        <v>13.391666666666666</v>
      </c>
      <c r="D15" s="5">
        <v>12.324999999999999</v>
      </c>
      <c r="E15" s="5">
        <v>13.175000000000001</v>
      </c>
      <c r="F15" s="5">
        <v>14.675000000000001</v>
      </c>
      <c r="G15" s="6">
        <v>1.5</v>
      </c>
      <c r="H15" s="7">
        <f t="shared" si="6"/>
        <v>20.087499999999999</v>
      </c>
      <c r="I15" s="76"/>
      <c r="J15" s="77"/>
      <c r="K15" s="8"/>
      <c r="L15" s="8" t="str">
        <f t="shared" ref="L15:L17" si="9">IF(C15&lt;11,"NA",IF(C15&lt;15,"ECA",IF(C15&lt;18,"A",IF(C15&lt;20,"A+"))))</f>
        <v>ECA</v>
      </c>
      <c r="O15" s="8">
        <f t="shared" si="7"/>
        <v>18.487499999999997</v>
      </c>
      <c r="P15" s="8">
        <f t="shared" ref="P15:P17" si="10">E15*G15</f>
        <v>19.762500000000003</v>
      </c>
      <c r="Q15" s="8">
        <f t="shared" ref="Q15:Q17" si="11">G15*F15</f>
        <v>22.012500000000003</v>
      </c>
    </row>
    <row r="16" spans="2:29" ht="16.5" thickBot="1" x14ac:dyDescent="0.3">
      <c r="B16" s="64" t="s">
        <v>15</v>
      </c>
      <c r="C16" s="5">
        <f t="shared" si="8"/>
        <v>11.691666666666668</v>
      </c>
      <c r="D16" s="5">
        <v>11.574999999999999</v>
      </c>
      <c r="E16" s="5">
        <v>11</v>
      </c>
      <c r="F16" s="5">
        <v>12.5</v>
      </c>
      <c r="G16" s="6">
        <v>1.5</v>
      </c>
      <c r="H16" s="7">
        <f t="shared" si="6"/>
        <v>17.537500000000001</v>
      </c>
      <c r="I16" s="76"/>
      <c r="J16" s="77"/>
      <c r="K16" s="8"/>
      <c r="L16" s="8" t="str">
        <f t="shared" si="9"/>
        <v>ECA</v>
      </c>
      <c r="O16" s="8">
        <f t="shared" si="7"/>
        <v>17.362499999999997</v>
      </c>
      <c r="P16" s="8">
        <f t="shared" si="10"/>
        <v>16.5</v>
      </c>
      <c r="Q16" s="8">
        <f t="shared" si="11"/>
        <v>18.75</v>
      </c>
    </row>
    <row r="17" spans="2:17" ht="16.5" thickBot="1" x14ac:dyDescent="0.3">
      <c r="B17" s="64" t="s">
        <v>52</v>
      </c>
      <c r="C17" s="5">
        <f t="shared" si="8"/>
        <v>10.383333333333333</v>
      </c>
      <c r="D17" s="5">
        <v>12.15</v>
      </c>
      <c r="E17" s="5">
        <v>8.5</v>
      </c>
      <c r="F17" s="5">
        <v>10.5</v>
      </c>
      <c r="G17" s="6">
        <v>1</v>
      </c>
      <c r="H17" s="7">
        <f t="shared" si="6"/>
        <v>10.383333333333333</v>
      </c>
      <c r="I17" s="76"/>
      <c r="J17" s="77"/>
      <c r="K17" s="8"/>
      <c r="L17" s="8" t="str">
        <f t="shared" si="9"/>
        <v>NA</v>
      </c>
      <c r="O17" s="8">
        <f t="shared" si="7"/>
        <v>12.15</v>
      </c>
      <c r="P17" s="8">
        <f t="shared" si="10"/>
        <v>8.5</v>
      </c>
      <c r="Q17" s="8">
        <f t="shared" si="11"/>
        <v>10.5</v>
      </c>
    </row>
    <row r="18" spans="2:17" ht="16.5" customHeight="1" thickBot="1" x14ac:dyDescent="0.3">
      <c r="B18" s="78" t="s">
        <v>59</v>
      </c>
      <c r="C18" s="79"/>
      <c r="D18" s="79"/>
      <c r="E18" s="79"/>
      <c r="F18" s="79"/>
      <c r="G18" s="79"/>
      <c r="H18" s="79"/>
      <c r="I18" s="79"/>
      <c r="J18" s="79"/>
      <c r="K18" s="79"/>
      <c r="L18" s="80"/>
    </row>
    <row r="19" spans="2:17" ht="16.149999999999999" customHeight="1" thickBot="1" x14ac:dyDescent="0.3">
      <c r="B19" s="9" t="s">
        <v>16</v>
      </c>
      <c r="C19" s="86">
        <f>(SUM(H14:H17)/SUM(G14:G17))</f>
        <v>12.429166666666665</v>
      </c>
      <c r="D19" s="86"/>
      <c r="E19" s="86"/>
      <c r="F19" s="86"/>
      <c r="G19" s="87" t="s">
        <v>13</v>
      </c>
      <c r="H19" s="87"/>
      <c r="I19" s="69"/>
      <c r="J19" s="88"/>
      <c r="K19" s="88"/>
      <c r="L19" s="89"/>
    </row>
    <row r="20" spans="2:17" ht="16.5" thickBot="1" x14ac:dyDescent="0.3">
      <c r="B20" s="92"/>
      <c r="C20" s="93"/>
      <c r="D20" s="93"/>
      <c r="E20" s="93"/>
      <c r="F20" s="93"/>
      <c r="G20" s="93"/>
      <c r="H20" s="93"/>
      <c r="I20" s="93"/>
      <c r="J20" s="93"/>
      <c r="K20" s="93"/>
      <c r="L20" s="94"/>
    </row>
    <row r="21" spans="2:17" ht="16.5" thickBot="1" x14ac:dyDescent="0.3">
      <c r="B21" s="64" t="s">
        <v>9</v>
      </c>
      <c r="C21" s="5">
        <f>(D21+F21+E21)/3</f>
        <v>9.9583333333333339</v>
      </c>
      <c r="D21" s="5">
        <v>8.5749999999999993</v>
      </c>
      <c r="E21" s="5">
        <v>9.8000000000000007</v>
      </c>
      <c r="F21" s="8">
        <v>11.5</v>
      </c>
      <c r="G21" s="6">
        <v>2</v>
      </c>
      <c r="H21" s="7">
        <f t="shared" ref="H21:H24" si="12">C21*G21</f>
        <v>19.916666666666668</v>
      </c>
      <c r="I21" s="76"/>
      <c r="J21" s="77"/>
      <c r="K21" s="8"/>
      <c r="L21" s="8" t="str">
        <f t="shared" ref="L21:L24" si="13">IF(C21&lt;11,"NA",IF(C21&lt;15,"ECA",IF(C21&lt;18,"A",IF(C21&lt;20,"A+"))))</f>
        <v>NA</v>
      </c>
      <c r="O21" s="8">
        <f t="shared" ref="O21:O24" si="14">D21*G21</f>
        <v>17.149999999999999</v>
      </c>
      <c r="P21" s="8">
        <f>E21*G21</f>
        <v>19.600000000000001</v>
      </c>
      <c r="Q21" s="8">
        <f>G21*F21</f>
        <v>23</v>
      </c>
    </row>
    <row r="22" spans="2:17" ht="16.5" thickBot="1" x14ac:dyDescent="0.3">
      <c r="B22" s="64" t="s">
        <v>10</v>
      </c>
      <c r="C22" s="5">
        <f t="shared" ref="C22:C24" si="15">(D22+F22+E22)/3</f>
        <v>12.094999999999999</v>
      </c>
      <c r="D22" s="5">
        <v>10.95</v>
      </c>
      <c r="E22" s="5">
        <v>12.635</v>
      </c>
      <c r="F22" s="8">
        <v>12.7</v>
      </c>
      <c r="G22" s="6">
        <v>4</v>
      </c>
      <c r="H22" s="7">
        <f t="shared" si="12"/>
        <v>48.379999999999995</v>
      </c>
      <c r="I22" s="76"/>
      <c r="J22" s="77"/>
      <c r="K22" s="8"/>
      <c r="L22" s="8" t="str">
        <f t="shared" si="13"/>
        <v>ECA</v>
      </c>
      <c r="O22" s="8">
        <f t="shared" si="14"/>
        <v>43.8</v>
      </c>
      <c r="P22" s="8">
        <f t="shared" ref="P22:P24" si="16">E22*G22</f>
        <v>50.54</v>
      </c>
      <c r="Q22" s="8">
        <f t="shared" ref="Q22:Q24" si="17">G22*F22</f>
        <v>50.8</v>
      </c>
    </row>
    <row r="23" spans="2:17" ht="16.5" thickBot="1" x14ac:dyDescent="0.3">
      <c r="B23" s="64" t="s">
        <v>56</v>
      </c>
      <c r="C23" s="5">
        <f>F23</f>
        <v>19</v>
      </c>
      <c r="D23" s="5"/>
      <c r="E23" s="5"/>
      <c r="F23" s="8">
        <v>19</v>
      </c>
      <c r="G23" s="6">
        <v>2</v>
      </c>
      <c r="H23" s="7">
        <f t="shared" si="12"/>
        <v>38</v>
      </c>
      <c r="I23" s="76"/>
      <c r="J23" s="77"/>
      <c r="K23" s="8"/>
      <c r="L23" s="8" t="str">
        <f t="shared" si="13"/>
        <v>A+</v>
      </c>
      <c r="O23" s="8">
        <f t="shared" si="14"/>
        <v>0</v>
      </c>
      <c r="P23" s="8">
        <f t="shared" si="16"/>
        <v>0</v>
      </c>
      <c r="Q23" s="8">
        <f t="shared" si="17"/>
        <v>38</v>
      </c>
    </row>
    <row r="24" spans="2:17" ht="16.5" thickBot="1" x14ac:dyDescent="0.3">
      <c r="B24" s="64" t="s">
        <v>11</v>
      </c>
      <c r="C24" s="5">
        <f t="shared" si="15"/>
        <v>11.51</v>
      </c>
      <c r="D24" s="5">
        <v>9.5500000000000007</v>
      </c>
      <c r="E24" s="5">
        <v>8.48</v>
      </c>
      <c r="F24" s="8">
        <v>16.5</v>
      </c>
      <c r="G24" s="6">
        <v>2</v>
      </c>
      <c r="H24" s="7">
        <f t="shared" si="12"/>
        <v>23.02</v>
      </c>
      <c r="I24" s="76"/>
      <c r="J24" s="77"/>
      <c r="K24" s="8"/>
      <c r="L24" s="8" t="str">
        <f t="shared" si="13"/>
        <v>ECA</v>
      </c>
      <c r="O24" s="8">
        <f t="shared" si="14"/>
        <v>19.100000000000001</v>
      </c>
      <c r="P24" s="8">
        <f t="shared" si="16"/>
        <v>16.96</v>
      </c>
      <c r="Q24" s="8">
        <f t="shared" si="17"/>
        <v>33</v>
      </c>
    </row>
    <row r="25" spans="2:17" ht="16.5" customHeight="1" thickBot="1" x14ac:dyDescent="0.3">
      <c r="B25" s="78" t="s">
        <v>60</v>
      </c>
      <c r="C25" s="79"/>
      <c r="D25" s="79"/>
      <c r="E25" s="79"/>
      <c r="F25" s="79"/>
      <c r="G25" s="79"/>
      <c r="H25" s="79"/>
      <c r="I25" s="79"/>
      <c r="J25" s="79"/>
      <c r="K25" s="79"/>
      <c r="L25" s="80"/>
    </row>
    <row r="26" spans="2:17" ht="16.149999999999999" customHeight="1" thickBot="1" x14ac:dyDescent="0.3">
      <c r="B26" s="9" t="s">
        <v>12</v>
      </c>
      <c r="C26" s="86">
        <f>(SUM(H21:H24)/SUM(G21:G24))</f>
        <v>12.931666666666667</v>
      </c>
      <c r="D26" s="86"/>
      <c r="E26" s="86"/>
      <c r="F26" s="86"/>
      <c r="G26" s="87" t="s">
        <v>13</v>
      </c>
      <c r="H26" s="87"/>
      <c r="I26" s="69"/>
      <c r="J26" s="88"/>
      <c r="K26" s="88"/>
      <c r="L26" s="89"/>
    </row>
    <row r="27" spans="2:17" ht="16.5" thickBot="1" x14ac:dyDescent="0.3">
      <c r="B27" s="81"/>
      <c r="C27" s="82"/>
      <c r="D27" s="82"/>
      <c r="E27" s="82"/>
      <c r="F27" s="82"/>
      <c r="G27" s="82"/>
      <c r="H27" s="82"/>
      <c r="I27" s="100"/>
      <c r="J27" s="100"/>
      <c r="K27" s="100"/>
      <c r="L27" s="83"/>
    </row>
    <row r="28" spans="2:17" ht="16.5" thickBot="1" x14ac:dyDescent="0.3">
      <c r="B28" s="64" t="s">
        <v>53</v>
      </c>
      <c r="C28" s="5">
        <f>(D28+F28+E28)/3</f>
        <v>14</v>
      </c>
      <c r="D28" s="8">
        <v>13.5</v>
      </c>
      <c r="E28" s="8">
        <v>14.5</v>
      </c>
      <c r="F28" s="8">
        <v>14</v>
      </c>
      <c r="G28" s="6">
        <v>1</v>
      </c>
      <c r="H28" s="7">
        <f t="shared" ref="H28:H31" si="18">C28*G28</f>
        <v>14</v>
      </c>
      <c r="I28" s="76"/>
      <c r="J28" s="77"/>
      <c r="K28" s="8"/>
      <c r="L28" s="8" t="str">
        <f t="shared" ref="L28:L31" si="19">IF(C28&lt;11,"NA",IF(C28&lt;15,"ECA",IF(C28&lt;18,"A",IF(C28&lt;20,"A+"))))</f>
        <v>ECA</v>
      </c>
      <c r="O28" s="8">
        <f t="shared" ref="O28:O31" si="20">D28*G28</f>
        <v>13.5</v>
      </c>
      <c r="P28" s="8">
        <f>E28*G28</f>
        <v>14.5</v>
      </c>
      <c r="Q28" s="8">
        <f>G28*F28</f>
        <v>14</v>
      </c>
    </row>
    <row r="29" spans="2:17" ht="16.5" thickBot="1" x14ac:dyDescent="0.3">
      <c r="B29" s="64" t="s">
        <v>48</v>
      </c>
      <c r="C29" s="5">
        <f t="shared" ref="C29:C31" si="21">(D29+F29+E29)/3</f>
        <v>14.583333333333334</v>
      </c>
      <c r="D29" s="8">
        <v>13.7</v>
      </c>
      <c r="E29" s="8">
        <v>15.05</v>
      </c>
      <c r="F29" s="8">
        <v>15</v>
      </c>
      <c r="G29" s="6">
        <v>2</v>
      </c>
      <c r="H29" s="7">
        <f t="shared" si="18"/>
        <v>29.166666666666668</v>
      </c>
      <c r="I29" s="76"/>
      <c r="J29" s="77"/>
      <c r="K29" s="8"/>
      <c r="L29" s="8" t="str">
        <f t="shared" si="19"/>
        <v>ECA</v>
      </c>
      <c r="O29" s="8">
        <f t="shared" si="20"/>
        <v>27.4</v>
      </c>
      <c r="P29" s="8">
        <f t="shared" ref="P29:P31" si="22">E29*G29</f>
        <v>30.1</v>
      </c>
      <c r="Q29" s="8">
        <f t="shared" ref="Q29:Q31" si="23">G29*F29</f>
        <v>30</v>
      </c>
    </row>
    <row r="30" spans="2:17" ht="16.5" thickBot="1" x14ac:dyDescent="0.3">
      <c r="B30" s="64" t="s">
        <v>49</v>
      </c>
      <c r="C30" s="5">
        <f t="shared" si="21"/>
        <v>12.799999999999999</v>
      </c>
      <c r="D30" s="8">
        <v>12</v>
      </c>
      <c r="E30" s="8">
        <v>12.4</v>
      </c>
      <c r="F30" s="8">
        <v>14</v>
      </c>
      <c r="G30" s="6">
        <v>1</v>
      </c>
      <c r="H30" s="7">
        <f t="shared" si="18"/>
        <v>12.799999999999999</v>
      </c>
      <c r="I30" s="76"/>
      <c r="J30" s="77"/>
      <c r="K30" s="8"/>
      <c r="L30" s="8" t="str">
        <f t="shared" si="19"/>
        <v>ECA</v>
      </c>
      <c r="O30" s="8">
        <f t="shared" si="20"/>
        <v>12</v>
      </c>
      <c r="P30" s="8">
        <f t="shared" si="22"/>
        <v>12.4</v>
      </c>
      <c r="Q30" s="8">
        <f t="shared" si="23"/>
        <v>14</v>
      </c>
    </row>
    <row r="31" spans="2:17" ht="16.5" thickBot="1" x14ac:dyDescent="0.3">
      <c r="B31" s="64" t="s">
        <v>18</v>
      </c>
      <c r="C31" s="5">
        <f t="shared" si="21"/>
        <v>14.5</v>
      </c>
      <c r="D31" s="8">
        <v>12</v>
      </c>
      <c r="E31" s="8">
        <v>16</v>
      </c>
      <c r="F31" s="8">
        <v>15.5</v>
      </c>
      <c r="G31" s="6">
        <v>1</v>
      </c>
      <c r="H31" s="7">
        <f t="shared" si="18"/>
        <v>14.5</v>
      </c>
      <c r="I31" s="76"/>
      <c r="J31" s="77"/>
      <c r="K31" s="8"/>
      <c r="L31" s="8" t="str">
        <f t="shared" si="19"/>
        <v>ECA</v>
      </c>
      <c r="O31" s="8">
        <f t="shared" si="20"/>
        <v>12</v>
      </c>
      <c r="P31" s="8">
        <f t="shared" si="22"/>
        <v>16</v>
      </c>
      <c r="Q31" s="8">
        <f t="shared" si="23"/>
        <v>15.5</v>
      </c>
    </row>
    <row r="32" spans="2:17" ht="16.5" customHeight="1" thickBot="1" x14ac:dyDescent="0.3">
      <c r="B32" s="64" t="s">
        <v>57</v>
      </c>
      <c r="C32" s="65"/>
      <c r="D32" s="65"/>
      <c r="E32" s="65"/>
      <c r="F32" s="65"/>
      <c r="G32" s="65"/>
      <c r="H32" s="65"/>
      <c r="I32" s="65"/>
      <c r="J32" s="65"/>
      <c r="K32" s="65"/>
      <c r="L32" s="66"/>
      <c r="O32" s="1">
        <f>SUM(O6:O31)</f>
        <v>267.75</v>
      </c>
      <c r="P32" s="1">
        <f>SUM(P6:P31)</f>
        <v>299.39249999999998</v>
      </c>
      <c r="Q32" s="1">
        <f>SUM(Q5:Q31)</f>
        <v>414.53750000000002</v>
      </c>
    </row>
    <row r="33" spans="2:17" ht="16.149999999999999" customHeight="1" thickBot="1" x14ac:dyDescent="0.3">
      <c r="B33" s="9" t="s">
        <v>16</v>
      </c>
      <c r="C33" s="86">
        <f>(SUM(H28:H31)/SUM(G28:G31))</f>
        <v>14.093333333333334</v>
      </c>
      <c r="D33" s="86"/>
      <c r="E33" s="86"/>
      <c r="F33" s="86"/>
      <c r="G33" s="87" t="s">
        <v>13</v>
      </c>
      <c r="H33" s="87"/>
      <c r="I33" s="69"/>
      <c r="J33" s="88"/>
      <c r="K33" s="88"/>
      <c r="L33" s="89"/>
      <c r="O33" s="1">
        <v>26</v>
      </c>
      <c r="P33" s="1">
        <v>26</v>
      </c>
      <c r="Q33" s="1">
        <v>32</v>
      </c>
    </row>
    <row r="34" spans="2:17" ht="16.5" thickBot="1" x14ac:dyDescent="0.3">
      <c r="B34" s="81"/>
      <c r="C34" s="82"/>
      <c r="D34" s="82"/>
      <c r="E34" s="82"/>
      <c r="F34" s="82"/>
      <c r="G34" s="82"/>
      <c r="H34" s="82"/>
      <c r="I34" s="82"/>
      <c r="J34" s="82"/>
      <c r="K34" s="82"/>
      <c r="L34" s="83"/>
      <c r="O34" s="1">
        <f>O32/O33</f>
        <v>10.298076923076923</v>
      </c>
      <c r="P34" s="1">
        <f>P32/P33</f>
        <v>11.515096153846153</v>
      </c>
      <c r="Q34" s="1">
        <f>Q32/Q33</f>
        <v>12.954296875000001</v>
      </c>
    </row>
    <row r="35" spans="2:17" s="17" customFormat="1" ht="48" thickBot="1" x14ac:dyDescent="0.3">
      <c r="B35" s="64" t="s">
        <v>19</v>
      </c>
      <c r="C35" s="70" t="s">
        <v>20</v>
      </c>
      <c r="D35" s="69"/>
      <c r="E35" s="69"/>
      <c r="F35" s="71" t="s">
        <v>21</v>
      </c>
      <c r="G35" s="88"/>
      <c r="H35" s="88"/>
      <c r="I35" s="71" t="s">
        <v>22</v>
      </c>
      <c r="J35" s="88"/>
      <c r="K35" s="88"/>
      <c r="L35" s="72"/>
    </row>
    <row r="36" spans="2:17" x14ac:dyDescent="0.25">
      <c r="B36" s="18"/>
      <c r="C36" s="19" t="s">
        <v>1</v>
      </c>
      <c r="D36" s="19" t="s">
        <v>63</v>
      </c>
      <c r="E36" s="19" t="s">
        <v>65</v>
      </c>
      <c r="F36" s="20"/>
      <c r="G36" s="20"/>
      <c r="H36" s="21"/>
      <c r="I36" s="101"/>
      <c r="J36" s="100"/>
      <c r="K36" s="100"/>
      <c r="L36" s="102"/>
    </row>
    <row r="37" spans="2:17" x14ac:dyDescent="0.25">
      <c r="B37" s="22" t="s">
        <v>23</v>
      </c>
      <c r="C37" s="23">
        <f>O34</f>
        <v>10.298076923076923</v>
      </c>
      <c r="D37" s="23">
        <f>P34</f>
        <v>11.515096153846153</v>
      </c>
      <c r="E37" s="23">
        <f>Q34</f>
        <v>12.954296875000001</v>
      </c>
      <c r="F37" s="32" t="s">
        <v>66</v>
      </c>
      <c r="G37" s="25">
        <f>(H5+H6+H7+H8+H9+H10+H14+H15+H16+H17+H21+H22+H23+H24+H28+H29+H30+H31)/32</f>
        <v>12.246666666666666</v>
      </c>
      <c r="H37" s="24" t="s">
        <v>25</v>
      </c>
      <c r="I37" s="103" t="s">
        <v>26</v>
      </c>
      <c r="J37" s="104"/>
      <c r="K37" s="26"/>
      <c r="L37" s="27" t="s">
        <v>25</v>
      </c>
    </row>
    <row r="38" spans="2:17" ht="16.5" customHeight="1" thickBot="1" x14ac:dyDescent="0.3">
      <c r="B38" s="95"/>
      <c r="C38" s="96"/>
      <c r="D38" s="96"/>
      <c r="E38" s="96"/>
      <c r="F38" s="96"/>
      <c r="G38" s="96"/>
      <c r="H38" s="96"/>
      <c r="I38" s="97"/>
      <c r="J38" s="98"/>
      <c r="K38" s="98"/>
      <c r="L38" s="99"/>
    </row>
    <row r="39" spans="2:17" ht="16.5" customHeight="1" thickBot="1" x14ac:dyDescent="0.3">
      <c r="B39" s="105" t="s">
        <v>67</v>
      </c>
      <c r="C39" s="106"/>
      <c r="D39" s="106"/>
      <c r="E39" s="106"/>
      <c r="F39" s="106"/>
      <c r="G39" s="106"/>
      <c r="H39" s="106"/>
      <c r="I39" s="106"/>
      <c r="J39" s="106"/>
      <c r="K39" s="106"/>
      <c r="L39" s="107"/>
    </row>
    <row r="40" spans="2:17" ht="16.5" customHeight="1" thickBot="1" x14ac:dyDescent="0.3">
      <c r="B40" s="108" t="s">
        <v>28</v>
      </c>
      <c r="C40" s="88"/>
      <c r="D40" s="88"/>
      <c r="E40" s="88"/>
      <c r="F40" s="88"/>
      <c r="G40" s="88"/>
      <c r="H40" s="88"/>
      <c r="I40" s="88"/>
      <c r="J40" s="88"/>
      <c r="K40" s="88"/>
      <c r="L40" s="89"/>
    </row>
    <row r="41" spans="2:17" ht="16.149999999999999" customHeight="1" thickBot="1" x14ac:dyDescent="0.3">
      <c r="B41" s="64" t="s">
        <v>29</v>
      </c>
      <c r="C41" s="81" t="s">
        <v>30</v>
      </c>
      <c r="D41" s="82"/>
      <c r="E41" s="82"/>
      <c r="F41" s="83"/>
      <c r="G41" s="109" t="s">
        <v>31</v>
      </c>
      <c r="H41" s="110"/>
      <c r="I41" s="110"/>
      <c r="J41" s="110"/>
      <c r="K41" s="110"/>
      <c r="L41" s="111"/>
    </row>
    <row r="42" spans="2:17" ht="16.5" customHeight="1" thickBot="1" x14ac:dyDescent="0.3">
      <c r="B42" s="42" t="s">
        <v>32</v>
      </c>
      <c r="C42" s="110" t="str">
        <f>IF(G37&lt;11,"NA",IF(G37&lt;15,"ECA",IF(G37&lt;18,"A",IF(G37&lt;20,"A+"))))</f>
        <v>ECA</v>
      </c>
      <c r="D42" s="110" t="e">
        <f>IF(#REF!&lt;11,"NA",IF(#REF!&lt;15,"ECA",IF(#REF!&lt;18,"A",IF(#REF!&lt;20,"A+"))))</f>
        <v>#REF!</v>
      </c>
      <c r="E42" s="110"/>
      <c r="F42" s="111" t="e">
        <f>IF(#REF!&lt;11,"NA",IF(#REF!&lt;15,"ECA",IF(#REF!&lt;18,"A",IF(#REF!&lt;20,"A+"))))</f>
        <v>#REF!</v>
      </c>
      <c r="G42" s="112"/>
      <c r="H42" s="113"/>
      <c r="I42" s="113"/>
      <c r="J42" s="113"/>
      <c r="K42" s="113"/>
      <c r="L42" s="114"/>
    </row>
    <row r="43" spans="2:17" ht="16.5" customHeight="1" thickBot="1" x14ac:dyDescent="0.3">
      <c r="B43" s="43" t="s">
        <v>33</v>
      </c>
      <c r="C43" s="115" t="e">
        <f>IF(#REF!&lt;11,"NA",IF(#REF!&lt;15,"ECA",IF(#REF!&lt;18,"A",IF(#REF!&lt;20,"A+"))))</f>
        <v>#REF!</v>
      </c>
      <c r="D43" s="116" t="e">
        <f>IF(#REF!&lt;11,"NA",IF(#REF!&lt;15,"ECA",IF(#REF!&lt;18,"A",IF(#REF!&lt;20,"A+"))))</f>
        <v>#REF!</v>
      </c>
      <c r="E43" s="116"/>
      <c r="F43" s="117" t="e">
        <f>IF(#REF!&lt;11,"NA",IF(#REF!&lt;15,"ECA",IF(#REF!&lt;18,"A",IF(#REF!&lt;20,"A+"))))</f>
        <v>#REF!</v>
      </c>
      <c r="G43" s="108" t="s">
        <v>34</v>
      </c>
      <c r="H43" s="88"/>
      <c r="I43" s="88"/>
      <c r="J43" s="89"/>
      <c r="K43" s="109" t="s">
        <v>35</v>
      </c>
      <c r="L43" s="111"/>
    </row>
    <row r="44" spans="2:17" ht="16.5" customHeight="1" thickBot="1" x14ac:dyDescent="0.3">
      <c r="B44" s="29" t="s">
        <v>36</v>
      </c>
      <c r="C44" s="112" t="e">
        <f>IF(#REF!&lt;11,"NA",IF(#REF!&lt;15,"ECA",IF(#REF!&lt;18,"A",IF(#REF!&lt;20,"A+"))))</f>
        <v>#REF!</v>
      </c>
      <c r="D44" s="113" t="e">
        <f>IF(#REF!&lt;11,"NA",IF(#REF!&lt;15,"ECA",IF(#REF!&lt;18,"A",IF(#REF!&lt;20,"A+"))))</f>
        <v>#REF!</v>
      </c>
      <c r="E44" s="113"/>
      <c r="F44" s="114" t="e">
        <f>IF(#REF!&lt;11,"NA",IF(#REF!&lt;15,"ECA",IF(#REF!&lt;18,"A",IF(#REF!&lt;20,"A+"))))</f>
        <v>#REF!</v>
      </c>
      <c r="G44" s="108" t="s">
        <v>37</v>
      </c>
      <c r="H44" s="88"/>
      <c r="I44" s="88"/>
      <c r="J44" s="89"/>
      <c r="K44" s="118" t="s">
        <v>38</v>
      </c>
      <c r="L44" s="119"/>
    </row>
    <row r="45" spans="2:17" ht="16.5" customHeight="1" thickBot="1" x14ac:dyDescent="0.3">
      <c r="B45" s="70" t="s">
        <v>39</v>
      </c>
      <c r="C45" s="109" t="s">
        <v>40</v>
      </c>
      <c r="D45" s="110"/>
      <c r="E45" s="110"/>
      <c r="F45" s="111"/>
      <c r="G45" s="108" t="s">
        <v>41</v>
      </c>
      <c r="H45" s="88"/>
      <c r="I45" s="88"/>
      <c r="J45" s="89"/>
      <c r="K45" s="118"/>
      <c r="L45" s="119"/>
    </row>
    <row r="46" spans="2:17" ht="16.149999999999999" customHeight="1" thickBot="1" x14ac:dyDescent="0.3">
      <c r="B46" s="70" t="s">
        <v>42</v>
      </c>
      <c r="C46" s="112"/>
      <c r="D46" s="113"/>
      <c r="E46" s="113"/>
      <c r="F46" s="114"/>
      <c r="G46" s="108" t="s">
        <v>43</v>
      </c>
      <c r="H46" s="88"/>
      <c r="I46" s="88"/>
      <c r="J46" s="89"/>
      <c r="K46" s="120" t="s">
        <v>44</v>
      </c>
      <c r="L46" s="121"/>
    </row>
    <row r="47" spans="2:17" ht="31.5" x14ac:dyDescent="0.25">
      <c r="B47" s="64" t="s">
        <v>45</v>
      </c>
      <c r="C47" s="101"/>
      <c r="D47" s="100"/>
      <c r="E47" s="100"/>
      <c r="F47" s="102"/>
      <c r="G47" s="101"/>
      <c r="H47" s="100"/>
      <c r="I47" s="100"/>
      <c r="J47" s="102"/>
      <c r="K47" s="120" t="s">
        <v>46</v>
      </c>
      <c r="L47" s="121"/>
    </row>
    <row r="48" spans="2:17" x14ac:dyDescent="0.25">
      <c r="B48" s="28"/>
      <c r="C48" s="122"/>
      <c r="D48" s="123"/>
      <c r="E48" s="123"/>
      <c r="F48" s="124"/>
      <c r="G48" s="122"/>
      <c r="H48" s="123"/>
      <c r="I48" s="123"/>
      <c r="J48" s="124"/>
      <c r="K48" s="128"/>
      <c r="L48" s="129"/>
    </row>
    <row r="49" spans="2:12" x14ac:dyDescent="0.25">
      <c r="B49" s="28"/>
      <c r="C49" s="122"/>
      <c r="D49" s="123"/>
      <c r="E49" s="123"/>
      <c r="F49" s="124"/>
      <c r="G49" s="122"/>
      <c r="H49" s="123"/>
      <c r="I49" s="123"/>
      <c r="J49" s="124"/>
      <c r="K49" s="128"/>
      <c r="L49" s="129"/>
    </row>
    <row r="50" spans="2:12" ht="16.5" thickBot="1" x14ac:dyDescent="0.3">
      <c r="B50" s="29"/>
      <c r="C50" s="125"/>
      <c r="D50" s="126"/>
      <c r="E50" s="126"/>
      <c r="F50" s="127"/>
      <c r="G50" s="125"/>
      <c r="H50" s="126"/>
      <c r="I50" s="126"/>
      <c r="J50" s="127"/>
      <c r="K50" s="97"/>
      <c r="L50" s="99"/>
    </row>
  </sheetData>
  <mergeCells count="62">
    <mergeCell ref="B13:L13"/>
    <mergeCell ref="I14:J14"/>
    <mergeCell ref="I15:J15"/>
    <mergeCell ref="I16:J16"/>
    <mergeCell ref="I4:J4"/>
    <mergeCell ref="I6:J6"/>
    <mergeCell ref="I7:J7"/>
    <mergeCell ref="I9:J9"/>
    <mergeCell ref="I10:J10"/>
    <mergeCell ref="B11:L11"/>
    <mergeCell ref="C12:F12"/>
    <mergeCell ref="G12:H12"/>
    <mergeCell ref="J12:L12"/>
    <mergeCell ref="I28:J28"/>
    <mergeCell ref="I29:J29"/>
    <mergeCell ref="I30:J30"/>
    <mergeCell ref="I31:J31"/>
    <mergeCell ref="C33:F33"/>
    <mergeCell ref="G33:H33"/>
    <mergeCell ref="J33:L33"/>
    <mergeCell ref="B25:L25"/>
    <mergeCell ref="C26:F26"/>
    <mergeCell ref="G26:H26"/>
    <mergeCell ref="J26:L26"/>
    <mergeCell ref="B27:L27"/>
    <mergeCell ref="I17:J17"/>
    <mergeCell ref="B18:L18"/>
    <mergeCell ref="C19:F19"/>
    <mergeCell ref="G19:H19"/>
    <mergeCell ref="J19:L19"/>
    <mergeCell ref="B20:L20"/>
    <mergeCell ref="I21:J21"/>
    <mergeCell ref="I22:J22"/>
    <mergeCell ref="I23:J23"/>
    <mergeCell ref="I24:J24"/>
    <mergeCell ref="B34:L34"/>
    <mergeCell ref="G35:H35"/>
    <mergeCell ref="J35:K35"/>
    <mergeCell ref="I36:L36"/>
    <mergeCell ref="I37:J37"/>
    <mergeCell ref="B38:H38"/>
    <mergeCell ref="I38:L38"/>
    <mergeCell ref="B39:L39"/>
    <mergeCell ref="B40:L40"/>
    <mergeCell ref="C41:F41"/>
    <mergeCell ref="G41:L42"/>
    <mergeCell ref="C42:F44"/>
    <mergeCell ref="G43:J43"/>
    <mergeCell ref="K43:L43"/>
    <mergeCell ref="G44:J44"/>
    <mergeCell ref="K44:L44"/>
    <mergeCell ref="C45:F46"/>
    <mergeCell ref="G45:J45"/>
    <mergeCell ref="K45:L45"/>
    <mergeCell ref="G46:J46"/>
    <mergeCell ref="K46:L46"/>
    <mergeCell ref="C47:F50"/>
    <mergeCell ref="G47:J50"/>
    <mergeCell ref="K47:L47"/>
    <mergeCell ref="K48:L48"/>
    <mergeCell ref="K49:L49"/>
    <mergeCell ref="K50:L5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C50"/>
  <sheetViews>
    <sheetView zoomScale="60" zoomScaleNormal="60" workbookViewId="0">
      <selection activeCell="D9" sqref="D9:D10"/>
    </sheetView>
  </sheetViews>
  <sheetFormatPr baseColWidth="10" defaultColWidth="11.42578125" defaultRowHeight="15.75" x14ac:dyDescent="0.25"/>
  <cols>
    <col min="1" max="1" width="11.42578125" style="1"/>
    <col min="2" max="2" width="44.140625" style="1" customWidth="1"/>
    <col min="3" max="3" width="12.140625" style="1" customWidth="1"/>
    <col min="4" max="5" width="11.42578125" style="1"/>
    <col min="6" max="6" width="15.5703125" style="1" customWidth="1"/>
    <col min="7" max="7" width="11.42578125" style="1"/>
    <col min="8" max="8" width="12.42578125" style="1" customWidth="1"/>
    <col min="9" max="11" width="11.42578125" style="1"/>
    <col min="12" max="12" width="18.28515625" style="1" bestFit="1" customWidth="1"/>
    <col min="13" max="16384" width="11.42578125" style="1"/>
  </cols>
  <sheetData>
    <row r="3" spans="2:29" ht="16.5" thickBot="1" x14ac:dyDescent="0.3"/>
    <row r="4" spans="2:29" ht="30.75" customHeight="1" thickBot="1" x14ac:dyDescent="0.3">
      <c r="B4" s="59" t="s">
        <v>0</v>
      </c>
      <c r="C4" s="68" t="s">
        <v>68</v>
      </c>
      <c r="D4" s="68" t="s">
        <v>1</v>
      </c>
      <c r="E4" s="68" t="s">
        <v>63</v>
      </c>
      <c r="F4" s="68" t="s">
        <v>64</v>
      </c>
      <c r="G4" s="68" t="s">
        <v>4</v>
      </c>
      <c r="H4" s="67" t="s">
        <v>5</v>
      </c>
      <c r="I4" s="84" t="s">
        <v>6</v>
      </c>
      <c r="J4" s="85"/>
      <c r="K4" s="68" t="s">
        <v>7</v>
      </c>
      <c r="L4" s="68" t="s">
        <v>8</v>
      </c>
    </row>
    <row r="5" spans="2:29" ht="18" customHeight="1" thickBot="1" x14ac:dyDescent="0.3">
      <c r="B5" s="60" t="s">
        <v>61</v>
      </c>
      <c r="C5" s="5">
        <f>F5</f>
        <v>10.5</v>
      </c>
      <c r="D5" s="58"/>
      <c r="E5" s="58"/>
      <c r="F5" s="5">
        <v>10.5</v>
      </c>
      <c r="G5" s="61">
        <v>2</v>
      </c>
      <c r="H5" s="7">
        <f>C5*G5</f>
        <v>21</v>
      </c>
      <c r="I5" s="67"/>
      <c r="J5" s="68"/>
      <c r="K5" s="58"/>
      <c r="L5" s="8" t="str">
        <f>IF(C5&lt;11,"NA",IF(C5&lt;15,"ECA",IF(C5&lt;18,"A",IF(C5&lt;20,"A+"))))</f>
        <v>NA</v>
      </c>
      <c r="O5" s="8">
        <f>D5*G5</f>
        <v>0</v>
      </c>
      <c r="P5" s="8">
        <f>E5*G5</f>
        <v>0</v>
      </c>
      <c r="Q5" s="8">
        <f>G5*F5</f>
        <v>21</v>
      </c>
    </row>
    <row r="6" spans="2:29" ht="16.5" thickBot="1" x14ac:dyDescent="0.3">
      <c r="B6" s="64" t="s">
        <v>17</v>
      </c>
      <c r="C6" s="5">
        <f t="shared" ref="C6:C10" si="0">(D6+F6+E6)/3</f>
        <v>7.958333333333333</v>
      </c>
      <c r="D6" s="5">
        <v>6.5750000000000002</v>
      </c>
      <c r="E6" s="5">
        <v>7.6749999999999998</v>
      </c>
      <c r="F6" s="5">
        <v>9.625</v>
      </c>
      <c r="G6" s="6">
        <v>3</v>
      </c>
      <c r="H6" s="7">
        <f>C6*G6</f>
        <v>23.875</v>
      </c>
      <c r="I6" s="76"/>
      <c r="J6" s="77"/>
      <c r="K6" s="8"/>
      <c r="L6" s="8" t="str">
        <f>IF(C6&lt;11,"NA",IF(C6&lt;15,"ECA",IF(C6&lt;18,"A",IF(C6&lt;20,"A+"))))</f>
        <v>NA</v>
      </c>
      <c r="O6" s="8">
        <f>D6*G6</f>
        <v>19.725000000000001</v>
      </c>
      <c r="P6" s="8">
        <f t="shared" ref="P6:P10" si="1">E6*G6</f>
        <v>23.024999999999999</v>
      </c>
      <c r="Q6" s="8">
        <f t="shared" ref="Q6:Q10" si="2">G6*F6</f>
        <v>28.875</v>
      </c>
    </row>
    <row r="7" spans="2:29" ht="16.5" thickBot="1" x14ac:dyDescent="0.3">
      <c r="B7" s="64" t="s">
        <v>54</v>
      </c>
      <c r="C7" s="5">
        <f t="shared" si="0"/>
        <v>7.1083333333333334</v>
      </c>
      <c r="D7" s="5">
        <v>6</v>
      </c>
      <c r="E7" s="5">
        <v>5.6999999999999993</v>
      </c>
      <c r="F7" s="5">
        <v>9.625</v>
      </c>
      <c r="G7" s="6">
        <v>1</v>
      </c>
      <c r="H7" s="7">
        <f t="shared" ref="H7:H10" si="3">C7*G7</f>
        <v>7.1083333333333334</v>
      </c>
      <c r="I7" s="76"/>
      <c r="J7" s="77"/>
      <c r="K7" s="8"/>
      <c r="L7" s="8" t="str">
        <f t="shared" ref="L7:L10" si="4">IF(C7&lt;11,"NA",IF(C7&lt;15,"ECA",IF(C7&lt;18,"A",IF(C7&lt;20,"A+"))))</f>
        <v>NA</v>
      </c>
      <c r="O7" s="8">
        <f t="shared" ref="O7:O10" si="5">D7*G7</f>
        <v>6</v>
      </c>
      <c r="P7" s="8">
        <f t="shared" si="1"/>
        <v>5.6999999999999993</v>
      </c>
      <c r="Q7" s="8">
        <f t="shared" si="2"/>
        <v>9.625</v>
      </c>
    </row>
    <row r="8" spans="2:29" ht="16.5" thickBot="1" x14ac:dyDescent="0.3">
      <c r="B8" s="64" t="s">
        <v>62</v>
      </c>
      <c r="C8" s="5">
        <f>F8</f>
        <v>15.75</v>
      </c>
      <c r="D8" s="5"/>
      <c r="E8" s="5"/>
      <c r="F8" s="5">
        <v>15.75</v>
      </c>
      <c r="G8" s="6">
        <v>2</v>
      </c>
      <c r="H8" s="7">
        <f t="shared" si="3"/>
        <v>31.5</v>
      </c>
      <c r="I8" s="62"/>
      <c r="J8" s="63"/>
      <c r="K8" s="8"/>
      <c r="L8" s="8" t="str">
        <f t="shared" si="4"/>
        <v>A</v>
      </c>
      <c r="O8" s="8">
        <f t="shared" si="5"/>
        <v>0</v>
      </c>
      <c r="P8" s="8">
        <f t="shared" si="1"/>
        <v>0</v>
      </c>
      <c r="Q8" s="8">
        <f t="shared" si="2"/>
        <v>31.5</v>
      </c>
    </row>
    <row r="9" spans="2:29" ht="16.5" thickBot="1" x14ac:dyDescent="0.3">
      <c r="B9" s="64" t="s">
        <v>50</v>
      </c>
      <c r="C9" s="5">
        <f t="shared" si="0"/>
        <v>10.35</v>
      </c>
      <c r="D9" s="5">
        <v>9.65</v>
      </c>
      <c r="E9" s="5">
        <v>12.399999999999999</v>
      </c>
      <c r="F9" s="5">
        <v>9</v>
      </c>
      <c r="G9" s="6">
        <v>2</v>
      </c>
      <c r="H9" s="7">
        <f t="shared" si="3"/>
        <v>20.7</v>
      </c>
      <c r="I9" s="90"/>
      <c r="J9" s="91"/>
      <c r="K9" s="8"/>
      <c r="L9" s="8" t="str">
        <f t="shared" si="4"/>
        <v>NA</v>
      </c>
      <c r="O9" s="8">
        <f t="shared" si="5"/>
        <v>19.3</v>
      </c>
      <c r="P9" s="8">
        <f t="shared" si="1"/>
        <v>24.799999999999997</v>
      </c>
      <c r="Q9" s="8">
        <f t="shared" si="2"/>
        <v>18</v>
      </c>
    </row>
    <row r="10" spans="2:29" ht="16.5" thickBot="1" x14ac:dyDescent="0.3">
      <c r="B10" s="64" t="s">
        <v>51</v>
      </c>
      <c r="C10" s="5">
        <f t="shared" si="0"/>
        <v>9.6549999999999994</v>
      </c>
      <c r="D10" s="5">
        <v>8.5</v>
      </c>
      <c r="E10" s="5">
        <v>10.965</v>
      </c>
      <c r="F10" s="5">
        <v>9.5</v>
      </c>
      <c r="G10" s="6">
        <v>1</v>
      </c>
      <c r="H10" s="7">
        <f t="shared" si="3"/>
        <v>9.6549999999999994</v>
      </c>
      <c r="I10" s="76"/>
      <c r="J10" s="77"/>
      <c r="K10" s="8"/>
      <c r="L10" s="8" t="str">
        <f t="shared" si="4"/>
        <v>NA</v>
      </c>
      <c r="O10" s="8">
        <f t="shared" si="5"/>
        <v>8.5</v>
      </c>
      <c r="P10" s="8">
        <f t="shared" si="1"/>
        <v>10.965</v>
      </c>
      <c r="Q10" s="8">
        <f t="shared" si="2"/>
        <v>9.5</v>
      </c>
    </row>
    <row r="11" spans="2:29" ht="16.5" thickBot="1" x14ac:dyDescent="0.3">
      <c r="B11" s="78" t="s">
        <v>58</v>
      </c>
      <c r="C11" s="79"/>
      <c r="D11" s="79"/>
      <c r="E11" s="79"/>
      <c r="F11" s="79"/>
      <c r="G11" s="79"/>
      <c r="H11" s="79"/>
      <c r="I11" s="79"/>
      <c r="J11" s="79"/>
      <c r="K11" s="79"/>
      <c r="L11" s="80"/>
    </row>
    <row r="12" spans="2:29" ht="16.5" thickBot="1" x14ac:dyDescent="0.3">
      <c r="B12" s="9" t="s">
        <v>12</v>
      </c>
      <c r="C12" s="86">
        <f>(SUM(H5:H10)/SUM(G5:G10))</f>
        <v>10.348939393939395</v>
      </c>
      <c r="D12" s="86"/>
      <c r="E12" s="86"/>
      <c r="F12" s="86"/>
      <c r="G12" s="87" t="s">
        <v>13</v>
      </c>
      <c r="H12" s="87"/>
      <c r="I12" s="69"/>
      <c r="J12" s="88"/>
      <c r="K12" s="88"/>
      <c r="L12" s="89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spans="2:29" ht="16.5" thickBot="1" x14ac:dyDescent="0.3">
      <c r="B13" s="81"/>
      <c r="C13" s="82"/>
      <c r="D13" s="82"/>
      <c r="E13" s="82"/>
      <c r="F13" s="82"/>
      <c r="G13" s="82"/>
      <c r="H13" s="82"/>
      <c r="I13" s="82"/>
      <c r="J13" s="82"/>
      <c r="K13" s="82"/>
      <c r="L13" s="83"/>
    </row>
    <row r="14" spans="2:29" ht="16.5" thickBot="1" x14ac:dyDescent="0.3">
      <c r="B14" s="64" t="s">
        <v>47</v>
      </c>
      <c r="C14" s="5">
        <f>(D14+F14+E14)/3</f>
        <v>13.6</v>
      </c>
      <c r="D14" s="5">
        <v>14.7</v>
      </c>
      <c r="E14" s="5">
        <v>14.6</v>
      </c>
      <c r="F14" s="5">
        <v>11.5</v>
      </c>
      <c r="G14" s="6">
        <v>2</v>
      </c>
      <c r="H14" s="7">
        <f t="shared" ref="H14:H17" si="6">C14*G14</f>
        <v>27.2</v>
      </c>
      <c r="I14" s="76"/>
      <c r="J14" s="77"/>
      <c r="K14" s="8"/>
      <c r="L14" s="8" t="str">
        <f>IF(C14&lt;11,"NA",IF(C14&lt;15,"ECA",IF(C14&lt;18,"A",IF(C14&lt;20,"A+"))))</f>
        <v>ECA</v>
      </c>
      <c r="O14" s="8">
        <f t="shared" ref="O14:O17" si="7">D14*G14</f>
        <v>29.4</v>
      </c>
      <c r="P14" s="8">
        <f>E14*G14</f>
        <v>29.2</v>
      </c>
      <c r="Q14" s="8">
        <f>G14*F14</f>
        <v>23</v>
      </c>
    </row>
    <row r="15" spans="2:29" ht="16.5" thickBot="1" x14ac:dyDescent="0.3">
      <c r="B15" s="64" t="s">
        <v>14</v>
      </c>
      <c r="C15" s="5">
        <f t="shared" ref="C15:C17" si="8">(D15+F15+E15)/3</f>
        <v>12.558333333333332</v>
      </c>
      <c r="D15" s="5">
        <v>11.45</v>
      </c>
      <c r="E15" s="5">
        <v>13.85</v>
      </c>
      <c r="F15" s="5">
        <v>12.375</v>
      </c>
      <c r="G15" s="6">
        <v>1.5</v>
      </c>
      <c r="H15" s="7">
        <f t="shared" si="6"/>
        <v>18.837499999999999</v>
      </c>
      <c r="I15" s="76"/>
      <c r="J15" s="77"/>
      <c r="K15" s="8"/>
      <c r="L15" s="8" t="str">
        <f t="shared" ref="L15:L17" si="9">IF(C15&lt;11,"NA",IF(C15&lt;15,"ECA",IF(C15&lt;18,"A",IF(C15&lt;20,"A+"))))</f>
        <v>ECA</v>
      </c>
      <c r="O15" s="8">
        <f t="shared" si="7"/>
        <v>17.174999999999997</v>
      </c>
      <c r="P15" s="8">
        <f t="shared" ref="P15:P17" si="10">E15*G15</f>
        <v>20.774999999999999</v>
      </c>
      <c r="Q15" s="8">
        <f t="shared" ref="Q15:Q17" si="11">G15*F15</f>
        <v>18.5625</v>
      </c>
    </row>
    <row r="16" spans="2:29" ht="16.5" thickBot="1" x14ac:dyDescent="0.3">
      <c r="B16" s="64" t="s">
        <v>15</v>
      </c>
      <c r="C16" s="5">
        <f t="shared" si="8"/>
        <v>12.491666666666665</v>
      </c>
      <c r="D16" s="5">
        <v>12.525</v>
      </c>
      <c r="E16" s="5">
        <v>12.824999999999999</v>
      </c>
      <c r="F16" s="5">
        <v>12.125</v>
      </c>
      <c r="G16" s="6">
        <v>1.5</v>
      </c>
      <c r="H16" s="7">
        <f t="shared" si="6"/>
        <v>18.737499999999997</v>
      </c>
      <c r="I16" s="76"/>
      <c r="J16" s="77"/>
      <c r="K16" s="8"/>
      <c r="L16" s="8" t="str">
        <f t="shared" si="9"/>
        <v>ECA</v>
      </c>
      <c r="O16" s="8">
        <f t="shared" si="7"/>
        <v>18.787500000000001</v>
      </c>
      <c r="P16" s="8">
        <f t="shared" si="10"/>
        <v>19.237499999999997</v>
      </c>
      <c r="Q16" s="8">
        <f t="shared" si="11"/>
        <v>18.1875</v>
      </c>
    </row>
    <row r="17" spans="2:17" ht="16.5" thickBot="1" x14ac:dyDescent="0.3">
      <c r="B17" s="64" t="s">
        <v>52</v>
      </c>
      <c r="C17" s="5">
        <f t="shared" si="8"/>
        <v>10.983333333333334</v>
      </c>
      <c r="D17" s="5">
        <v>11.45</v>
      </c>
      <c r="E17" s="5">
        <v>10</v>
      </c>
      <c r="F17" s="5">
        <v>11.5</v>
      </c>
      <c r="G17" s="6">
        <v>1</v>
      </c>
      <c r="H17" s="7">
        <f t="shared" si="6"/>
        <v>10.983333333333334</v>
      </c>
      <c r="I17" s="76"/>
      <c r="J17" s="77"/>
      <c r="K17" s="8"/>
      <c r="L17" s="8" t="str">
        <f t="shared" si="9"/>
        <v>NA</v>
      </c>
      <c r="O17" s="8">
        <f t="shared" si="7"/>
        <v>11.45</v>
      </c>
      <c r="P17" s="8">
        <f t="shared" si="10"/>
        <v>10</v>
      </c>
      <c r="Q17" s="8">
        <f t="shared" si="11"/>
        <v>11.5</v>
      </c>
    </row>
    <row r="18" spans="2:17" ht="16.149999999999999" customHeight="1" thickBot="1" x14ac:dyDescent="0.3">
      <c r="B18" s="78" t="s">
        <v>59</v>
      </c>
      <c r="C18" s="79"/>
      <c r="D18" s="79"/>
      <c r="E18" s="79"/>
      <c r="F18" s="79"/>
      <c r="G18" s="79"/>
      <c r="H18" s="79"/>
      <c r="I18" s="79"/>
      <c r="J18" s="79"/>
      <c r="K18" s="79"/>
      <c r="L18" s="80"/>
    </row>
    <row r="19" spans="2:17" ht="16.149999999999999" customHeight="1" thickBot="1" x14ac:dyDescent="0.3">
      <c r="B19" s="9" t="s">
        <v>16</v>
      </c>
      <c r="C19" s="86">
        <f>(SUM(H14:H17)/SUM(G14:G17))</f>
        <v>12.626388888888888</v>
      </c>
      <c r="D19" s="86"/>
      <c r="E19" s="86"/>
      <c r="F19" s="86"/>
      <c r="G19" s="87" t="s">
        <v>13</v>
      </c>
      <c r="H19" s="87"/>
      <c r="I19" s="69"/>
      <c r="J19" s="88"/>
      <c r="K19" s="88"/>
      <c r="L19" s="89"/>
    </row>
    <row r="20" spans="2:17" ht="16.5" thickBot="1" x14ac:dyDescent="0.3">
      <c r="B20" s="92"/>
      <c r="C20" s="93"/>
      <c r="D20" s="93"/>
      <c r="E20" s="93"/>
      <c r="F20" s="93"/>
      <c r="G20" s="93"/>
      <c r="H20" s="93"/>
      <c r="I20" s="93"/>
      <c r="J20" s="93"/>
      <c r="K20" s="93"/>
      <c r="L20" s="94"/>
    </row>
    <row r="21" spans="2:17" ht="16.5" thickBot="1" x14ac:dyDescent="0.3">
      <c r="B21" s="64" t="s">
        <v>9</v>
      </c>
      <c r="C21" s="5">
        <f>(D21+F21+E21)/3</f>
        <v>13.299999999999999</v>
      </c>
      <c r="D21" s="5">
        <v>14</v>
      </c>
      <c r="E21" s="5">
        <v>12.65</v>
      </c>
      <c r="F21" s="8">
        <v>13.25</v>
      </c>
      <c r="G21" s="6">
        <v>2</v>
      </c>
      <c r="H21" s="7">
        <f t="shared" ref="H21:H24" si="12">C21*G21</f>
        <v>26.599999999999998</v>
      </c>
      <c r="I21" s="76"/>
      <c r="J21" s="77"/>
      <c r="K21" s="8"/>
      <c r="L21" s="8" t="str">
        <f t="shared" ref="L21:L24" si="13">IF(C21&lt;11,"NA",IF(C21&lt;15,"ECA",IF(C21&lt;18,"A",IF(C21&lt;20,"A+"))))</f>
        <v>ECA</v>
      </c>
      <c r="O21" s="8">
        <f t="shared" ref="O21:O24" si="14">D21*G21</f>
        <v>28</v>
      </c>
      <c r="P21" s="8">
        <f>E21*G21</f>
        <v>25.3</v>
      </c>
      <c r="Q21" s="8">
        <f>G21*F21</f>
        <v>26.5</v>
      </c>
    </row>
    <row r="22" spans="2:17" ht="16.5" thickBot="1" x14ac:dyDescent="0.3">
      <c r="B22" s="64" t="s">
        <v>10</v>
      </c>
      <c r="C22" s="5">
        <f t="shared" ref="C22:C24" si="15">(D22+F22+E22)/3</f>
        <v>12.178333333333333</v>
      </c>
      <c r="D22" s="5">
        <v>12.25</v>
      </c>
      <c r="E22" s="5">
        <v>11.885000000000002</v>
      </c>
      <c r="F22" s="8">
        <v>12.4</v>
      </c>
      <c r="G22" s="6">
        <v>4</v>
      </c>
      <c r="H22" s="7">
        <f t="shared" si="12"/>
        <v>48.713333333333331</v>
      </c>
      <c r="I22" s="76"/>
      <c r="J22" s="77"/>
      <c r="K22" s="8"/>
      <c r="L22" s="8" t="str">
        <f t="shared" si="13"/>
        <v>ECA</v>
      </c>
      <c r="O22" s="8">
        <f t="shared" si="14"/>
        <v>49</v>
      </c>
      <c r="P22" s="8">
        <f t="shared" ref="P22:P24" si="16">E22*G22</f>
        <v>47.540000000000006</v>
      </c>
      <c r="Q22" s="8">
        <f t="shared" ref="Q22:Q24" si="17">G22*F22</f>
        <v>49.6</v>
      </c>
    </row>
    <row r="23" spans="2:17" ht="16.5" thickBot="1" x14ac:dyDescent="0.3">
      <c r="B23" s="64" t="s">
        <v>56</v>
      </c>
      <c r="C23" s="5">
        <f>F23</f>
        <v>15</v>
      </c>
      <c r="D23" s="5"/>
      <c r="E23" s="5"/>
      <c r="F23" s="8">
        <v>15</v>
      </c>
      <c r="G23" s="6">
        <v>2</v>
      </c>
      <c r="H23" s="7">
        <f t="shared" si="12"/>
        <v>30</v>
      </c>
      <c r="I23" s="76"/>
      <c r="J23" s="77"/>
      <c r="K23" s="8"/>
      <c r="L23" s="8" t="str">
        <f t="shared" si="13"/>
        <v>A</v>
      </c>
      <c r="O23" s="8">
        <f t="shared" si="14"/>
        <v>0</v>
      </c>
      <c r="P23" s="8">
        <f t="shared" si="16"/>
        <v>0</v>
      </c>
      <c r="Q23" s="8">
        <f t="shared" si="17"/>
        <v>30</v>
      </c>
    </row>
    <row r="24" spans="2:17" ht="16.5" thickBot="1" x14ac:dyDescent="0.3">
      <c r="B24" s="64" t="s">
        <v>11</v>
      </c>
      <c r="C24" s="5">
        <f t="shared" si="15"/>
        <v>13.633333333333333</v>
      </c>
      <c r="D24" s="5">
        <v>13.55</v>
      </c>
      <c r="E24" s="5">
        <v>12.1</v>
      </c>
      <c r="F24" s="8">
        <v>15.25</v>
      </c>
      <c r="G24" s="6">
        <v>2</v>
      </c>
      <c r="H24" s="7">
        <f t="shared" si="12"/>
        <v>27.266666666666666</v>
      </c>
      <c r="I24" s="76"/>
      <c r="J24" s="77"/>
      <c r="K24" s="8"/>
      <c r="L24" s="8" t="str">
        <f t="shared" si="13"/>
        <v>ECA</v>
      </c>
      <c r="O24" s="8">
        <f t="shared" si="14"/>
        <v>27.1</v>
      </c>
      <c r="P24" s="8">
        <f t="shared" si="16"/>
        <v>24.2</v>
      </c>
      <c r="Q24" s="8">
        <f t="shared" si="17"/>
        <v>30.5</v>
      </c>
    </row>
    <row r="25" spans="2:17" ht="16.149999999999999" customHeight="1" thickBot="1" x14ac:dyDescent="0.3">
      <c r="B25" s="78" t="s">
        <v>60</v>
      </c>
      <c r="C25" s="79"/>
      <c r="D25" s="79"/>
      <c r="E25" s="79"/>
      <c r="F25" s="79"/>
      <c r="G25" s="79"/>
      <c r="H25" s="79"/>
      <c r="I25" s="79"/>
      <c r="J25" s="79"/>
      <c r="K25" s="79"/>
      <c r="L25" s="80"/>
    </row>
    <row r="26" spans="2:17" ht="16.149999999999999" customHeight="1" thickBot="1" x14ac:dyDescent="0.3">
      <c r="B26" s="9" t="s">
        <v>12</v>
      </c>
      <c r="C26" s="86">
        <f>(SUM(H21:H24)/SUM(G21:G24))</f>
        <v>13.257999999999999</v>
      </c>
      <c r="D26" s="86"/>
      <c r="E26" s="86"/>
      <c r="F26" s="86"/>
      <c r="G26" s="87" t="s">
        <v>13</v>
      </c>
      <c r="H26" s="87"/>
      <c r="I26" s="69"/>
      <c r="J26" s="88"/>
      <c r="K26" s="88"/>
      <c r="L26" s="89"/>
    </row>
    <row r="27" spans="2:17" ht="16.5" thickBot="1" x14ac:dyDescent="0.3">
      <c r="B27" s="81"/>
      <c r="C27" s="82"/>
      <c r="D27" s="82"/>
      <c r="E27" s="82"/>
      <c r="F27" s="82"/>
      <c r="G27" s="82"/>
      <c r="H27" s="82"/>
      <c r="I27" s="100"/>
      <c r="J27" s="100"/>
      <c r="K27" s="100"/>
      <c r="L27" s="83"/>
    </row>
    <row r="28" spans="2:17" ht="16.5" thickBot="1" x14ac:dyDescent="0.3">
      <c r="B28" s="64" t="s">
        <v>53</v>
      </c>
      <c r="C28" s="5">
        <f>(D28+F28+E28)/3</f>
        <v>15.666666666666666</v>
      </c>
      <c r="D28" s="8">
        <v>13</v>
      </c>
      <c r="E28" s="8">
        <v>16</v>
      </c>
      <c r="F28" s="8">
        <v>18</v>
      </c>
      <c r="G28" s="6">
        <v>1</v>
      </c>
      <c r="H28" s="7">
        <f t="shared" ref="H28:H31" si="18">C28*G28</f>
        <v>15.666666666666666</v>
      </c>
      <c r="I28" s="76"/>
      <c r="J28" s="77"/>
      <c r="K28" s="8"/>
      <c r="L28" s="8" t="str">
        <f t="shared" ref="L28:L31" si="19">IF(C28&lt;11,"NA",IF(C28&lt;15,"ECA",IF(C28&lt;18,"A",IF(C28&lt;20,"A+"))))</f>
        <v>A</v>
      </c>
      <c r="O28" s="8">
        <f t="shared" ref="O28:O31" si="20">D28*G28</f>
        <v>13</v>
      </c>
      <c r="P28" s="8">
        <f>E28*G28</f>
        <v>16</v>
      </c>
      <c r="Q28" s="8">
        <f>G28*F28</f>
        <v>18</v>
      </c>
    </row>
    <row r="29" spans="2:17" ht="16.5" thickBot="1" x14ac:dyDescent="0.3">
      <c r="B29" s="64" t="s">
        <v>48</v>
      </c>
      <c r="C29" s="5">
        <f t="shared" ref="C29:C31" si="21">(D29+F29+E29)/3</f>
        <v>14.283333333333333</v>
      </c>
      <c r="D29" s="8">
        <v>13.8</v>
      </c>
      <c r="E29" s="8">
        <v>14.850000000000001</v>
      </c>
      <c r="F29" s="8">
        <v>14.2</v>
      </c>
      <c r="G29" s="6">
        <v>2</v>
      </c>
      <c r="H29" s="7">
        <f t="shared" si="18"/>
        <v>28.566666666666666</v>
      </c>
      <c r="I29" s="76"/>
      <c r="J29" s="77"/>
      <c r="K29" s="8"/>
      <c r="L29" s="8" t="str">
        <f t="shared" si="19"/>
        <v>ECA</v>
      </c>
      <c r="O29" s="8">
        <f t="shared" si="20"/>
        <v>27.6</v>
      </c>
      <c r="P29" s="8">
        <f t="shared" ref="P29:P31" si="22">E29*G29</f>
        <v>29.700000000000003</v>
      </c>
      <c r="Q29" s="8">
        <f t="shared" ref="Q29:Q31" si="23">G29*F29</f>
        <v>28.4</v>
      </c>
    </row>
    <row r="30" spans="2:17" ht="16.5" thickBot="1" x14ac:dyDescent="0.3">
      <c r="B30" s="64" t="s">
        <v>49</v>
      </c>
      <c r="C30" s="5">
        <f t="shared" si="21"/>
        <v>12.633333333333333</v>
      </c>
      <c r="D30" s="8">
        <v>13</v>
      </c>
      <c r="E30" s="8">
        <v>10.9</v>
      </c>
      <c r="F30" s="8">
        <v>14</v>
      </c>
      <c r="G30" s="6">
        <v>1</v>
      </c>
      <c r="H30" s="7">
        <f t="shared" si="18"/>
        <v>12.633333333333333</v>
      </c>
      <c r="I30" s="76"/>
      <c r="J30" s="77"/>
      <c r="K30" s="8"/>
      <c r="L30" s="8" t="str">
        <f t="shared" si="19"/>
        <v>ECA</v>
      </c>
      <c r="O30" s="8">
        <f t="shared" si="20"/>
        <v>13</v>
      </c>
      <c r="P30" s="8">
        <f t="shared" si="22"/>
        <v>10.9</v>
      </c>
      <c r="Q30" s="8">
        <f t="shared" si="23"/>
        <v>14</v>
      </c>
    </row>
    <row r="31" spans="2:17" ht="16.5" thickBot="1" x14ac:dyDescent="0.3">
      <c r="B31" s="64" t="s">
        <v>18</v>
      </c>
      <c r="C31" s="5">
        <f t="shared" si="21"/>
        <v>15.333333333333334</v>
      </c>
      <c r="D31" s="8">
        <v>15</v>
      </c>
      <c r="E31" s="8">
        <v>16</v>
      </c>
      <c r="F31" s="8">
        <v>15</v>
      </c>
      <c r="G31" s="6">
        <v>1</v>
      </c>
      <c r="H31" s="7">
        <f t="shared" si="18"/>
        <v>15.333333333333334</v>
      </c>
      <c r="I31" s="76"/>
      <c r="J31" s="77"/>
      <c r="K31" s="8"/>
      <c r="L31" s="8" t="str">
        <f t="shared" si="19"/>
        <v>A</v>
      </c>
      <c r="O31" s="8">
        <f t="shared" si="20"/>
        <v>15</v>
      </c>
      <c r="P31" s="8">
        <f t="shared" si="22"/>
        <v>16</v>
      </c>
      <c r="Q31" s="8">
        <f t="shared" si="23"/>
        <v>15</v>
      </c>
    </row>
    <row r="32" spans="2:17" ht="16.149999999999999" customHeight="1" thickBot="1" x14ac:dyDescent="0.3">
      <c r="B32" s="64" t="s">
        <v>57</v>
      </c>
      <c r="C32" s="65"/>
      <c r="D32" s="65"/>
      <c r="E32" s="65"/>
      <c r="F32" s="65"/>
      <c r="G32" s="65"/>
      <c r="H32" s="65"/>
      <c r="I32" s="65"/>
      <c r="J32" s="65"/>
      <c r="K32" s="65"/>
      <c r="L32" s="66"/>
      <c r="O32" s="1">
        <f>SUM(O6:O31)</f>
        <v>303.03750000000002</v>
      </c>
      <c r="P32" s="1">
        <f>SUM(P6:P31)</f>
        <v>313.34249999999997</v>
      </c>
      <c r="Q32" s="1">
        <f>SUM(Q5:Q31)</f>
        <v>401.75</v>
      </c>
    </row>
    <row r="33" spans="2:17" ht="16.149999999999999" customHeight="1" thickBot="1" x14ac:dyDescent="0.3">
      <c r="B33" s="9" t="s">
        <v>16</v>
      </c>
      <c r="C33" s="86">
        <f>(SUM(H28:H31)/SUM(G28:G31))</f>
        <v>14.440000000000001</v>
      </c>
      <c r="D33" s="86"/>
      <c r="E33" s="86"/>
      <c r="F33" s="86"/>
      <c r="G33" s="87" t="s">
        <v>13</v>
      </c>
      <c r="H33" s="87"/>
      <c r="I33" s="69"/>
      <c r="J33" s="88"/>
      <c r="K33" s="88"/>
      <c r="L33" s="89"/>
      <c r="O33" s="1">
        <v>26</v>
      </c>
      <c r="P33" s="1">
        <v>26</v>
      </c>
      <c r="Q33" s="1">
        <v>32</v>
      </c>
    </row>
    <row r="34" spans="2:17" ht="16.5" thickBot="1" x14ac:dyDescent="0.3">
      <c r="B34" s="81"/>
      <c r="C34" s="82"/>
      <c r="D34" s="82"/>
      <c r="E34" s="82"/>
      <c r="F34" s="82"/>
      <c r="G34" s="82"/>
      <c r="H34" s="82"/>
      <c r="I34" s="82"/>
      <c r="J34" s="82"/>
      <c r="K34" s="82"/>
      <c r="L34" s="83"/>
      <c r="O34" s="1">
        <f>O32/O33</f>
        <v>11.655288461538463</v>
      </c>
      <c r="P34" s="1">
        <f>P32/P33</f>
        <v>12.051634615384614</v>
      </c>
      <c r="Q34" s="1">
        <f>Q32/Q33</f>
        <v>12.5546875</v>
      </c>
    </row>
    <row r="35" spans="2:17" s="17" customFormat="1" ht="48" thickBot="1" x14ac:dyDescent="0.3">
      <c r="B35" s="64" t="s">
        <v>19</v>
      </c>
      <c r="C35" s="70" t="s">
        <v>20</v>
      </c>
      <c r="D35" s="69"/>
      <c r="E35" s="69"/>
      <c r="F35" s="71" t="s">
        <v>21</v>
      </c>
      <c r="G35" s="88"/>
      <c r="H35" s="88"/>
      <c r="I35" s="71" t="s">
        <v>22</v>
      </c>
      <c r="J35" s="88"/>
      <c r="K35" s="88"/>
      <c r="L35" s="72"/>
    </row>
    <row r="36" spans="2:17" x14ac:dyDescent="0.25">
      <c r="B36" s="18"/>
      <c r="C36" s="19" t="s">
        <v>1</v>
      </c>
      <c r="D36" s="19" t="s">
        <v>63</v>
      </c>
      <c r="E36" s="19" t="s">
        <v>65</v>
      </c>
      <c r="F36" s="20"/>
      <c r="G36" s="20"/>
      <c r="H36" s="21"/>
      <c r="I36" s="101"/>
      <c r="J36" s="100"/>
      <c r="K36" s="100"/>
      <c r="L36" s="102"/>
    </row>
    <row r="37" spans="2:17" x14ac:dyDescent="0.25">
      <c r="B37" s="22" t="s">
        <v>23</v>
      </c>
      <c r="C37" s="23">
        <f>O34</f>
        <v>11.655288461538463</v>
      </c>
      <c r="D37" s="23">
        <f>P34</f>
        <v>12.051634615384614</v>
      </c>
      <c r="E37" s="23">
        <f>Q34</f>
        <v>12.5546875</v>
      </c>
      <c r="F37" s="32" t="s">
        <v>66</v>
      </c>
      <c r="G37" s="25">
        <f>(H5+H6+H7+H8+H9+H10+H14+H15+H16+H17+H21+H22+H23+H24+H28+H29+H30+H31)/32</f>
        <v>12.324270833333333</v>
      </c>
      <c r="H37" s="24" t="s">
        <v>25</v>
      </c>
      <c r="I37" s="103" t="s">
        <v>26</v>
      </c>
      <c r="J37" s="104"/>
      <c r="K37" s="26"/>
      <c r="L37" s="27" t="s">
        <v>25</v>
      </c>
    </row>
    <row r="38" spans="2:17" ht="16.149999999999999" customHeight="1" thickBot="1" x14ac:dyDescent="0.3">
      <c r="B38" s="95"/>
      <c r="C38" s="96"/>
      <c r="D38" s="96"/>
      <c r="E38" s="96"/>
      <c r="F38" s="96"/>
      <c r="G38" s="96"/>
      <c r="H38" s="96"/>
      <c r="I38" s="97"/>
      <c r="J38" s="98"/>
      <c r="K38" s="98"/>
      <c r="L38" s="99"/>
    </row>
    <row r="39" spans="2:17" ht="16.149999999999999" customHeight="1" thickBot="1" x14ac:dyDescent="0.3">
      <c r="B39" s="105" t="s">
        <v>67</v>
      </c>
      <c r="C39" s="106"/>
      <c r="D39" s="106"/>
      <c r="E39" s="106"/>
      <c r="F39" s="106"/>
      <c r="G39" s="106"/>
      <c r="H39" s="106"/>
      <c r="I39" s="106"/>
      <c r="J39" s="106"/>
      <c r="K39" s="106"/>
      <c r="L39" s="107"/>
    </row>
    <row r="40" spans="2:17" ht="16.149999999999999" customHeight="1" thickBot="1" x14ac:dyDescent="0.3">
      <c r="B40" s="108" t="s">
        <v>28</v>
      </c>
      <c r="C40" s="88"/>
      <c r="D40" s="88"/>
      <c r="E40" s="88"/>
      <c r="F40" s="88"/>
      <c r="G40" s="88"/>
      <c r="H40" s="88"/>
      <c r="I40" s="88"/>
      <c r="J40" s="88"/>
      <c r="K40" s="88"/>
      <c r="L40" s="89"/>
    </row>
    <row r="41" spans="2:17" ht="16.149999999999999" customHeight="1" thickBot="1" x14ac:dyDescent="0.3">
      <c r="B41" s="64" t="s">
        <v>29</v>
      </c>
      <c r="C41" s="81" t="s">
        <v>30</v>
      </c>
      <c r="D41" s="82"/>
      <c r="E41" s="82"/>
      <c r="F41" s="83"/>
      <c r="G41" s="109" t="s">
        <v>31</v>
      </c>
      <c r="H41" s="110"/>
      <c r="I41" s="110"/>
      <c r="J41" s="110"/>
      <c r="K41" s="110"/>
      <c r="L41" s="111"/>
    </row>
    <row r="42" spans="2:17" ht="16.149999999999999" customHeight="1" thickBot="1" x14ac:dyDescent="0.3">
      <c r="B42" s="42" t="s">
        <v>32</v>
      </c>
      <c r="C42" s="110" t="str">
        <f>IF(G37&lt;11,"NA",IF(G37&lt;15,"ECA",IF(G37&lt;18,"A",IF(G37&lt;20,"A+"))))</f>
        <v>ECA</v>
      </c>
      <c r="D42" s="110" t="e">
        <f>IF(#REF!&lt;11,"NA",IF(#REF!&lt;15,"ECA",IF(#REF!&lt;18,"A",IF(#REF!&lt;20,"A+"))))</f>
        <v>#REF!</v>
      </c>
      <c r="E42" s="110"/>
      <c r="F42" s="111" t="e">
        <f>IF(#REF!&lt;11,"NA",IF(#REF!&lt;15,"ECA",IF(#REF!&lt;18,"A",IF(#REF!&lt;20,"A+"))))</f>
        <v>#REF!</v>
      </c>
      <c r="G42" s="112"/>
      <c r="H42" s="113"/>
      <c r="I42" s="113"/>
      <c r="J42" s="113"/>
      <c r="K42" s="113"/>
      <c r="L42" s="114"/>
    </row>
    <row r="43" spans="2:17" ht="16.149999999999999" customHeight="1" thickBot="1" x14ac:dyDescent="0.3">
      <c r="B43" s="43" t="s">
        <v>33</v>
      </c>
      <c r="C43" s="115" t="e">
        <f>IF(#REF!&lt;11,"NA",IF(#REF!&lt;15,"ECA",IF(#REF!&lt;18,"A",IF(#REF!&lt;20,"A+"))))</f>
        <v>#REF!</v>
      </c>
      <c r="D43" s="116" t="e">
        <f>IF(#REF!&lt;11,"NA",IF(#REF!&lt;15,"ECA",IF(#REF!&lt;18,"A",IF(#REF!&lt;20,"A+"))))</f>
        <v>#REF!</v>
      </c>
      <c r="E43" s="116"/>
      <c r="F43" s="117" t="e">
        <f>IF(#REF!&lt;11,"NA",IF(#REF!&lt;15,"ECA",IF(#REF!&lt;18,"A",IF(#REF!&lt;20,"A+"))))</f>
        <v>#REF!</v>
      </c>
      <c r="G43" s="108" t="s">
        <v>34</v>
      </c>
      <c r="H43" s="88"/>
      <c r="I43" s="88"/>
      <c r="J43" s="89"/>
      <c r="K43" s="109" t="s">
        <v>35</v>
      </c>
      <c r="L43" s="111"/>
    </row>
    <row r="44" spans="2:17" ht="16.149999999999999" customHeight="1" thickBot="1" x14ac:dyDescent="0.3">
      <c r="B44" s="29" t="s">
        <v>36</v>
      </c>
      <c r="C44" s="112" t="e">
        <f>IF(#REF!&lt;11,"NA",IF(#REF!&lt;15,"ECA",IF(#REF!&lt;18,"A",IF(#REF!&lt;20,"A+"))))</f>
        <v>#REF!</v>
      </c>
      <c r="D44" s="113" t="e">
        <f>IF(#REF!&lt;11,"NA",IF(#REF!&lt;15,"ECA",IF(#REF!&lt;18,"A",IF(#REF!&lt;20,"A+"))))</f>
        <v>#REF!</v>
      </c>
      <c r="E44" s="113"/>
      <c r="F44" s="114" t="e">
        <f>IF(#REF!&lt;11,"NA",IF(#REF!&lt;15,"ECA",IF(#REF!&lt;18,"A",IF(#REF!&lt;20,"A+"))))</f>
        <v>#REF!</v>
      </c>
      <c r="G44" s="108" t="s">
        <v>37</v>
      </c>
      <c r="H44" s="88"/>
      <c r="I44" s="88"/>
      <c r="J44" s="89"/>
      <c r="K44" s="118" t="s">
        <v>38</v>
      </c>
      <c r="L44" s="119"/>
    </row>
    <row r="45" spans="2:17" ht="16.149999999999999" customHeight="1" thickBot="1" x14ac:dyDescent="0.3">
      <c r="B45" s="70" t="s">
        <v>39</v>
      </c>
      <c r="C45" s="109" t="s">
        <v>40</v>
      </c>
      <c r="D45" s="110"/>
      <c r="E45" s="110"/>
      <c r="F45" s="111"/>
      <c r="G45" s="108" t="s">
        <v>41</v>
      </c>
      <c r="H45" s="88"/>
      <c r="I45" s="88"/>
      <c r="J45" s="89"/>
      <c r="K45" s="118"/>
      <c r="L45" s="119"/>
    </row>
    <row r="46" spans="2:17" ht="16.149999999999999" customHeight="1" thickBot="1" x14ac:dyDescent="0.3">
      <c r="B46" s="70" t="s">
        <v>42</v>
      </c>
      <c r="C46" s="112"/>
      <c r="D46" s="113"/>
      <c r="E46" s="113"/>
      <c r="F46" s="114"/>
      <c r="G46" s="108" t="s">
        <v>43</v>
      </c>
      <c r="H46" s="88"/>
      <c r="I46" s="88"/>
      <c r="J46" s="89"/>
      <c r="K46" s="120" t="s">
        <v>44</v>
      </c>
      <c r="L46" s="121"/>
    </row>
    <row r="47" spans="2:17" ht="31.5" x14ac:dyDescent="0.25">
      <c r="B47" s="64" t="s">
        <v>45</v>
      </c>
      <c r="C47" s="101"/>
      <c r="D47" s="100"/>
      <c r="E47" s="100"/>
      <c r="F47" s="102"/>
      <c r="G47" s="101"/>
      <c r="H47" s="100"/>
      <c r="I47" s="100"/>
      <c r="J47" s="102"/>
      <c r="K47" s="120" t="s">
        <v>46</v>
      </c>
      <c r="L47" s="121"/>
    </row>
    <row r="48" spans="2:17" x14ac:dyDescent="0.25">
      <c r="B48" s="28"/>
      <c r="C48" s="122"/>
      <c r="D48" s="123"/>
      <c r="E48" s="123"/>
      <c r="F48" s="124"/>
      <c r="G48" s="122"/>
      <c r="H48" s="123"/>
      <c r="I48" s="123"/>
      <c r="J48" s="124"/>
      <c r="K48" s="128"/>
      <c r="L48" s="129"/>
    </row>
    <row r="49" spans="2:12" x14ac:dyDescent="0.25">
      <c r="B49" s="28"/>
      <c r="C49" s="122"/>
      <c r="D49" s="123"/>
      <c r="E49" s="123"/>
      <c r="F49" s="124"/>
      <c r="G49" s="122"/>
      <c r="H49" s="123"/>
      <c r="I49" s="123"/>
      <c r="J49" s="124"/>
      <c r="K49" s="128"/>
      <c r="L49" s="129"/>
    </row>
    <row r="50" spans="2:12" ht="16.5" thickBot="1" x14ac:dyDescent="0.3">
      <c r="B50" s="29"/>
      <c r="C50" s="125"/>
      <c r="D50" s="126"/>
      <c r="E50" s="126"/>
      <c r="F50" s="127"/>
      <c r="G50" s="125"/>
      <c r="H50" s="126"/>
      <c r="I50" s="126"/>
      <c r="J50" s="127"/>
      <c r="K50" s="97"/>
      <c r="L50" s="99"/>
    </row>
  </sheetData>
  <mergeCells count="62">
    <mergeCell ref="C45:F46"/>
    <mergeCell ref="G45:J45"/>
    <mergeCell ref="K45:L45"/>
    <mergeCell ref="G46:J46"/>
    <mergeCell ref="K46:L46"/>
    <mergeCell ref="C47:F50"/>
    <mergeCell ref="G47:J50"/>
    <mergeCell ref="K47:L47"/>
    <mergeCell ref="K48:L48"/>
    <mergeCell ref="K49:L49"/>
    <mergeCell ref="K50:L50"/>
    <mergeCell ref="B38:H38"/>
    <mergeCell ref="I38:L38"/>
    <mergeCell ref="B39:L39"/>
    <mergeCell ref="B40:L40"/>
    <mergeCell ref="C41:F41"/>
    <mergeCell ref="G41:L42"/>
    <mergeCell ref="C42:F44"/>
    <mergeCell ref="G43:J43"/>
    <mergeCell ref="G33:H33"/>
    <mergeCell ref="J33:L33"/>
    <mergeCell ref="B34:L34"/>
    <mergeCell ref="I36:L36"/>
    <mergeCell ref="I37:J37"/>
    <mergeCell ref="I4:J4"/>
    <mergeCell ref="I6:J6"/>
    <mergeCell ref="I7:J7"/>
    <mergeCell ref="I9:J9"/>
    <mergeCell ref="B18:L18"/>
    <mergeCell ref="I10:J10"/>
    <mergeCell ref="B11:L11"/>
    <mergeCell ref="C12:F12"/>
    <mergeCell ref="G12:H12"/>
    <mergeCell ref="J12:L12"/>
    <mergeCell ref="B13:L13"/>
    <mergeCell ref="I14:J14"/>
    <mergeCell ref="I15:J15"/>
    <mergeCell ref="I16:J16"/>
    <mergeCell ref="I17:J17"/>
    <mergeCell ref="J19:L19"/>
    <mergeCell ref="B20:L20"/>
    <mergeCell ref="I21:J21"/>
    <mergeCell ref="I22:J22"/>
    <mergeCell ref="I23:J23"/>
    <mergeCell ref="C19:F19"/>
    <mergeCell ref="G19:H19"/>
    <mergeCell ref="K43:L43"/>
    <mergeCell ref="G44:J44"/>
    <mergeCell ref="K44:L44"/>
    <mergeCell ref="I24:J24"/>
    <mergeCell ref="B25:L25"/>
    <mergeCell ref="C26:F26"/>
    <mergeCell ref="G26:H26"/>
    <mergeCell ref="J26:L26"/>
    <mergeCell ref="B27:L27"/>
    <mergeCell ref="I28:J28"/>
    <mergeCell ref="I29:J29"/>
    <mergeCell ref="I30:J30"/>
    <mergeCell ref="G35:H35"/>
    <mergeCell ref="J35:K35"/>
    <mergeCell ref="I31:J31"/>
    <mergeCell ref="C33:F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C50"/>
  <sheetViews>
    <sheetView topLeftCell="A7" zoomScale="60" zoomScaleNormal="60" workbookViewId="0">
      <selection activeCell="O39" sqref="O39"/>
    </sheetView>
  </sheetViews>
  <sheetFormatPr baseColWidth="10" defaultColWidth="11.42578125" defaultRowHeight="15.75" x14ac:dyDescent="0.25"/>
  <cols>
    <col min="1" max="1" width="11.42578125" style="1"/>
    <col min="2" max="2" width="44.140625" style="1" customWidth="1"/>
    <col min="3" max="3" width="12.140625" style="1" customWidth="1"/>
    <col min="4" max="5" width="11.42578125" style="1"/>
    <col min="6" max="6" width="15.5703125" style="1" customWidth="1"/>
    <col min="7" max="7" width="11.42578125" style="1"/>
    <col min="8" max="8" width="12.42578125" style="1" customWidth="1"/>
    <col min="9" max="11" width="11.42578125" style="1"/>
    <col min="12" max="12" width="18.28515625" style="1" bestFit="1" customWidth="1"/>
    <col min="13" max="16384" width="11.42578125" style="1"/>
  </cols>
  <sheetData>
    <row r="3" spans="2:29" ht="16.5" thickBot="1" x14ac:dyDescent="0.3"/>
    <row r="4" spans="2:29" ht="30.75" customHeight="1" thickBot="1" x14ac:dyDescent="0.3">
      <c r="B4" s="59" t="s">
        <v>0</v>
      </c>
      <c r="C4" s="68" t="s">
        <v>68</v>
      </c>
      <c r="D4" s="68" t="s">
        <v>1</v>
      </c>
      <c r="E4" s="68" t="s">
        <v>63</v>
      </c>
      <c r="F4" s="68" t="s">
        <v>64</v>
      </c>
      <c r="G4" s="68" t="s">
        <v>4</v>
      </c>
      <c r="H4" s="67" t="s">
        <v>5</v>
      </c>
      <c r="I4" s="84" t="s">
        <v>6</v>
      </c>
      <c r="J4" s="85"/>
      <c r="K4" s="68" t="s">
        <v>7</v>
      </c>
      <c r="L4" s="68" t="s">
        <v>8</v>
      </c>
    </row>
    <row r="5" spans="2:29" ht="18" customHeight="1" thickBot="1" x14ac:dyDescent="0.3">
      <c r="B5" s="60" t="s">
        <v>61</v>
      </c>
      <c r="C5" s="5">
        <f>F5</f>
        <v>9</v>
      </c>
      <c r="D5" s="58"/>
      <c r="E5" s="58"/>
      <c r="F5" s="5">
        <v>9</v>
      </c>
      <c r="G5" s="61">
        <v>2</v>
      </c>
      <c r="H5" s="7">
        <f>C5*G5</f>
        <v>18</v>
      </c>
      <c r="I5" s="67"/>
      <c r="J5" s="68"/>
      <c r="K5" s="58"/>
      <c r="L5" s="8" t="str">
        <f>IF(C5&lt;11,"NA",IF(C5&lt;15,"ECA",IF(C5&lt;18,"A",IF(C5&lt;20,"A+"))))</f>
        <v>NA</v>
      </c>
      <c r="O5" s="8">
        <f>D5*G5</f>
        <v>0</v>
      </c>
      <c r="P5" s="8">
        <f>E5*G5</f>
        <v>0</v>
      </c>
      <c r="Q5" s="8">
        <f>G5*F5</f>
        <v>18</v>
      </c>
    </row>
    <row r="6" spans="2:29" ht="16.5" thickBot="1" x14ac:dyDescent="0.3">
      <c r="B6" s="64" t="s">
        <v>17</v>
      </c>
      <c r="C6" s="5">
        <f t="shared" ref="C6:C10" si="0">(D6+F6+E6)/3</f>
        <v>6.4249999999999998</v>
      </c>
      <c r="D6" s="5">
        <v>6.05</v>
      </c>
      <c r="E6" s="5">
        <v>5.6</v>
      </c>
      <c r="F6" s="5">
        <v>7.625</v>
      </c>
      <c r="G6" s="6">
        <v>3</v>
      </c>
      <c r="H6" s="7">
        <f>C6*G6</f>
        <v>19.274999999999999</v>
      </c>
      <c r="I6" s="76"/>
      <c r="J6" s="77"/>
      <c r="K6" s="8"/>
      <c r="L6" s="8" t="str">
        <f>IF(C6&lt;11,"NA",IF(C6&lt;15,"ECA",IF(C6&lt;18,"A",IF(C6&lt;20,"A+"))))</f>
        <v>NA</v>
      </c>
      <c r="O6" s="8">
        <f>D6*G6</f>
        <v>18.149999999999999</v>
      </c>
      <c r="P6" s="8">
        <f t="shared" ref="P6:P10" si="1">E6*G6</f>
        <v>16.799999999999997</v>
      </c>
      <c r="Q6" s="8">
        <f t="shared" ref="Q6:Q10" si="2">G6*F6</f>
        <v>22.875</v>
      </c>
    </row>
    <row r="7" spans="2:29" ht="16.5" thickBot="1" x14ac:dyDescent="0.3">
      <c r="B7" s="64" t="s">
        <v>54</v>
      </c>
      <c r="C7" s="5">
        <f t="shared" si="0"/>
        <v>6.9416666666666664</v>
      </c>
      <c r="D7" s="5">
        <v>7.8999999999999995</v>
      </c>
      <c r="E7" s="5">
        <v>9.3000000000000007</v>
      </c>
      <c r="F7" s="5">
        <v>3.625</v>
      </c>
      <c r="G7" s="6">
        <v>1</v>
      </c>
      <c r="H7" s="7">
        <f t="shared" ref="H7:H10" si="3">C7*G7</f>
        <v>6.9416666666666664</v>
      </c>
      <c r="I7" s="76"/>
      <c r="J7" s="77"/>
      <c r="K7" s="8"/>
      <c r="L7" s="8" t="str">
        <f t="shared" ref="L7:L10" si="4">IF(C7&lt;11,"NA",IF(C7&lt;15,"ECA",IF(C7&lt;18,"A",IF(C7&lt;20,"A+"))))</f>
        <v>NA</v>
      </c>
      <c r="O7" s="8">
        <f t="shared" ref="O7:O10" si="5">D7*G7</f>
        <v>7.8999999999999995</v>
      </c>
      <c r="P7" s="8">
        <f t="shared" si="1"/>
        <v>9.3000000000000007</v>
      </c>
      <c r="Q7" s="8">
        <f t="shared" si="2"/>
        <v>3.625</v>
      </c>
    </row>
    <row r="8" spans="2:29" ht="16.5" thickBot="1" x14ac:dyDescent="0.3">
      <c r="B8" s="64" t="s">
        <v>62</v>
      </c>
      <c r="C8" s="5">
        <f>F8</f>
        <v>13.5</v>
      </c>
      <c r="D8" s="5"/>
      <c r="E8" s="5"/>
      <c r="F8" s="5">
        <v>13.5</v>
      </c>
      <c r="G8" s="6">
        <v>2</v>
      </c>
      <c r="H8" s="7">
        <f t="shared" si="3"/>
        <v>27</v>
      </c>
      <c r="I8" s="62"/>
      <c r="J8" s="63"/>
      <c r="K8" s="8"/>
      <c r="L8" s="8" t="str">
        <f t="shared" si="4"/>
        <v>ECA</v>
      </c>
      <c r="O8" s="8">
        <f t="shared" si="5"/>
        <v>0</v>
      </c>
      <c r="P8" s="8">
        <f t="shared" si="1"/>
        <v>0</v>
      </c>
      <c r="Q8" s="8">
        <f t="shared" si="2"/>
        <v>27</v>
      </c>
    </row>
    <row r="9" spans="2:29" ht="16.5" thickBot="1" x14ac:dyDescent="0.3">
      <c r="B9" s="64" t="s">
        <v>50</v>
      </c>
      <c r="C9" s="5">
        <f t="shared" si="0"/>
        <v>8.0366666666666671</v>
      </c>
      <c r="D9" s="5">
        <v>7.35</v>
      </c>
      <c r="E9" s="5">
        <v>9.76</v>
      </c>
      <c r="F9" s="5">
        <v>7</v>
      </c>
      <c r="G9" s="6">
        <v>2</v>
      </c>
      <c r="H9" s="7">
        <f t="shared" si="3"/>
        <v>16.073333333333334</v>
      </c>
      <c r="I9" s="90"/>
      <c r="J9" s="91"/>
      <c r="K9" s="8"/>
      <c r="L9" s="8" t="str">
        <f t="shared" si="4"/>
        <v>NA</v>
      </c>
      <c r="O9" s="8">
        <f t="shared" si="5"/>
        <v>14.7</v>
      </c>
      <c r="P9" s="8">
        <f t="shared" si="1"/>
        <v>19.52</v>
      </c>
      <c r="Q9" s="8">
        <f t="shared" si="2"/>
        <v>14</v>
      </c>
    </row>
    <row r="10" spans="2:29" ht="16.5" thickBot="1" x14ac:dyDescent="0.3">
      <c r="B10" s="64" t="s">
        <v>51</v>
      </c>
      <c r="C10" s="5">
        <f t="shared" si="0"/>
        <v>12.083333333333334</v>
      </c>
      <c r="D10" s="5">
        <v>12.7</v>
      </c>
      <c r="E10" s="5">
        <v>14.8</v>
      </c>
      <c r="F10" s="5">
        <v>8.75</v>
      </c>
      <c r="G10" s="6">
        <v>1</v>
      </c>
      <c r="H10" s="7">
        <f t="shared" si="3"/>
        <v>12.083333333333334</v>
      </c>
      <c r="I10" s="76"/>
      <c r="J10" s="77"/>
      <c r="K10" s="8"/>
      <c r="L10" s="8" t="str">
        <f t="shared" si="4"/>
        <v>ECA</v>
      </c>
      <c r="O10" s="8">
        <f t="shared" si="5"/>
        <v>12.7</v>
      </c>
      <c r="P10" s="8">
        <f t="shared" si="1"/>
        <v>14.8</v>
      </c>
      <c r="Q10" s="8">
        <f t="shared" si="2"/>
        <v>8.75</v>
      </c>
    </row>
    <row r="11" spans="2:29" ht="16.5" thickBot="1" x14ac:dyDescent="0.3">
      <c r="B11" s="78" t="s">
        <v>58</v>
      </c>
      <c r="C11" s="79"/>
      <c r="D11" s="79"/>
      <c r="E11" s="79"/>
      <c r="F11" s="79"/>
      <c r="G11" s="79"/>
      <c r="H11" s="79"/>
      <c r="I11" s="79"/>
      <c r="J11" s="79"/>
      <c r="K11" s="79"/>
      <c r="L11" s="80"/>
    </row>
    <row r="12" spans="2:29" ht="16.5" thickBot="1" x14ac:dyDescent="0.3">
      <c r="B12" s="9" t="s">
        <v>12</v>
      </c>
      <c r="C12" s="86">
        <f>(SUM(H5:H10)/SUM(G5:G10))</f>
        <v>9.0339393939393933</v>
      </c>
      <c r="D12" s="86"/>
      <c r="E12" s="86"/>
      <c r="F12" s="86"/>
      <c r="G12" s="87" t="s">
        <v>13</v>
      </c>
      <c r="H12" s="87"/>
      <c r="I12" s="69"/>
      <c r="J12" s="88"/>
      <c r="K12" s="88"/>
      <c r="L12" s="89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spans="2:29" ht="16.5" thickBot="1" x14ac:dyDescent="0.3">
      <c r="B13" s="81"/>
      <c r="C13" s="82"/>
      <c r="D13" s="82"/>
      <c r="E13" s="82"/>
      <c r="F13" s="82"/>
      <c r="G13" s="82"/>
      <c r="H13" s="82"/>
      <c r="I13" s="82"/>
      <c r="J13" s="82"/>
      <c r="K13" s="82"/>
      <c r="L13" s="83"/>
    </row>
    <row r="14" spans="2:29" ht="16.5" thickBot="1" x14ac:dyDescent="0.3">
      <c r="B14" s="64" t="s">
        <v>47</v>
      </c>
      <c r="C14" s="5">
        <f>(D14+F14+E14)/3</f>
        <v>12.283333333333333</v>
      </c>
      <c r="D14" s="5">
        <v>11.35</v>
      </c>
      <c r="E14" s="5">
        <v>14</v>
      </c>
      <c r="F14" s="5">
        <v>11.5</v>
      </c>
      <c r="G14" s="6">
        <v>2</v>
      </c>
      <c r="H14" s="7">
        <f t="shared" ref="H14:H17" si="6">C14*G14</f>
        <v>24.566666666666666</v>
      </c>
      <c r="I14" s="76"/>
      <c r="J14" s="77"/>
      <c r="K14" s="8"/>
      <c r="L14" s="8" t="str">
        <f>IF(C14&lt;11,"NA",IF(C14&lt;15,"ECA",IF(C14&lt;18,"A",IF(C14&lt;20,"A+"))))</f>
        <v>ECA</v>
      </c>
      <c r="O14" s="8">
        <f t="shared" ref="O14:O17" si="7">D14*G14</f>
        <v>22.7</v>
      </c>
      <c r="P14" s="8">
        <f>E14*G14</f>
        <v>28</v>
      </c>
      <c r="Q14" s="8">
        <f>G14*F14</f>
        <v>23</v>
      </c>
    </row>
    <row r="15" spans="2:29" ht="16.5" thickBot="1" x14ac:dyDescent="0.3">
      <c r="B15" s="64" t="s">
        <v>14</v>
      </c>
      <c r="C15" s="5">
        <f t="shared" ref="C15:C17" si="8">(D15+F15+E15)/3</f>
        <v>12.35</v>
      </c>
      <c r="D15" s="5">
        <v>10.8</v>
      </c>
      <c r="E15" s="5">
        <v>13.75</v>
      </c>
      <c r="F15" s="5">
        <v>12.5</v>
      </c>
      <c r="G15" s="6">
        <v>1.5</v>
      </c>
      <c r="H15" s="7">
        <f t="shared" si="6"/>
        <v>18.524999999999999</v>
      </c>
      <c r="I15" s="76"/>
      <c r="J15" s="77"/>
      <c r="K15" s="8"/>
      <c r="L15" s="8" t="str">
        <f t="shared" ref="L15:L17" si="9">IF(C15&lt;11,"NA",IF(C15&lt;15,"ECA",IF(C15&lt;18,"A",IF(C15&lt;20,"A+"))))</f>
        <v>ECA</v>
      </c>
      <c r="O15" s="8">
        <f t="shared" si="7"/>
        <v>16.200000000000003</v>
      </c>
      <c r="P15" s="8">
        <f t="shared" ref="P15:P17" si="10">E15*G15</f>
        <v>20.625</v>
      </c>
      <c r="Q15" s="8">
        <f t="shared" ref="Q15:Q17" si="11">G15*F15</f>
        <v>18.75</v>
      </c>
    </row>
    <row r="16" spans="2:29" ht="16.5" thickBot="1" x14ac:dyDescent="0.3">
      <c r="B16" s="64" t="s">
        <v>15</v>
      </c>
      <c r="C16" s="5">
        <f t="shared" si="8"/>
        <v>11.041666666666666</v>
      </c>
      <c r="D16" s="5">
        <v>9.1750000000000007</v>
      </c>
      <c r="E16" s="5">
        <v>11.2</v>
      </c>
      <c r="F16" s="5">
        <v>12.75</v>
      </c>
      <c r="G16" s="6">
        <v>1.5</v>
      </c>
      <c r="H16" s="7">
        <f t="shared" si="6"/>
        <v>16.5625</v>
      </c>
      <c r="I16" s="76"/>
      <c r="J16" s="77"/>
      <c r="K16" s="8"/>
      <c r="L16" s="8" t="str">
        <f t="shared" si="9"/>
        <v>ECA</v>
      </c>
      <c r="O16" s="8">
        <f t="shared" si="7"/>
        <v>13.762500000000001</v>
      </c>
      <c r="P16" s="8">
        <f t="shared" si="10"/>
        <v>16.799999999999997</v>
      </c>
      <c r="Q16" s="8">
        <f t="shared" si="11"/>
        <v>19.125</v>
      </c>
    </row>
    <row r="17" spans="2:17" ht="16.5" thickBot="1" x14ac:dyDescent="0.3">
      <c r="B17" s="64" t="s">
        <v>52</v>
      </c>
      <c r="C17" s="5">
        <f t="shared" si="8"/>
        <v>11.166666666666666</v>
      </c>
      <c r="D17" s="5">
        <v>11</v>
      </c>
      <c r="E17" s="5">
        <v>10</v>
      </c>
      <c r="F17" s="5">
        <v>12.5</v>
      </c>
      <c r="G17" s="6">
        <v>1</v>
      </c>
      <c r="H17" s="7">
        <f t="shared" si="6"/>
        <v>11.166666666666666</v>
      </c>
      <c r="I17" s="76"/>
      <c r="J17" s="77"/>
      <c r="K17" s="8"/>
      <c r="L17" s="8" t="str">
        <f t="shared" si="9"/>
        <v>ECA</v>
      </c>
      <c r="O17" s="8">
        <f t="shared" si="7"/>
        <v>11</v>
      </c>
      <c r="P17" s="8">
        <f t="shared" si="10"/>
        <v>10</v>
      </c>
      <c r="Q17" s="8">
        <f t="shared" si="11"/>
        <v>12.5</v>
      </c>
    </row>
    <row r="18" spans="2:17" ht="16.149999999999999" customHeight="1" thickBot="1" x14ac:dyDescent="0.3">
      <c r="B18" s="78" t="s">
        <v>59</v>
      </c>
      <c r="C18" s="79"/>
      <c r="D18" s="79"/>
      <c r="E18" s="79"/>
      <c r="F18" s="79"/>
      <c r="G18" s="79"/>
      <c r="H18" s="79"/>
      <c r="I18" s="79"/>
      <c r="J18" s="79"/>
      <c r="K18" s="79"/>
      <c r="L18" s="80"/>
    </row>
    <row r="19" spans="2:17" ht="16.149999999999999" customHeight="1" thickBot="1" x14ac:dyDescent="0.3">
      <c r="B19" s="9" t="s">
        <v>16</v>
      </c>
      <c r="C19" s="86">
        <f>(SUM(H14:H17)/SUM(G14:G17))</f>
        <v>11.803472222222224</v>
      </c>
      <c r="D19" s="86"/>
      <c r="E19" s="86"/>
      <c r="F19" s="86"/>
      <c r="G19" s="87" t="s">
        <v>13</v>
      </c>
      <c r="H19" s="87"/>
      <c r="I19" s="69"/>
      <c r="J19" s="88"/>
      <c r="K19" s="88"/>
      <c r="L19" s="89"/>
    </row>
    <row r="20" spans="2:17" ht="16.5" thickBot="1" x14ac:dyDescent="0.3">
      <c r="B20" s="92"/>
      <c r="C20" s="93"/>
      <c r="D20" s="93"/>
      <c r="E20" s="93"/>
      <c r="F20" s="93"/>
      <c r="G20" s="93"/>
      <c r="H20" s="93"/>
      <c r="I20" s="93"/>
      <c r="J20" s="93"/>
      <c r="K20" s="93"/>
      <c r="L20" s="94"/>
    </row>
    <row r="21" spans="2:17" ht="16.5" thickBot="1" x14ac:dyDescent="0.3">
      <c r="B21" s="64" t="s">
        <v>9</v>
      </c>
      <c r="C21" s="5">
        <f>(D21+F21+E21)/3</f>
        <v>8.9833333333333325</v>
      </c>
      <c r="D21" s="5">
        <v>12.15</v>
      </c>
      <c r="E21" s="5">
        <v>8.3000000000000007</v>
      </c>
      <c r="F21" s="8">
        <v>6.5</v>
      </c>
      <c r="G21" s="6">
        <v>2</v>
      </c>
      <c r="H21" s="7">
        <f t="shared" ref="H21:H24" si="12">C21*G21</f>
        <v>17.966666666666665</v>
      </c>
      <c r="I21" s="76"/>
      <c r="J21" s="77"/>
      <c r="K21" s="8"/>
      <c r="L21" s="8" t="str">
        <f t="shared" ref="L21:L24" si="13">IF(C21&lt;11,"NA",IF(C21&lt;15,"ECA",IF(C21&lt;18,"A",IF(C21&lt;20,"A+"))))</f>
        <v>NA</v>
      </c>
      <c r="O21" s="8">
        <f t="shared" ref="O21:O24" si="14">D21*G21</f>
        <v>24.3</v>
      </c>
      <c r="P21" s="8">
        <f>E21*G21</f>
        <v>16.600000000000001</v>
      </c>
      <c r="Q21" s="8">
        <f>G21*F21</f>
        <v>13</v>
      </c>
    </row>
    <row r="22" spans="2:17" ht="16.5" thickBot="1" x14ac:dyDescent="0.3">
      <c r="B22" s="64" t="s">
        <v>10</v>
      </c>
      <c r="C22" s="5">
        <f t="shared" ref="C22:C24" si="15">(D22+F22+E22)/3</f>
        <v>11.556666666666667</v>
      </c>
      <c r="D22" s="5">
        <v>10.8</v>
      </c>
      <c r="E22" s="5">
        <v>12.67</v>
      </c>
      <c r="F22" s="8">
        <v>11.2</v>
      </c>
      <c r="G22" s="6">
        <v>4</v>
      </c>
      <c r="H22" s="7">
        <f t="shared" si="12"/>
        <v>46.226666666666667</v>
      </c>
      <c r="I22" s="76"/>
      <c r="J22" s="77"/>
      <c r="K22" s="8"/>
      <c r="L22" s="8" t="str">
        <f t="shared" si="13"/>
        <v>ECA</v>
      </c>
      <c r="O22" s="8">
        <f t="shared" si="14"/>
        <v>43.2</v>
      </c>
      <c r="P22" s="8">
        <f t="shared" ref="P22:P24" si="16">E22*G22</f>
        <v>50.68</v>
      </c>
      <c r="Q22" s="8">
        <f t="shared" ref="Q22:Q24" si="17">G22*F22</f>
        <v>44.8</v>
      </c>
    </row>
    <row r="23" spans="2:17" ht="16.5" thickBot="1" x14ac:dyDescent="0.3">
      <c r="B23" s="64" t="s">
        <v>56</v>
      </c>
      <c r="C23" s="5">
        <f>F23</f>
        <v>18</v>
      </c>
      <c r="D23" s="5"/>
      <c r="E23" s="5"/>
      <c r="F23" s="8">
        <v>18</v>
      </c>
      <c r="G23" s="6">
        <v>2</v>
      </c>
      <c r="H23" s="7">
        <f t="shared" si="12"/>
        <v>36</v>
      </c>
      <c r="I23" s="76"/>
      <c r="J23" s="77"/>
      <c r="K23" s="8"/>
      <c r="L23" s="8" t="str">
        <f t="shared" si="13"/>
        <v>A+</v>
      </c>
      <c r="O23" s="8">
        <f t="shared" si="14"/>
        <v>0</v>
      </c>
      <c r="P23" s="8">
        <f t="shared" si="16"/>
        <v>0</v>
      </c>
      <c r="Q23" s="8">
        <f t="shared" si="17"/>
        <v>36</v>
      </c>
    </row>
    <row r="24" spans="2:17" ht="16.5" thickBot="1" x14ac:dyDescent="0.3">
      <c r="B24" s="64" t="s">
        <v>11</v>
      </c>
      <c r="C24" s="5">
        <f t="shared" si="15"/>
        <v>10.783333333333333</v>
      </c>
      <c r="D24" s="5">
        <v>10.7</v>
      </c>
      <c r="E24" s="5">
        <v>8.9</v>
      </c>
      <c r="F24" s="8">
        <v>12.75</v>
      </c>
      <c r="G24" s="6">
        <v>2</v>
      </c>
      <c r="H24" s="7">
        <f t="shared" si="12"/>
        <v>21.566666666666666</v>
      </c>
      <c r="I24" s="76"/>
      <c r="J24" s="77"/>
      <c r="K24" s="8"/>
      <c r="L24" s="8" t="str">
        <f t="shared" si="13"/>
        <v>NA</v>
      </c>
      <c r="O24" s="8">
        <f t="shared" si="14"/>
        <v>21.4</v>
      </c>
      <c r="P24" s="8">
        <f t="shared" si="16"/>
        <v>17.8</v>
      </c>
      <c r="Q24" s="8">
        <f t="shared" si="17"/>
        <v>25.5</v>
      </c>
    </row>
    <row r="25" spans="2:17" ht="16.149999999999999" customHeight="1" thickBot="1" x14ac:dyDescent="0.3">
      <c r="B25" s="78" t="s">
        <v>60</v>
      </c>
      <c r="C25" s="79"/>
      <c r="D25" s="79"/>
      <c r="E25" s="79"/>
      <c r="F25" s="79"/>
      <c r="G25" s="79"/>
      <c r="H25" s="79"/>
      <c r="I25" s="79"/>
      <c r="J25" s="79"/>
      <c r="K25" s="79"/>
      <c r="L25" s="80"/>
    </row>
    <row r="26" spans="2:17" ht="16.149999999999999" customHeight="1" thickBot="1" x14ac:dyDescent="0.3">
      <c r="B26" s="9" t="s">
        <v>12</v>
      </c>
      <c r="C26" s="86">
        <f>(SUM(H21:H24)/SUM(G21:G24))</f>
        <v>12.175999999999998</v>
      </c>
      <c r="D26" s="86"/>
      <c r="E26" s="86"/>
      <c r="F26" s="86"/>
      <c r="G26" s="87" t="s">
        <v>13</v>
      </c>
      <c r="H26" s="87"/>
      <c r="I26" s="69"/>
      <c r="J26" s="88"/>
      <c r="K26" s="88"/>
      <c r="L26" s="89"/>
    </row>
    <row r="27" spans="2:17" ht="16.5" thickBot="1" x14ac:dyDescent="0.3">
      <c r="B27" s="81"/>
      <c r="C27" s="82"/>
      <c r="D27" s="82"/>
      <c r="E27" s="82"/>
      <c r="F27" s="82"/>
      <c r="G27" s="82"/>
      <c r="H27" s="82"/>
      <c r="I27" s="100"/>
      <c r="J27" s="100"/>
      <c r="K27" s="100"/>
      <c r="L27" s="83"/>
    </row>
    <row r="28" spans="2:17" ht="16.5" thickBot="1" x14ac:dyDescent="0.3">
      <c r="B28" s="64" t="s">
        <v>53</v>
      </c>
      <c r="C28" s="5">
        <f>(D28+F28+E28)/3</f>
        <v>18.333333333333332</v>
      </c>
      <c r="D28" s="8">
        <v>19</v>
      </c>
      <c r="E28" s="8">
        <v>19</v>
      </c>
      <c r="F28" s="8">
        <v>17</v>
      </c>
      <c r="G28" s="6">
        <v>1</v>
      </c>
      <c r="H28" s="7">
        <f t="shared" ref="H28:H31" si="18">C28*G28</f>
        <v>18.333333333333332</v>
      </c>
      <c r="I28" s="76"/>
      <c r="J28" s="77"/>
      <c r="K28" s="8"/>
      <c r="L28" s="8" t="str">
        <f t="shared" ref="L28:L31" si="19">IF(C28&lt;11,"NA",IF(C28&lt;15,"ECA",IF(C28&lt;18,"A",IF(C28&lt;20,"A+"))))</f>
        <v>A+</v>
      </c>
      <c r="O28" s="8">
        <f t="shared" ref="O28:O31" si="20">D28*G28</f>
        <v>19</v>
      </c>
      <c r="P28" s="8">
        <f>E28*G28</f>
        <v>19</v>
      </c>
      <c r="Q28" s="8">
        <f>G28*F28</f>
        <v>17</v>
      </c>
    </row>
    <row r="29" spans="2:17" ht="16.5" thickBot="1" x14ac:dyDescent="0.3">
      <c r="B29" s="64" t="s">
        <v>48</v>
      </c>
      <c r="C29" s="5">
        <f t="shared" ref="C29:C31" si="21">(D29+F29+E29)/3</f>
        <v>15.85</v>
      </c>
      <c r="D29" s="8">
        <v>15.35</v>
      </c>
      <c r="E29" s="8">
        <v>17</v>
      </c>
      <c r="F29" s="8">
        <v>15.2</v>
      </c>
      <c r="G29" s="6">
        <v>2</v>
      </c>
      <c r="H29" s="7">
        <f t="shared" si="18"/>
        <v>31.7</v>
      </c>
      <c r="I29" s="76"/>
      <c r="J29" s="77"/>
      <c r="K29" s="8"/>
      <c r="L29" s="8" t="str">
        <f t="shared" si="19"/>
        <v>A</v>
      </c>
      <c r="O29" s="8">
        <f t="shared" si="20"/>
        <v>30.7</v>
      </c>
      <c r="P29" s="8">
        <f t="shared" ref="P29:P31" si="22">E29*G29</f>
        <v>34</v>
      </c>
      <c r="Q29" s="8">
        <f t="shared" ref="Q29:Q31" si="23">G29*F29</f>
        <v>30.4</v>
      </c>
    </row>
    <row r="30" spans="2:17" ht="16.5" thickBot="1" x14ac:dyDescent="0.3">
      <c r="B30" s="64" t="s">
        <v>49</v>
      </c>
      <c r="C30" s="5">
        <f t="shared" si="21"/>
        <v>11.5</v>
      </c>
      <c r="D30" s="8">
        <v>13.5</v>
      </c>
      <c r="E30" s="8">
        <v>7</v>
      </c>
      <c r="F30" s="8">
        <v>14</v>
      </c>
      <c r="G30" s="6">
        <v>1</v>
      </c>
      <c r="H30" s="7">
        <f t="shared" si="18"/>
        <v>11.5</v>
      </c>
      <c r="I30" s="76"/>
      <c r="J30" s="77"/>
      <c r="K30" s="8"/>
      <c r="L30" s="8" t="str">
        <f t="shared" si="19"/>
        <v>ECA</v>
      </c>
      <c r="O30" s="8">
        <f t="shared" si="20"/>
        <v>13.5</v>
      </c>
      <c r="P30" s="8">
        <f t="shared" si="22"/>
        <v>7</v>
      </c>
      <c r="Q30" s="8">
        <f t="shared" si="23"/>
        <v>14</v>
      </c>
    </row>
    <row r="31" spans="2:17" ht="16.5" thickBot="1" x14ac:dyDescent="0.3">
      <c r="B31" s="64" t="s">
        <v>18</v>
      </c>
      <c r="C31" s="5">
        <f t="shared" si="21"/>
        <v>15.75</v>
      </c>
      <c r="D31" s="8">
        <v>15</v>
      </c>
      <c r="E31" s="8">
        <v>16</v>
      </c>
      <c r="F31" s="8">
        <v>16.25</v>
      </c>
      <c r="G31" s="6">
        <v>1</v>
      </c>
      <c r="H31" s="7">
        <f t="shared" si="18"/>
        <v>15.75</v>
      </c>
      <c r="I31" s="76"/>
      <c r="J31" s="77"/>
      <c r="K31" s="8"/>
      <c r="L31" s="8" t="str">
        <f t="shared" si="19"/>
        <v>A</v>
      </c>
      <c r="O31" s="8">
        <f t="shared" si="20"/>
        <v>15</v>
      </c>
      <c r="P31" s="8">
        <f t="shared" si="22"/>
        <v>16</v>
      </c>
      <c r="Q31" s="8">
        <f t="shared" si="23"/>
        <v>16.25</v>
      </c>
    </row>
    <row r="32" spans="2:17" ht="16.149999999999999" customHeight="1" thickBot="1" x14ac:dyDescent="0.3">
      <c r="B32" s="64" t="s">
        <v>57</v>
      </c>
      <c r="C32" s="65"/>
      <c r="D32" s="65"/>
      <c r="E32" s="65"/>
      <c r="F32" s="65"/>
      <c r="G32" s="65"/>
      <c r="H32" s="65"/>
      <c r="I32" s="65"/>
      <c r="J32" s="65"/>
      <c r="K32" s="65"/>
      <c r="L32" s="66"/>
      <c r="O32" s="1">
        <f>SUM(O6:O31)</f>
        <v>284.21249999999998</v>
      </c>
      <c r="P32" s="1">
        <f>SUM(P6:P31)</f>
        <v>296.92500000000001</v>
      </c>
      <c r="Q32" s="1">
        <f>SUM(Q5:Q31)</f>
        <v>364.57499999999999</v>
      </c>
    </row>
    <row r="33" spans="2:17" ht="16.149999999999999" customHeight="1" thickBot="1" x14ac:dyDescent="0.3">
      <c r="B33" s="9" t="s">
        <v>16</v>
      </c>
      <c r="C33" s="86">
        <f>(SUM(H28:H31)/SUM(G28:G31))</f>
        <v>15.456666666666667</v>
      </c>
      <c r="D33" s="86"/>
      <c r="E33" s="86"/>
      <c r="F33" s="86"/>
      <c r="G33" s="87" t="s">
        <v>13</v>
      </c>
      <c r="H33" s="87"/>
      <c r="I33" s="69"/>
      <c r="J33" s="88"/>
      <c r="K33" s="88"/>
      <c r="L33" s="89"/>
      <c r="O33" s="1">
        <v>26</v>
      </c>
      <c r="P33" s="1">
        <v>26</v>
      </c>
      <c r="Q33" s="1">
        <v>32</v>
      </c>
    </row>
    <row r="34" spans="2:17" ht="16.5" thickBot="1" x14ac:dyDescent="0.3">
      <c r="B34" s="81"/>
      <c r="C34" s="82"/>
      <c r="D34" s="82"/>
      <c r="E34" s="82"/>
      <c r="F34" s="82"/>
      <c r="G34" s="82"/>
      <c r="H34" s="82"/>
      <c r="I34" s="82"/>
      <c r="J34" s="82"/>
      <c r="K34" s="82"/>
      <c r="L34" s="83"/>
      <c r="O34" s="1">
        <f>O32/O33</f>
        <v>10.931249999999999</v>
      </c>
      <c r="P34" s="1">
        <f>P32/P33</f>
        <v>11.420192307692307</v>
      </c>
      <c r="Q34" s="1">
        <f>Q32/Q33</f>
        <v>11.39296875</v>
      </c>
    </row>
    <row r="35" spans="2:17" s="17" customFormat="1" ht="48" thickBot="1" x14ac:dyDescent="0.3">
      <c r="B35" s="64" t="s">
        <v>19</v>
      </c>
      <c r="C35" s="70" t="s">
        <v>20</v>
      </c>
      <c r="D35" s="69"/>
      <c r="E35" s="69"/>
      <c r="F35" s="71" t="s">
        <v>21</v>
      </c>
      <c r="G35" s="88"/>
      <c r="H35" s="88"/>
      <c r="I35" s="71" t="s">
        <v>22</v>
      </c>
      <c r="J35" s="88"/>
      <c r="K35" s="88"/>
      <c r="L35" s="72"/>
    </row>
    <row r="36" spans="2:17" x14ac:dyDescent="0.25">
      <c r="B36" s="18"/>
      <c r="C36" s="19" t="s">
        <v>1</v>
      </c>
      <c r="D36" s="19" t="s">
        <v>63</v>
      </c>
      <c r="E36" s="19" t="s">
        <v>65</v>
      </c>
      <c r="F36" s="20"/>
      <c r="G36" s="20"/>
      <c r="H36" s="21"/>
      <c r="I36" s="101"/>
      <c r="J36" s="100"/>
      <c r="K36" s="100"/>
      <c r="L36" s="102"/>
    </row>
    <row r="37" spans="2:17" x14ac:dyDescent="0.25">
      <c r="B37" s="22" t="s">
        <v>23</v>
      </c>
      <c r="C37" s="23">
        <f>O34</f>
        <v>10.931249999999999</v>
      </c>
      <c r="D37" s="23">
        <f>P34</f>
        <v>11.420192307692307</v>
      </c>
      <c r="E37" s="23">
        <f>Q34</f>
        <v>11.39296875</v>
      </c>
      <c r="F37" s="32" t="s">
        <v>66</v>
      </c>
      <c r="G37" s="25">
        <f>(H5+H6+H7+H8+H9+H10+H14+H15+H16+H17+H21+H22+H23+H24+H28+H29+H30+H31)/32</f>
        <v>11.538671874999999</v>
      </c>
      <c r="H37" s="24" t="s">
        <v>25</v>
      </c>
      <c r="I37" s="103" t="s">
        <v>26</v>
      </c>
      <c r="J37" s="104"/>
      <c r="K37" s="26"/>
      <c r="L37" s="27" t="s">
        <v>25</v>
      </c>
    </row>
    <row r="38" spans="2:17" ht="16.149999999999999" customHeight="1" thickBot="1" x14ac:dyDescent="0.3">
      <c r="B38" s="95"/>
      <c r="C38" s="96"/>
      <c r="D38" s="96"/>
      <c r="E38" s="96"/>
      <c r="F38" s="96"/>
      <c r="G38" s="96"/>
      <c r="H38" s="96"/>
      <c r="I38" s="97"/>
      <c r="J38" s="98"/>
      <c r="K38" s="98"/>
      <c r="L38" s="99"/>
    </row>
    <row r="39" spans="2:17" ht="16.149999999999999" customHeight="1" thickBot="1" x14ac:dyDescent="0.3">
      <c r="B39" s="105" t="s">
        <v>67</v>
      </c>
      <c r="C39" s="106"/>
      <c r="D39" s="106"/>
      <c r="E39" s="106"/>
      <c r="F39" s="106"/>
      <c r="G39" s="106"/>
      <c r="H39" s="106"/>
      <c r="I39" s="106"/>
      <c r="J39" s="106"/>
      <c r="K39" s="106"/>
      <c r="L39" s="107"/>
    </row>
    <row r="40" spans="2:17" ht="16.149999999999999" customHeight="1" thickBot="1" x14ac:dyDescent="0.3">
      <c r="B40" s="108" t="s">
        <v>28</v>
      </c>
      <c r="C40" s="88"/>
      <c r="D40" s="88"/>
      <c r="E40" s="88"/>
      <c r="F40" s="88"/>
      <c r="G40" s="88"/>
      <c r="H40" s="88"/>
      <c r="I40" s="88"/>
      <c r="J40" s="88"/>
      <c r="K40" s="88"/>
      <c r="L40" s="89"/>
    </row>
    <row r="41" spans="2:17" ht="16.149999999999999" customHeight="1" thickBot="1" x14ac:dyDescent="0.3">
      <c r="B41" s="64" t="s">
        <v>29</v>
      </c>
      <c r="C41" s="81" t="s">
        <v>30</v>
      </c>
      <c r="D41" s="82"/>
      <c r="E41" s="82"/>
      <c r="F41" s="83"/>
      <c r="G41" s="109" t="s">
        <v>31</v>
      </c>
      <c r="H41" s="110"/>
      <c r="I41" s="110"/>
      <c r="J41" s="110"/>
      <c r="K41" s="110"/>
      <c r="L41" s="111"/>
    </row>
    <row r="42" spans="2:17" ht="16.149999999999999" customHeight="1" thickBot="1" x14ac:dyDescent="0.3">
      <c r="B42" s="42" t="s">
        <v>32</v>
      </c>
      <c r="C42" s="110" t="str">
        <f>IF(G37&lt;11,"NA",IF(G37&lt;15,"ECA",IF(G37&lt;18,"A",IF(G37&lt;20,"A+"))))</f>
        <v>ECA</v>
      </c>
      <c r="D42" s="110" t="e">
        <f>IF(#REF!&lt;11,"NA",IF(#REF!&lt;15,"ECA",IF(#REF!&lt;18,"A",IF(#REF!&lt;20,"A+"))))</f>
        <v>#REF!</v>
      </c>
      <c r="E42" s="110"/>
      <c r="F42" s="111" t="e">
        <f>IF(#REF!&lt;11,"NA",IF(#REF!&lt;15,"ECA",IF(#REF!&lt;18,"A",IF(#REF!&lt;20,"A+"))))</f>
        <v>#REF!</v>
      </c>
      <c r="G42" s="112"/>
      <c r="H42" s="113"/>
      <c r="I42" s="113"/>
      <c r="J42" s="113"/>
      <c r="K42" s="113"/>
      <c r="L42" s="114"/>
    </row>
    <row r="43" spans="2:17" ht="16.149999999999999" customHeight="1" thickBot="1" x14ac:dyDescent="0.3">
      <c r="B43" s="43" t="s">
        <v>33</v>
      </c>
      <c r="C43" s="115" t="e">
        <f>IF(#REF!&lt;11,"NA",IF(#REF!&lt;15,"ECA",IF(#REF!&lt;18,"A",IF(#REF!&lt;20,"A+"))))</f>
        <v>#REF!</v>
      </c>
      <c r="D43" s="116" t="e">
        <f>IF(#REF!&lt;11,"NA",IF(#REF!&lt;15,"ECA",IF(#REF!&lt;18,"A",IF(#REF!&lt;20,"A+"))))</f>
        <v>#REF!</v>
      </c>
      <c r="E43" s="116"/>
      <c r="F43" s="117" t="e">
        <f>IF(#REF!&lt;11,"NA",IF(#REF!&lt;15,"ECA",IF(#REF!&lt;18,"A",IF(#REF!&lt;20,"A+"))))</f>
        <v>#REF!</v>
      </c>
      <c r="G43" s="108" t="s">
        <v>34</v>
      </c>
      <c r="H43" s="88"/>
      <c r="I43" s="88"/>
      <c r="J43" s="89"/>
      <c r="K43" s="109" t="s">
        <v>35</v>
      </c>
      <c r="L43" s="111"/>
    </row>
    <row r="44" spans="2:17" ht="16.149999999999999" customHeight="1" thickBot="1" x14ac:dyDescent="0.3">
      <c r="B44" s="29" t="s">
        <v>36</v>
      </c>
      <c r="C44" s="112" t="e">
        <f>IF(#REF!&lt;11,"NA",IF(#REF!&lt;15,"ECA",IF(#REF!&lt;18,"A",IF(#REF!&lt;20,"A+"))))</f>
        <v>#REF!</v>
      </c>
      <c r="D44" s="113" t="e">
        <f>IF(#REF!&lt;11,"NA",IF(#REF!&lt;15,"ECA",IF(#REF!&lt;18,"A",IF(#REF!&lt;20,"A+"))))</f>
        <v>#REF!</v>
      </c>
      <c r="E44" s="113"/>
      <c r="F44" s="114" t="e">
        <f>IF(#REF!&lt;11,"NA",IF(#REF!&lt;15,"ECA",IF(#REF!&lt;18,"A",IF(#REF!&lt;20,"A+"))))</f>
        <v>#REF!</v>
      </c>
      <c r="G44" s="108" t="s">
        <v>37</v>
      </c>
      <c r="H44" s="88"/>
      <c r="I44" s="88"/>
      <c r="J44" s="89"/>
      <c r="K44" s="118" t="s">
        <v>38</v>
      </c>
      <c r="L44" s="119"/>
    </row>
    <row r="45" spans="2:17" ht="16.149999999999999" customHeight="1" thickBot="1" x14ac:dyDescent="0.3">
      <c r="B45" s="70" t="s">
        <v>39</v>
      </c>
      <c r="C45" s="109" t="s">
        <v>40</v>
      </c>
      <c r="D45" s="110"/>
      <c r="E45" s="110"/>
      <c r="F45" s="111"/>
      <c r="G45" s="108" t="s">
        <v>41</v>
      </c>
      <c r="H45" s="88"/>
      <c r="I45" s="88"/>
      <c r="J45" s="89"/>
      <c r="K45" s="118"/>
      <c r="L45" s="119"/>
    </row>
    <row r="46" spans="2:17" ht="16.149999999999999" customHeight="1" thickBot="1" x14ac:dyDescent="0.3">
      <c r="B46" s="70" t="s">
        <v>42</v>
      </c>
      <c r="C46" s="112"/>
      <c r="D46" s="113"/>
      <c r="E46" s="113"/>
      <c r="F46" s="114"/>
      <c r="G46" s="108" t="s">
        <v>43</v>
      </c>
      <c r="H46" s="88"/>
      <c r="I46" s="88"/>
      <c r="J46" s="89"/>
      <c r="K46" s="120" t="s">
        <v>44</v>
      </c>
      <c r="L46" s="121"/>
    </row>
    <row r="47" spans="2:17" ht="31.5" x14ac:dyDescent="0.25">
      <c r="B47" s="64" t="s">
        <v>45</v>
      </c>
      <c r="C47" s="101"/>
      <c r="D47" s="100"/>
      <c r="E47" s="100"/>
      <c r="F47" s="102"/>
      <c r="G47" s="101"/>
      <c r="H47" s="100"/>
      <c r="I47" s="100"/>
      <c r="J47" s="102"/>
      <c r="K47" s="120" t="s">
        <v>46</v>
      </c>
      <c r="L47" s="121"/>
    </row>
    <row r="48" spans="2:17" x14ac:dyDescent="0.25">
      <c r="B48" s="28"/>
      <c r="C48" s="122"/>
      <c r="D48" s="123"/>
      <c r="E48" s="123"/>
      <c r="F48" s="124"/>
      <c r="G48" s="122"/>
      <c r="H48" s="123"/>
      <c r="I48" s="123"/>
      <c r="J48" s="124"/>
      <c r="K48" s="128"/>
      <c r="L48" s="129"/>
    </row>
    <row r="49" spans="2:12" x14ac:dyDescent="0.25">
      <c r="B49" s="28"/>
      <c r="C49" s="122"/>
      <c r="D49" s="123"/>
      <c r="E49" s="123"/>
      <c r="F49" s="124"/>
      <c r="G49" s="122"/>
      <c r="H49" s="123"/>
      <c r="I49" s="123"/>
      <c r="J49" s="124"/>
      <c r="K49" s="128"/>
      <c r="L49" s="129"/>
    </row>
    <row r="50" spans="2:12" ht="16.5" thickBot="1" x14ac:dyDescent="0.3">
      <c r="B50" s="29"/>
      <c r="C50" s="125"/>
      <c r="D50" s="126"/>
      <c r="E50" s="126"/>
      <c r="F50" s="127"/>
      <c r="G50" s="125"/>
      <c r="H50" s="126"/>
      <c r="I50" s="126"/>
      <c r="J50" s="127"/>
      <c r="K50" s="97"/>
      <c r="L50" s="99"/>
    </row>
  </sheetData>
  <mergeCells count="62">
    <mergeCell ref="C45:F46"/>
    <mergeCell ref="G45:J45"/>
    <mergeCell ref="K45:L45"/>
    <mergeCell ref="G46:J46"/>
    <mergeCell ref="K46:L46"/>
    <mergeCell ref="C47:F50"/>
    <mergeCell ref="G47:J50"/>
    <mergeCell ref="K47:L47"/>
    <mergeCell ref="K48:L48"/>
    <mergeCell ref="K49:L49"/>
    <mergeCell ref="K50:L50"/>
    <mergeCell ref="B38:H38"/>
    <mergeCell ref="I38:L38"/>
    <mergeCell ref="B39:L39"/>
    <mergeCell ref="B40:L40"/>
    <mergeCell ref="C41:F41"/>
    <mergeCell ref="G41:L42"/>
    <mergeCell ref="C42:F44"/>
    <mergeCell ref="G43:J43"/>
    <mergeCell ref="G33:H33"/>
    <mergeCell ref="J33:L33"/>
    <mergeCell ref="B34:L34"/>
    <mergeCell ref="I36:L36"/>
    <mergeCell ref="I37:J37"/>
    <mergeCell ref="I4:J4"/>
    <mergeCell ref="I6:J6"/>
    <mergeCell ref="I7:J7"/>
    <mergeCell ref="I9:J9"/>
    <mergeCell ref="B18:L18"/>
    <mergeCell ref="I10:J10"/>
    <mergeCell ref="B11:L11"/>
    <mergeCell ref="C12:F12"/>
    <mergeCell ref="G12:H12"/>
    <mergeCell ref="J12:L12"/>
    <mergeCell ref="B13:L13"/>
    <mergeCell ref="I14:J14"/>
    <mergeCell ref="I15:J15"/>
    <mergeCell ref="I16:J16"/>
    <mergeCell ref="I17:J17"/>
    <mergeCell ref="J19:L19"/>
    <mergeCell ref="B20:L20"/>
    <mergeCell ref="I21:J21"/>
    <mergeCell ref="I22:J22"/>
    <mergeCell ref="I23:J23"/>
    <mergeCell ref="C19:F19"/>
    <mergeCell ref="G19:H19"/>
    <mergeCell ref="K43:L43"/>
    <mergeCell ref="G44:J44"/>
    <mergeCell ref="K44:L44"/>
    <mergeCell ref="I24:J24"/>
    <mergeCell ref="B25:L25"/>
    <mergeCell ref="C26:F26"/>
    <mergeCell ref="G26:H26"/>
    <mergeCell ref="J26:L26"/>
    <mergeCell ref="B27:L27"/>
    <mergeCell ref="I28:J28"/>
    <mergeCell ref="I29:J29"/>
    <mergeCell ref="I30:J30"/>
    <mergeCell ref="G35:H35"/>
    <mergeCell ref="J35:K35"/>
    <mergeCell ref="I31:J31"/>
    <mergeCell ref="C33:F3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C50"/>
  <sheetViews>
    <sheetView zoomScale="60" zoomScaleNormal="60" workbookViewId="0">
      <selection activeCell="O42" sqref="O42"/>
    </sheetView>
  </sheetViews>
  <sheetFormatPr baseColWidth="10" defaultColWidth="11.42578125" defaultRowHeight="15.75" x14ac:dyDescent="0.25"/>
  <cols>
    <col min="1" max="1" width="11.42578125" style="1"/>
    <col min="2" max="2" width="44.140625" style="1" customWidth="1"/>
    <col min="3" max="3" width="12.140625" style="1" customWidth="1"/>
    <col min="4" max="5" width="11.42578125" style="1"/>
    <col min="6" max="6" width="15.5703125" style="1" customWidth="1"/>
    <col min="7" max="7" width="11.42578125" style="1"/>
    <col min="8" max="8" width="12.42578125" style="1" customWidth="1"/>
    <col min="9" max="11" width="11.42578125" style="1"/>
    <col min="12" max="12" width="18.28515625" style="1" bestFit="1" customWidth="1"/>
    <col min="13" max="16384" width="11.42578125" style="1"/>
  </cols>
  <sheetData>
    <row r="3" spans="2:29" ht="16.5" thickBot="1" x14ac:dyDescent="0.3"/>
    <row r="4" spans="2:29" ht="30.75" customHeight="1" thickBot="1" x14ac:dyDescent="0.3">
      <c r="B4" s="59" t="s">
        <v>0</v>
      </c>
      <c r="C4" s="68" t="s">
        <v>68</v>
      </c>
      <c r="D4" s="68" t="s">
        <v>1</v>
      </c>
      <c r="E4" s="68" t="s">
        <v>63</v>
      </c>
      <c r="F4" s="68" t="s">
        <v>64</v>
      </c>
      <c r="G4" s="68" t="s">
        <v>4</v>
      </c>
      <c r="H4" s="67" t="s">
        <v>5</v>
      </c>
      <c r="I4" s="84" t="s">
        <v>6</v>
      </c>
      <c r="J4" s="85"/>
      <c r="K4" s="68" t="s">
        <v>7</v>
      </c>
      <c r="L4" s="68" t="s">
        <v>8</v>
      </c>
    </row>
    <row r="5" spans="2:29" ht="18" customHeight="1" thickBot="1" x14ac:dyDescent="0.3">
      <c r="B5" s="60" t="s">
        <v>61</v>
      </c>
      <c r="C5" s="5">
        <f>F5</f>
        <v>6</v>
      </c>
      <c r="D5" s="58"/>
      <c r="E5" s="58"/>
      <c r="F5" s="5">
        <v>6</v>
      </c>
      <c r="G5" s="61">
        <v>2</v>
      </c>
      <c r="H5" s="7">
        <f>C5*G5</f>
        <v>12</v>
      </c>
      <c r="I5" s="67"/>
      <c r="J5" s="68"/>
      <c r="K5" s="58"/>
      <c r="L5" s="8" t="str">
        <f>IF(C5&lt;11,"NA",IF(C5&lt;15,"ECA",IF(C5&lt;18,"A",IF(C5&lt;20,"A+"))))</f>
        <v>NA</v>
      </c>
      <c r="O5" s="8">
        <f>D5*G5</f>
        <v>0</v>
      </c>
      <c r="P5" s="8">
        <f>E5*G5</f>
        <v>0</v>
      </c>
      <c r="Q5" s="8">
        <f>G5*F5</f>
        <v>12</v>
      </c>
    </row>
    <row r="6" spans="2:29" ht="16.5" thickBot="1" x14ac:dyDescent="0.3">
      <c r="B6" s="64" t="s">
        <v>17</v>
      </c>
      <c r="C6" s="5">
        <f t="shared" ref="C6:C10" si="0">(D6+F6+E6)/3</f>
        <v>9.4749999999999996</v>
      </c>
      <c r="D6" s="5">
        <v>7.7</v>
      </c>
      <c r="E6" s="5">
        <v>9.8000000000000007</v>
      </c>
      <c r="F6" s="5">
        <v>10.925000000000001</v>
      </c>
      <c r="G6" s="6">
        <v>3</v>
      </c>
      <c r="H6" s="7">
        <f>C6*G6</f>
        <v>28.424999999999997</v>
      </c>
      <c r="I6" s="76"/>
      <c r="J6" s="77"/>
      <c r="K6" s="8"/>
      <c r="L6" s="8" t="str">
        <f>IF(C6&lt;11,"NA",IF(C6&lt;15,"ECA",IF(C6&lt;18,"A",IF(C6&lt;20,"A+"))))</f>
        <v>NA</v>
      </c>
      <c r="O6" s="8">
        <f>D6*G6</f>
        <v>23.1</v>
      </c>
      <c r="P6" s="8">
        <f t="shared" ref="P6:P10" si="1">E6*G6</f>
        <v>29.400000000000002</v>
      </c>
      <c r="Q6" s="8">
        <f t="shared" ref="Q6:Q10" si="2">G6*F6</f>
        <v>32.775000000000006</v>
      </c>
    </row>
    <row r="7" spans="2:29" ht="16.5" thickBot="1" x14ac:dyDescent="0.3">
      <c r="B7" s="64" t="s">
        <v>54</v>
      </c>
      <c r="C7" s="5">
        <f t="shared" si="0"/>
        <v>7.9249999999999998</v>
      </c>
      <c r="D7" s="5">
        <v>7.9</v>
      </c>
      <c r="E7" s="5">
        <v>7.25</v>
      </c>
      <c r="F7" s="5">
        <v>8.625</v>
      </c>
      <c r="G7" s="6">
        <v>1</v>
      </c>
      <c r="H7" s="7">
        <f t="shared" ref="H7:H10" si="3">C7*G7</f>
        <v>7.9249999999999998</v>
      </c>
      <c r="I7" s="76"/>
      <c r="J7" s="77"/>
      <c r="K7" s="8"/>
      <c r="L7" s="8" t="str">
        <f t="shared" ref="L7:L10" si="4">IF(C7&lt;11,"NA",IF(C7&lt;15,"ECA",IF(C7&lt;18,"A",IF(C7&lt;20,"A+"))))</f>
        <v>NA</v>
      </c>
      <c r="O7" s="8">
        <f t="shared" ref="O7:O10" si="5">D7*G7</f>
        <v>7.9</v>
      </c>
      <c r="P7" s="8">
        <f t="shared" si="1"/>
        <v>7.25</v>
      </c>
      <c r="Q7" s="8">
        <f t="shared" si="2"/>
        <v>8.625</v>
      </c>
    </row>
    <row r="8" spans="2:29" ht="16.5" thickBot="1" x14ac:dyDescent="0.3">
      <c r="B8" s="64" t="s">
        <v>62</v>
      </c>
      <c r="C8" s="5">
        <f>F8</f>
        <v>7</v>
      </c>
      <c r="D8" s="5"/>
      <c r="E8" s="5"/>
      <c r="F8" s="5">
        <v>7</v>
      </c>
      <c r="G8" s="6">
        <v>2</v>
      </c>
      <c r="H8" s="7">
        <f t="shared" si="3"/>
        <v>14</v>
      </c>
      <c r="I8" s="62"/>
      <c r="J8" s="63"/>
      <c r="K8" s="8"/>
      <c r="L8" s="8" t="str">
        <f t="shared" si="4"/>
        <v>NA</v>
      </c>
      <c r="O8" s="8">
        <f t="shared" si="5"/>
        <v>0</v>
      </c>
      <c r="P8" s="8">
        <f t="shared" si="1"/>
        <v>0</v>
      </c>
      <c r="Q8" s="8">
        <f t="shared" si="2"/>
        <v>14</v>
      </c>
    </row>
    <row r="9" spans="2:29" ht="16.5" thickBot="1" x14ac:dyDescent="0.3">
      <c r="B9" s="64" t="s">
        <v>50</v>
      </c>
      <c r="C9" s="5">
        <f t="shared" si="0"/>
        <v>7.2166666666666659</v>
      </c>
      <c r="D9" s="5">
        <v>6.55</v>
      </c>
      <c r="E9" s="5">
        <v>7.4</v>
      </c>
      <c r="F9" s="5">
        <v>7.7</v>
      </c>
      <c r="G9" s="6">
        <v>2</v>
      </c>
      <c r="H9" s="7">
        <f t="shared" si="3"/>
        <v>14.433333333333332</v>
      </c>
      <c r="I9" s="90"/>
      <c r="J9" s="91"/>
      <c r="K9" s="8"/>
      <c r="L9" s="8" t="str">
        <f t="shared" si="4"/>
        <v>NA</v>
      </c>
      <c r="O9" s="8">
        <f t="shared" si="5"/>
        <v>13.1</v>
      </c>
      <c r="P9" s="8">
        <f t="shared" si="1"/>
        <v>14.8</v>
      </c>
      <c r="Q9" s="8">
        <f t="shared" si="2"/>
        <v>15.4</v>
      </c>
    </row>
    <row r="10" spans="2:29" ht="16.5" thickBot="1" x14ac:dyDescent="0.3">
      <c r="B10" s="64" t="s">
        <v>51</v>
      </c>
      <c r="C10" s="5">
        <f t="shared" si="0"/>
        <v>9.56</v>
      </c>
      <c r="D10" s="5">
        <v>9.6999999999999993</v>
      </c>
      <c r="E10" s="5">
        <v>9.5299999999999994</v>
      </c>
      <c r="F10" s="5">
        <v>9.4499999999999993</v>
      </c>
      <c r="G10" s="6">
        <v>1</v>
      </c>
      <c r="H10" s="7">
        <f t="shared" si="3"/>
        <v>9.56</v>
      </c>
      <c r="I10" s="76"/>
      <c r="J10" s="77"/>
      <c r="K10" s="8"/>
      <c r="L10" s="8" t="str">
        <f t="shared" si="4"/>
        <v>NA</v>
      </c>
      <c r="O10" s="8">
        <f t="shared" si="5"/>
        <v>9.6999999999999993</v>
      </c>
      <c r="P10" s="8">
        <f t="shared" si="1"/>
        <v>9.5299999999999994</v>
      </c>
      <c r="Q10" s="8">
        <f t="shared" si="2"/>
        <v>9.4499999999999993</v>
      </c>
    </row>
    <row r="11" spans="2:29" ht="16.5" thickBot="1" x14ac:dyDescent="0.3">
      <c r="B11" s="78" t="s">
        <v>58</v>
      </c>
      <c r="C11" s="79"/>
      <c r="D11" s="79"/>
      <c r="E11" s="79"/>
      <c r="F11" s="79"/>
      <c r="G11" s="79"/>
      <c r="H11" s="79"/>
      <c r="I11" s="79"/>
      <c r="J11" s="79"/>
      <c r="K11" s="79"/>
      <c r="L11" s="80"/>
    </row>
    <row r="12" spans="2:29" ht="16.5" thickBot="1" x14ac:dyDescent="0.3">
      <c r="B12" s="9" t="s">
        <v>12</v>
      </c>
      <c r="C12" s="86">
        <f>(SUM(H5:H10)/SUM(G5:G10))</f>
        <v>7.8493939393939396</v>
      </c>
      <c r="D12" s="86"/>
      <c r="E12" s="86"/>
      <c r="F12" s="86"/>
      <c r="G12" s="87" t="s">
        <v>13</v>
      </c>
      <c r="H12" s="87"/>
      <c r="I12" s="69"/>
      <c r="J12" s="88"/>
      <c r="K12" s="88"/>
      <c r="L12" s="89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spans="2:29" ht="16.5" thickBot="1" x14ac:dyDescent="0.3">
      <c r="B13" s="81"/>
      <c r="C13" s="82"/>
      <c r="D13" s="82"/>
      <c r="E13" s="82"/>
      <c r="F13" s="82"/>
      <c r="G13" s="82"/>
      <c r="H13" s="82"/>
      <c r="I13" s="82"/>
      <c r="J13" s="82"/>
      <c r="K13" s="82"/>
      <c r="L13" s="83"/>
    </row>
    <row r="14" spans="2:29" ht="16.5" thickBot="1" x14ac:dyDescent="0.3">
      <c r="B14" s="64" t="s">
        <v>47</v>
      </c>
      <c r="C14" s="5">
        <f>(D14+F14+E14)/3</f>
        <v>14.966666666666667</v>
      </c>
      <c r="D14" s="5">
        <v>14.2</v>
      </c>
      <c r="E14" s="5">
        <v>15.7</v>
      </c>
      <c r="F14" s="5">
        <v>15</v>
      </c>
      <c r="G14" s="6">
        <v>2</v>
      </c>
      <c r="H14" s="7">
        <f t="shared" ref="H14:H17" si="6">C14*G14</f>
        <v>29.933333333333334</v>
      </c>
      <c r="I14" s="76"/>
      <c r="J14" s="77"/>
      <c r="K14" s="8"/>
      <c r="L14" s="8" t="str">
        <f>IF(C14&lt;11,"NA",IF(C14&lt;15,"ECA",IF(C14&lt;18,"A",IF(C14&lt;20,"A+"))))</f>
        <v>ECA</v>
      </c>
      <c r="O14" s="8">
        <f t="shared" ref="O14:O17" si="7">D14*G14</f>
        <v>28.4</v>
      </c>
      <c r="P14" s="8">
        <f>E14*G14</f>
        <v>31.4</v>
      </c>
      <c r="Q14" s="8">
        <f>G14*F14</f>
        <v>30</v>
      </c>
    </row>
    <row r="15" spans="2:29" ht="16.5" thickBot="1" x14ac:dyDescent="0.3">
      <c r="B15" s="64" t="s">
        <v>14</v>
      </c>
      <c r="C15" s="5">
        <f t="shared" ref="C15:C17" si="8">(D15+F15+E15)/3</f>
        <v>14.1</v>
      </c>
      <c r="D15" s="5">
        <v>12.875</v>
      </c>
      <c r="E15" s="5">
        <v>16.225000000000001</v>
      </c>
      <c r="F15" s="5">
        <v>13.2</v>
      </c>
      <c r="G15" s="6">
        <v>1.5</v>
      </c>
      <c r="H15" s="7">
        <f t="shared" si="6"/>
        <v>21.15</v>
      </c>
      <c r="I15" s="76"/>
      <c r="J15" s="77"/>
      <c r="K15" s="8"/>
      <c r="L15" s="8" t="str">
        <f t="shared" ref="L15:L17" si="9">IF(C15&lt;11,"NA",IF(C15&lt;15,"ECA",IF(C15&lt;18,"A",IF(C15&lt;20,"A+"))))</f>
        <v>ECA</v>
      </c>
      <c r="O15" s="8">
        <f t="shared" si="7"/>
        <v>19.3125</v>
      </c>
      <c r="P15" s="8">
        <f t="shared" ref="P15:P17" si="10">E15*G15</f>
        <v>24.337500000000002</v>
      </c>
      <c r="Q15" s="8">
        <f t="shared" ref="Q15:Q17" si="11">G15*F15</f>
        <v>19.799999999999997</v>
      </c>
    </row>
    <row r="16" spans="2:29" ht="16.5" thickBot="1" x14ac:dyDescent="0.3">
      <c r="B16" s="64" t="s">
        <v>15</v>
      </c>
      <c r="C16" s="5">
        <f t="shared" si="8"/>
        <v>11.583333333333334</v>
      </c>
      <c r="D16" s="5">
        <v>10.324999999999999</v>
      </c>
      <c r="E16" s="5">
        <v>12.3</v>
      </c>
      <c r="F16" s="5">
        <v>12.125</v>
      </c>
      <c r="G16" s="6">
        <v>1.5</v>
      </c>
      <c r="H16" s="7">
        <f t="shared" si="6"/>
        <v>17.375</v>
      </c>
      <c r="I16" s="76"/>
      <c r="J16" s="77"/>
      <c r="K16" s="8"/>
      <c r="L16" s="8" t="str">
        <f t="shared" si="9"/>
        <v>ECA</v>
      </c>
      <c r="O16" s="8">
        <f t="shared" si="7"/>
        <v>15.487499999999999</v>
      </c>
      <c r="P16" s="8">
        <f t="shared" si="10"/>
        <v>18.450000000000003</v>
      </c>
      <c r="Q16" s="8">
        <f t="shared" si="11"/>
        <v>18.1875</v>
      </c>
    </row>
    <row r="17" spans="2:17" ht="16.5" thickBot="1" x14ac:dyDescent="0.3">
      <c r="B17" s="64" t="s">
        <v>52</v>
      </c>
      <c r="C17" s="5">
        <f t="shared" si="8"/>
        <v>8.625</v>
      </c>
      <c r="D17" s="5">
        <v>8</v>
      </c>
      <c r="E17" s="5">
        <v>8.5</v>
      </c>
      <c r="F17" s="5">
        <v>9.375</v>
      </c>
      <c r="G17" s="6">
        <v>1</v>
      </c>
      <c r="H17" s="7">
        <f t="shared" si="6"/>
        <v>8.625</v>
      </c>
      <c r="I17" s="76"/>
      <c r="J17" s="77"/>
      <c r="K17" s="8"/>
      <c r="L17" s="8" t="str">
        <f t="shared" si="9"/>
        <v>NA</v>
      </c>
      <c r="O17" s="8">
        <f t="shared" si="7"/>
        <v>8</v>
      </c>
      <c r="P17" s="8">
        <f t="shared" si="10"/>
        <v>8.5</v>
      </c>
      <c r="Q17" s="8">
        <f t="shared" si="11"/>
        <v>9.375</v>
      </c>
    </row>
    <row r="18" spans="2:17" ht="16.149999999999999" customHeight="1" thickBot="1" x14ac:dyDescent="0.3">
      <c r="B18" s="78" t="s">
        <v>59</v>
      </c>
      <c r="C18" s="79"/>
      <c r="D18" s="79"/>
      <c r="E18" s="79"/>
      <c r="F18" s="79"/>
      <c r="G18" s="79"/>
      <c r="H18" s="79"/>
      <c r="I18" s="79"/>
      <c r="J18" s="79"/>
      <c r="K18" s="79"/>
      <c r="L18" s="80"/>
    </row>
    <row r="19" spans="2:17" ht="16.149999999999999" customHeight="1" thickBot="1" x14ac:dyDescent="0.3">
      <c r="B19" s="9" t="s">
        <v>16</v>
      </c>
      <c r="C19" s="86">
        <f>(SUM(H14:H17)/SUM(G14:G17))</f>
        <v>12.847222222222221</v>
      </c>
      <c r="D19" s="86"/>
      <c r="E19" s="86"/>
      <c r="F19" s="86"/>
      <c r="G19" s="87" t="s">
        <v>13</v>
      </c>
      <c r="H19" s="87"/>
      <c r="I19" s="69"/>
      <c r="J19" s="88"/>
      <c r="K19" s="88"/>
      <c r="L19" s="89"/>
    </row>
    <row r="20" spans="2:17" ht="16.5" thickBot="1" x14ac:dyDescent="0.3">
      <c r="B20" s="92"/>
      <c r="C20" s="93"/>
      <c r="D20" s="93"/>
      <c r="E20" s="93"/>
      <c r="F20" s="93"/>
      <c r="G20" s="93"/>
      <c r="H20" s="93"/>
      <c r="I20" s="93"/>
      <c r="J20" s="93"/>
      <c r="K20" s="93"/>
      <c r="L20" s="94"/>
    </row>
    <row r="21" spans="2:17" ht="16.5" thickBot="1" x14ac:dyDescent="0.3">
      <c r="B21" s="64" t="s">
        <v>9</v>
      </c>
      <c r="C21" s="5">
        <f>(D21+F21+E21)/3</f>
        <v>10.183333333333332</v>
      </c>
      <c r="D21" s="5">
        <v>10.199999999999999</v>
      </c>
      <c r="E21" s="5">
        <v>10.649999999999999</v>
      </c>
      <c r="F21" s="8">
        <v>9.6999999999999993</v>
      </c>
      <c r="G21" s="6">
        <v>2</v>
      </c>
      <c r="H21" s="7">
        <f t="shared" ref="H21:H24" si="12">C21*G21</f>
        <v>20.366666666666664</v>
      </c>
      <c r="I21" s="76"/>
      <c r="J21" s="77"/>
      <c r="K21" s="8"/>
      <c r="L21" s="8" t="str">
        <f t="shared" ref="L21:L24" si="13">IF(C21&lt;11,"NA",IF(C21&lt;15,"ECA",IF(C21&lt;18,"A",IF(C21&lt;20,"A+"))))</f>
        <v>NA</v>
      </c>
      <c r="O21" s="8">
        <f t="shared" ref="O21:O24" si="14">D21*G21</f>
        <v>20.399999999999999</v>
      </c>
      <c r="P21" s="8">
        <f>E21*G21</f>
        <v>21.299999999999997</v>
      </c>
      <c r="Q21" s="8">
        <f>G21*F21</f>
        <v>19.399999999999999</v>
      </c>
    </row>
    <row r="22" spans="2:17" ht="16.5" thickBot="1" x14ac:dyDescent="0.3">
      <c r="B22" s="64" t="s">
        <v>10</v>
      </c>
      <c r="C22" s="5">
        <f t="shared" ref="C22:C24" si="15">(D22+F22+E22)/3</f>
        <v>10.200000000000001</v>
      </c>
      <c r="D22" s="5">
        <v>10.55</v>
      </c>
      <c r="E22" s="5">
        <v>9.35</v>
      </c>
      <c r="F22" s="8">
        <v>10.7</v>
      </c>
      <c r="G22" s="6">
        <v>4</v>
      </c>
      <c r="H22" s="7">
        <f t="shared" si="12"/>
        <v>40.800000000000004</v>
      </c>
      <c r="I22" s="76"/>
      <c r="J22" s="77"/>
      <c r="K22" s="8"/>
      <c r="L22" s="8" t="str">
        <f t="shared" si="13"/>
        <v>NA</v>
      </c>
      <c r="O22" s="8">
        <f t="shared" si="14"/>
        <v>42.2</v>
      </c>
      <c r="P22" s="8">
        <f t="shared" ref="P22:P24" si="16">E22*G22</f>
        <v>37.4</v>
      </c>
      <c r="Q22" s="8">
        <f t="shared" ref="Q22:Q24" si="17">G22*F22</f>
        <v>42.8</v>
      </c>
    </row>
    <row r="23" spans="2:17" ht="16.5" thickBot="1" x14ac:dyDescent="0.3">
      <c r="B23" s="64" t="s">
        <v>56</v>
      </c>
      <c r="C23" s="5">
        <f>F23</f>
        <v>8</v>
      </c>
      <c r="D23" s="5"/>
      <c r="E23" s="5"/>
      <c r="F23" s="8">
        <v>8</v>
      </c>
      <c r="G23" s="6">
        <v>2</v>
      </c>
      <c r="H23" s="7">
        <f t="shared" si="12"/>
        <v>16</v>
      </c>
      <c r="I23" s="76"/>
      <c r="J23" s="77"/>
      <c r="K23" s="8"/>
      <c r="L23" s="8" t="str">
        <f t="shared" si="13"/>
        <v>NA</v>
      </c>
      <c r="O23" s="8">
        <f t="shared" si="14"/>
        <v>0</v>
      </c>
      <c r="P23" s="8">
        <f t="shared" si="16"/>
        <v>0</v>
      </c>
      <c r="Q23" s="8">
        <f t="shared" si="17"/>
        <v>16</v>
      </c>
    </row>
    <row r="24" spans="2:17" ht="16.5" thickBot="1" x14ac:dyDescent="0.3">
      <c r="B24" s="64" t="s">
        <v>11</v>
      </c>
      <c r="C24" s="5">
        <f t="shared" si="15"/>
        <v>10.593333333333334</v>
      </c>
      <c r="D24" s="5">
        <v>7.4</v>
      </c>
      <c r="E24" s="5">
        <v>10.63</v>
      </c>
      <c r="F24" s="8">
        <v>13.75</v>
      </c>
      <c r="G24" s="6">
        <v>2</v>
      </c>
      <c r="H24" s="7">
        <f t="shared" si="12"/>
        <v>21.186666666666667</v>
      </c>
      <c r="I24" s="76"/>
      <c r="J24" s="77"/>
      <c r="K24" s="8"/>
      <c r="L24" s="8" t="str">
        <f t="shared" si="13"/>
        <v>NA</v>
      </c>
      <c r="O24" s="8">
        <f t="shared" si="14"/>
        <v>14.8</v>
      </c>
      <c r="P24" s="8">
        <f t="shared" si="16"/>
        <v>21.26</v>
      </c>
      <c r="Q24" s="8">
        <f t="shared" si="17"/>
        <v>27.5</v>
      </c>
    </row>
    <row r="25" spans="2:17" ht="16.149999999999999" customHeight="1" thickBot="1" x14ac:dyDescent="0.3">
      <c r="B25" s="78" t="s">
        <v>60</v>
      </c>
      <c r="C25" s="79"/>
      <c r="D25" s="79"/>
      <c r="E25" s="79"/>
      <c r="F25" s="79"/>
      <c r="G25" s="79"/>
      <c r="H25" s="79"/>
      <c r="I25" s="79"/>
      <c r="J25" s="79"/>
      <c r="K25" s="79"/>
      <c r="L25" s="80"/>
    </row>
    <row r="26" spans="2:17" ht="16.149999999999999" customHeight="1" thickBot="1" x14ac:dyDescent="0.3">
      <c r="B26" s="9" t="s">
        <v>12</v>
      </c>
      <c r="C26" s="86">
        <f>(SUM(H21:H24)/SUM(G21:G24))</f>
        <v>9.8353333333333346</v>
      </c>
      <c r="D26" s="86"/>
      <c r="E26" s="86"/>
      <c r="F26" s="86"/>
      <c r="G26" s="87" t="s">
        <v>13</v>
      </c>
      <c r="H26" s="87"/>
      <c r="I26" s="69"/>
      <c r="J26" s="88"/>
      <c r="K26" s="88"/>
      <c r="L26" s="89"/>
    </row>
    <row r="27" spans="2:17" ht="16.5" thickBot="1" x14ac:dyDescent="0.3">
      <c r="B27" s="81"/>
      <c r="C27" s="82"/>
      <c r="D27" s="82"/>
      <c r="E27" s="82"/>
      <c r="F27" s="82"/>
      <c r="G27" s="82"/>
      <c r="H27" s="82"/>
      <c r="I27" s="100"/>
      <c r="J27" s="100"/>
      <c r="K27" s="100"/>
      <c r="L27" s="83"/>
    </row>
    <row r="28" spans="2:17" ht="16.5" thickBot="1" x14ac:dyDescent="0.3">
      <c r="B28" s="64" t="s">
        <v>53</v>
      </c>
      <c r="C28" s="5">
        <f>(D28+F28+E28)/3</f>
        <v>14.5</v>
      </c>
      <c r="D28" s="8">
        <v>15.5</v>
      </c>
      <c r="E28" s="8">
        <v>14</v>
      </c>
      <c r="F28" s="8">
        <v>14</v>
      </c>
      <c r="G28" s="6">
        <v>1</v>
      </c>
      <c r="H28" s="7">
        <f t="shared" ref="H28:H31" si="18">C28*G28</f>
        <v>14.5</v>
      </c>
      <c r="I28" s="76"/>
      <c r="J28" s="77"/>
      <c r="K28" s="8"/>
      <c r="L28" s="8" t="str">
        <f t="shared" ref="L28:L31" si="19">IF(C28&lt;11,"NA",IF(C28&lt;15,"ECA",IF(C28&lt;18,"A",IF(C28&lt;20,"A+"))))</f>
        <v>ECA</v>
      </c>
      <c r="O28" s="8">
        <f t="shared" ref="O28:O31" si="20">D28*G28</f>
        <v>15.5</v>
      </c>
      <c r="P28" s="8">
        <f>E28*G28</f>
        <v>14</v>
      </c>
      <c r="Q28" s="8">
        <f>G28*F28</f>
        <v>14</v>
      </c>
    </row>
    <row r="29" spans="2:17" ht="16.5" thickBot="1" x14ac:dyDescent="0.3">
      <c r="B29" s="64" t="s">
        <v>48</v>
      </c>
      <c r="C29" s="5">
        <f t="shared" ref="C29:C31" si="21">(D29+F29+E29)/3</f>
        <v>12.783333333333333</v>
      </c>
      <c r="D29" s="8">
        <v>12.7</v>
      </c>
      <c r="E29" s="8">
        <v>15.15</v>
      </c>
      <c r="F29" s="8">
        <v>10.5</v>
      </c>
      <c r="G29" s="6">
        <v>2</v>
      </c>
      <c r="H29" s="7">
        <f t="shared" si="18"/>
        <v>25.566666666666666</v>
      </c>
      <c r="I29" s="76"/>
      <c r="J29" s="77"/>
      <c r="K29" s="8"/>
      <c r="L29" s="8" t="str">
        <f t="shared" si="19"/>
        <v>ECA</v>
      </c>
      <c r="O29" s="8">
        <f t="shared" si="20"/>
        <v>25.4</v>
      </c>
      <c r="P29" s="8">
        <f t="shared" ref="P29:P31" si="22">E29*G29</f>
        <v>30.3</v>
      </c>
      <c r="Q29" s="8">
        <f t="shared" ref="Q29:Q31" si="23">G29*F29</f>
        <v>21</v>
      </c>
    </row>
    <row r="30" spans="2:17" ht="16.5" thickBot="1" x14ac:dyDescent="0.3">
      <c r="B30" s="64" t="s">
        <v>49</v>
      </c>
      <c r="C30" s="5">
        <f t="shared" si="21"/>
        <v>12.733333333333334</v>
      </c>
      <c r="D30" s="8">
        <v>12.5</v>
      </c>
      <c r="E30" s="8">
        <v>11.7</v>
      </c>
      <c r="F30" s="8">
        <v>14</v>
      </c>
      <c r="G30" s="6">
        <v>1</v>
      </c>
      <c r="H30" s="7">
        <f t="shared" si="18"/>
        <v>12.733333333333334</v>
      </c>
      <c r="I30" s="76"/>
      <c r="J30" s="77"/>
      <c r="K30" s="8"/>
      <c r="L30" s="8" t="str">
        <f t="shared" si="19"/>
        <v>ECA</v>
      </c>
      <c r="O30" s="8">
        <f t="shared" si="20"/>
        <v>12.5</v>
      </c>
      <c r="P30" s="8">
        <f t="shared" si="22"/>
        <v>11.7</v>
      </c>
      <c r="Q30" s="8">
        <f t="shared" si="23"/>
        <v>14</v>
      </c>
    </row>
    <row r="31" spans="2:17" ht="16.5" thickBot="1" x14ac:dyDescent="0.3">
      <c r="B31" s="64" t="s">
        <v>18</v>
      </c>
      <c r="C31" s="5">
        <f t="shared" si="21"/>
        <v>15.666666666666666</v>
      </c>
      <c r="D31" s="8">
        <v>16</v>
      </c>
      <c r="E31" s="8">
        <v>16</v>
      </c>
      <c r="F31" s="8">
        <v>15</v>
      </c>
      <c r="G31" s="6">
        <v>1</v>
      </c>
      <c r="H31" s="7">
        <f t="shared" si="18"/>
        <v>15.666666666666666</v>
      </c>
      <c r="I31" s="76"/>
      <c r="J31" s="77"/>
      <c r="K31" s="8"/>
      <c r="L31" s="8" t="str">
        <f t="shared" si="19"/>
        <v>A</v>
      </c>
      <c r="O31" s="8">
        <f t="shared" si="20"/>
        <v>16</v>
      </c>
      <c r="P31" s="8">
        <f t="shared" si="22"/>
        <v>16</v>
      </c>
      <c r="Q31" s="8">
        <f t="shared" si="23"/>
        <v>15</v>
      </c>
    </row>
    <row r="32" spans="2:17" ht="16.149999999999999" customHeight="1" thickBot="1" x14ac:dyDescent="0.3">
      <c r="B32" s="64" t="s">
        <v>57</v>
      </c>
      <c r="C32" s="65"/>
      <c r="D32" s="65"/>
      <c r="E32" s="65"/>
      <c r="F32" s="65"/>
      <c r="G32" s="65"/>
      <c r="H32" s="65"/>
      <c r="I32" s="65"/>
      <c r="J32" s="65"/>
      <c r="K32" s="65"/>
      <c r="L32" s="66"/>
      <c r="O32" s="1">
        <f>SUM(O6:O31)</f>
        <v>271.79999999999995</v>
      </c>
      <c r="P32" s="1">
        <f>SUM(P6:P31)</f>
        <v>295.6275</v>
      </c>
      <c r="Q32" s="1">
        <f>SUM(Q5:Q31)</f>
        <v>339.3125</v>
      </c>
    </row>
    <row r="33" spans="2:17" ht="16.149999999999999" customHeight="1" thickBot="1" x14ac:dyDescent="0.3">
      <c r="B33" s="9" t="s">
        <v>16</v>
      </c>
      <c r="C33" s="86">
        <f>(SUM(H28:H31)/SUM(G28:G31))</f>
        <v>13.693333333333333</v>
      </c>
      <c r="D33" s="86"/>
      <c r="E33" s="86"/>
      <c r="F33" s="86"/>
      <c r="G33" s="87" t="s">
        <v>13</v>
      </c>
      <c r="H33" s="87"/>
      <c r="I33" s="69"/>
      <c r="J33" s="88"/>
      <c r="K33" s="88"/>
      <c r="L33" s="89"/>
      <c r="O33" s="1">
        <v>26</v>
      </c>
      <c r="P33" s="1">
        <v>26</v>
      </c>
      <c r="Q33" s="1">
        <v>32</v>
      </c>
    </row>
    <row r="34" spans="2:17" ht="16.5" thickBot="1" x14ac:dyDescent="0.3">
      <c r="B34" s="81"/>
      <c r="C34" s="82"/>
      <c r="D34" s="82"/>
      <c r="E34" s="82"/>
      <c r="F34" s="82"/>
      <c r="G34" s="82"/>
      <c r="H34" s="82"/>
      <c r="I34" s="82"/>
      <c r="J34" s="82"/>
      <c r="K34" s="82"/>
      <c r="L34" s="83"/>
      <c r="O34" s="1">
        <f>O32/O33</f>
        <v>10.453846153846152</v>
      </c>
      <c r="P34" s="1">
        <f>P32/P33</f>
        <v>11.370288461538461</v>
      </c>
      <c r="Q34" s="1">
        <f>Q32/Q33</f>
        <v>10.603515625</v>
      </c>
    </row>
    <row r="35" spans="2:17" s="17" customFormat="1" ht="48" thickBot="1" x14ac:dyDescent="0.3">
      <c r="B35" s="64" t="s">
        <v>19</v>
      </c>
      <c r="C35" s="70" t="s">
        <v>20</v>
      </c>
      <c r="D35" s="69"/>
      <c r="E35" s="69"/>
      <c r="F35" s="71" t="s">
        <v>21</v>
      </c>
      <c r="G35" s="88"/>
      <c r="H35" s="88"/>
      <c r="I35" s="71" t="s">
        <v>22</v>
      </c>
      <c r="J35" s="88"/>
      <c r="K35" s="88"/>
      <c r="L35" s="72"/>
    </row>
    <row r="36" spans="2:17" x14ac:dyDescent="0.25">
      <c r="B36" s="18"/>
      <c r="C36" s="19" t="s">
        <v>1</v>
      </c>
      <c r="D36" s="19" t="s">
        <v>63</v>
      </c>
      <c r="E36" s="19" t="s">
        <v>65</v>
      </c>
      <c r="F36" s="20"/>
      <c r="G36" s="20"/>
      <c r="H36" s="21"/>
      <c r="I36" s="101"/>
      <c r="J36" s="100"/>
      <c r="K36" s="100"/>
      <c r="L36" s="102"/>
    </row>
    <row r="37" spans="2:17" x14ac:dyDescent="0.25">
      <c r="B37" s="22" t="s">
        <v>23</v>
      </c>
      <c r="C37" s="23">
        <f>O34</f>
        <v>10.453846153846152</v>
      </c>
      <c r="D37" s="23">
        <f>P34</f>
        <v>11.370288461538461</v>
      </c>
      <c r="E37" s="23">
        <f>Q34</f>
        <v>10.603515625</v>
      </c>
      <c r="F37" s="32" t="s">
        <v>66</v>
      </c>
      <c r="G37" s="25">
        <f>(H5+H6+H7+H8+H9+H10+H14+H15+H16+H17+H21+H22+H23+H24+H28+H29+H30+H31)/32</f>
        <v>10.320208333333335</v>
      </c>
      <c r="H37" s="24" t="s">
        <v>25</v>
      </c>
      <c r="I37" s="103" t="s">
        <v>26</v>
      </c>
      <c r="J37" s="104"/>
      <c r="K37" s="26"/>
      <c r="L37" s="27" t="s">
        <v>25</v>
      </c>
    </row>
    <row r="38" spans="2:17" ht="16.149999999999999" customHeight="1" thickBot="1" x14ac:dyDescent="0.3">
      <c r="B38" s="95"/>
      <c r="C38" s="96"/>
      <c r="D38" s="96"/>
      <c r="E38" s="96"/>
      <c r="F38" s="96"/>
      <c r="G38" s="96"/>
      <c r="H38" s="96"/>
      <c r="I38" s="97"/>
      <c r="J38" s="98"/>
      <c r="K38" s="98"/>
      <c r="L38" s="99"/>
    </row>
    <row r="39" spans="2:17" ht="16.149999999999999" customHeight="1" thickBot="1" x14ac:dyDescent="0.3">
      <c r="B39" s="105" t="s">
        <v>67</v>
      </c>
      <c r="C39" s="106"/>
      <c r="D39" s="106"/>
      <c r="E39" s="106"/>
      <c r="F39" s="106"/>
      <c r="G39" s="106"/>
      <c r="H39" s="106"/>
      <c r="I39" s="106"/>
      <c r="J39" s="106"/>
      <c r="K39" s="106"/>
      <c r="L39" s="107"/>
    </row>
    <row r="40" spans="2:17" ht="16.149999999999999" customHeight="1" thickBot="1" x14ac:dyDescent="0.3">
      <c r="B40" s="108" t="s">
        <v>28</v>
      </c>
      <c r="C40" s="88"/>
      <c r="D40" s="88"/>
      <c r="E40" s="88"/>
      <c r="F40" s="88"/>
      <c r="G40" s="88"/>
      <c r="H40" s="88"/>
      <c r="I40" s="88"/>
      <c r="J40" s="88"/>
      <c r="K40" s="88"/>
      <c r="L40" s="89"/>
    </row>
    <row r="41" spans="2:17" ht="16.149999999999999" customHeight="1" thickBot="1" x14ac:dyDescent="0.3">
      <c r="B41" s="64" t="s">
        <v>29</v>
      </c>
      <c r="C41" s="81" t="s">
        <v>30</v>
      </c>
      <c r="D41" s="82"/>
      <c r="E41" s="82"/>
      <c r="F41" s="83"/>
      <c r="G41" s="109" t="s">
        <v>31</v>
      </c>
      <c r="H41" s="110"/>
      <c r="I41" s="110"/>
      <c r="J41" s="110"/>
      <c r="K41" s="110"/>
      <c r="L41" s="111"/>
    </row>
    <row r="42" spans="2:17" ht="16.149999999999999" customHeight="1" thickBot="1" x14ac:dyDescent="0.3">
      <c r="B42" s="42" t="s">
        <v>32</v>
      </c>
      <c r="C42" s="110" t="str">
        <f>IF(G37&lt;11,"NA",IF(G37&lt;15,"ECA",IF(G37&lt;18,"A",IF(G37&lt;20,"A+"))))</f>
        <v>NA</v>
      </c>
      <c r="D42" s="110" t="e">
        <f>IF(#REF!&lt;11,"NA",IF(#REF!&lt;15,"ECA",IF(#REF!&lt;18,"A",IF(#REF!&lt;20,"A+"))))</f>
        <v>#REF!</v>
      </c>
      <c r="E42" s="110"/>
      <c r="F42" s="111" t="e">
        <f>IF(#REF!&lt;11,"NA",IF(#REF!&lt;15,"ECA",IF(#REF!&lt;18,"A",IF(#REF!&lt;20,"A+"))))</f>
        <v>#REF!</v>
      </c>
      <c r="G42" s="112"/>
      <c r="H42" s="113"/>
      <c r="I42" s="113"/>
      <c r="J42" s="113"/>
      <c r="K42" s="113"/>
      <c r="L42" s="114"/>
    </row>
    <row r="43" spans="2:17" ht="16.149999999999999" customHeight="1" thickBot="1" x14ac:dyDescent="0.3">
      <c r="B43" s="43" t="s">
        <v>33</v>
      </c>
      <c r="C43" s="115" t="e">
        <f>IF(#REF!&lt;11,"NA",IF(#REF!&lt;15,"ECA",IF(#REF!&lt;18,"A",IF(#REF!&lt;20,"A+"))))</f>
        <v>#REF!</v>
      </c>
      <c r="D43" s="116" t="e">
        <f>IF(#REF!&lt;11,"NA",IF(#REF!&lt;15,"ECA",IF(#REF!&lt;18,"A",IF(#REF!&lt;20,"A+"))))</f>
        <v>#REF!</v>
      </c>
      <c r="E43" s="116"/>
      <c r="F43" s="117" t="e">
        <f>IF(#REF!&lt;11,"NA",IF(#REF!&lt;15,"ECA",IF(#REF!&lt;18,"A",IF(#REF!&lt;20,"A+"))))</f>
        <v>#REF!</v>
      </c>
      <c r="G43" s="108" t="s">
        <v>34</v>
      </c>
      <c r="H43" s="88"/>
      <c r="I43" s="88"/>
      <c r="J43" s="89"/>
      <c r="K43" s="109" t="s">
        <v>35</v>
      </c>
      <c r="L43" s="111"/>
    </row>
    <row r="44" spans="2:17" ht="16.149999999999999" customHeight="1" thickBot="1" x14ac:dyDescent="0.3">
      <c r="B44" s="29" t="s">
        <v>36</v>
      </c>
      <c r="C44" s="112" t="e">
        <f>IF(#REF!&lt;11,"NA",IF(#REF!&lt;15,"ECA",IF(#REF!&lt;18,"A",IF(#REF!&lt;20,"A+"))))</f>
        <v>#REF!</v>
      </c>
      <c r="D44" s="113" t="e">
        <f>IF(#REF!&lt;11,"NA",IF(#REF!&lt;15,"ECA",IF(#REF!&lt;18,"A",IF(#REF!&lt;20,"A+"))))</f>
        <v>#REF!</v>
      </c>
      <c r="E44" s="113"/>
      <c r="F44" s="114" t="e">
        <f>IF(#REF!&lt;11,"NA",IF(#REF!&lt;15,"ECA",IF(#REF!&lt;18,"A",IF(#REF!&lt;20,"A+"))))</f>
        <v>#REF!</v>
      </c>
      <c r="G44" s="108" t="s">
        <v>37</v>
      </c>
      <c r="H44" s="88"/>
      <c r="I44" s="88"/>
      <c r="J44" s="89"/>
      <c r="K44" s="118" t="s">
        <v>38</v>
      </c>
      <c r="L44" s="119"/>
    </row>
    <row r="45" spans="2:17" ht="16.149999999999999" customHeight="1" thickBot="1" x14ac:dyDescent="0.3">
      <c r="B45" s="70" t="s">
        <v>39</v>
      </c>
      <c r="C45" s="109" t="s">
        <v>40</v>
      </c>
      <c r="D45" s="110"/>
      <c r="E45" s="110"/>
      <c r="F45" s="111"/>
      <c r="G45" s="108" t="s">
        <v>41</v>
      </c>
      <c r="H45" s="88"/>
      <c r="I45" s="88"/>
      <c r="J45" s="89"/>
      <c r="K45" s="118"/>
      <c r="L45" s="119"/>
    </row>
    <row r="46" spans="2:17" ht="16.149999999999999" customHeight="1" thickBot="1" x14ac:dyDescent="0.3">
      <c r="B46" s="70" t="s">
        <v>42</v>
      </c>
      <c r="C46" s="112"/>
      <c r="D46" s="113"/>
      <c r="E46" s="113"/>
      <c r="F46" s="114"/>
      <c r="G46" s="108" t="s">
        <v>43</v>
      </c>
      <c r="H46" s="88"/>
      <c r="I46" s="88"/>
      <c r="J46" s="89"/>
      <c r="K46" s="120" t="s">
        <v>44</v>
      </c>
      <c r="L46" s="121"/>
    </row>
    <row r="47" spans="2:17" ht="31.5" x14ac:dyDescent="0.25">
      <c r="B47" s="64" t="s">
        <v>45</v>
      </c>
      <c r="C47" s="101"/>
      <c r="D47" s="100"/>
      <c r="E47" s="100"/>
      <c r="F47" s="102"/>
      <c r="G47" s="101"/>
      <c r="H47" s="100"/>
      <c r="I47" s="100"/>
      <c r="J47" s="102"/>
      <c r="K47" s="120" t="s">
        <v>46</v>
      </c>
      <c r="L47" s="121"/>
    </row>
    <row r="48" spans="2:17" x14ac:dyDescent="0.25">
      <c r="B48" s="28"/>
      <c r="C48" s="122"/>
      <c r="D48" s="123"/>
      <c r="E48" s="123"/>
      <c r="F48" s="124"/>
      <c r="G48" s="122"/>
      <c r="H48" s="123"/>
      <c r="I48" s="123"/>
      <c r="J48" s="124"/>
      <c r="K48" s="128"/>
      <c r="L48" s="129"/>
    </row>
    <row r="49" spans="2:12" x14ac:dyDescent="0.25">
      <c r="B49" s="28"/>
      <c r="C49" s="122"/>
      <c r="D49" s="123"/>
      <c r="E49" s="123"/>
      <c r="F49" s="124"/>
      <c r="G49" s="122"/>
      <c r="H49" s="123"/>
      <c r="I49" s="123"/>
      <c r="J49" s="124"/>
      <c r="K49" s="128"/>
      <c r="L49" s="129"/>
    </row>
    <row r="50" spans="2:12" ht="16.5" thickBot="1" x14ac:dyDescent="0.3">
      <c r="B50" s="29"/>
      <c r="C50" s="125"/>
      <c r="D50" s="126"/>
      <c r="E50" s="126"/>
      <c r="F50" s="127"/>
      <c r="G50" s="125"/>
      <c r="H50" s="126"/>
      <c r="I50" s="126"/>
      <c r="J50" s="127"/>
      <c r="K50" s="97"/>
      <c r="L50" s="99"/>
    </row>
  </sheetData>
  <mergeCells count="62">
    <mergeCell ref="C45:F46"/>
    <mergeCell ref="G45:J45"/>
    <mergeCell ref="K45:L45"/>
    <mergeCell ref="G46:J46"/>
    <mergeCell ref="K46:L46"/>
    <mergeCell ref="C47:F50"/>
    <mergeCell ref="G47:J50"/>
    <mergeCell ref="K47:L47"/>
    <mergeCell ref="K48:L48"/>
    <mergeCell ref="K49:L49"/>
    <mergeCell ref="K50:L50"/>
    <mergeCell ref="B38:H38"/>
    <mergeCell ref="I38:L38"/>
    <mergeCell ref="B39:L39"/>
    <mergeCell ref="B40:L40"/>
    <mergeCell ref="C41:F41"/>
    <mergeCell ref="G41:L42"/>
    <mergeCell ref="C42:F44"/>
    <mergeCell ref="G43:J43"/>
    <mergeCell ref="G33:H33"/>
    <mergeCell ref="J33:L33"/>
    <mergeCell ref="B34:L34"/>
    <mergeCell ref="I36:L36"/>
    <mergeCell ref="I37:J37"/>
    <mergeCell ref="I4:J4"/>
    <mergeCell ref="I6:J6"/>
    <mergeCell ref="I7:J7"/>
    <mergeCell ref="I9:J9"/>
    <mergeCell ref="B18:L18"/>
    <mergeCell ref="I10:J10"/>
    <mergeCell ref="B11:L11"/>
    <mergeCell ref="C12:F12"/>
    <mergeCell ref="G12:H12"/>
    <mergeCell ref="J12:L12"/>
    <mergeCell ref="B13:L13"/>
    <mergeCell ref="I14:J14"/>
    <mergeCell ref="I15:J15"/>
    <mergeCell ref="I16:J16"/>
    <mergeCell ref="I17:J17"/>
    <mergeCell ref="J19:L19"/>
    <mergeCell ref="B20:L20"/>
    <mergeCell ref="I21:J21"/>
    <mergeCell ref="I22:J22"/>
    <mergeCell ref="I23:J23"/>
    <mergeCell ref="C19:F19"/>
    <mergeCell ref="G19:H19"/>
    <mergeCell ref="K43:L43"/>
    <mergeCell ref="G44:J44"/>
    <mergeCell ref="K44:L44"/>
    <mergeCell ref="I24:J24"/>
    <mergeCell ref="B25:L25"/>
    <mergeCell ref="C26:F26"/>
    <mergeCell ref="G26:H26"/>
    <mergeCell ref="J26:L26"/>
    <mergeCell ref="B27:L27"/>
    <mergeCell ref="I28:J28"/>
    <mergeCell ref="I29:J29"/>
    <mergeCell ref="I30:J30"/>
    <mergeCell ref="G35:H35"/>
    <mergeCell ref="J35:K35"/>
    <mergeCell ref="I31:J31"/>
    <mergeCell ref="C33:F3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C50"/>
  <sheetViews>
    <sheetView topLeftCell="A7" zoomScale="60" zoomScaleNormal="60" workbookViewId="0">
      <selection activeCell="P42" sqref="P42"/>
    </sheetView>
  </sheetViews>
  <sheetFormatPr baseColWidth="10" defaultColWidth="11.42578125" defaultRowHeight="15.75" x14ac:dyDescent="0.25"/>
  <cols>
    <col min="1" max="1" width="11.42578125" style="1"/>
    <col min="2" max="2" width="44.140625" style="1" customWidth="1"/>
    <col min="3" max="3" width="12.140625" style="1" customWidth="1"/>
    <col min="4" max="5" width="11.42578125" style="1"/>
    <col min="6" max="6" width="15.5703125" style="1" customWidth="1"/>
    <col min="7" max="7" width="11.42578125" style="1"/>
    <col min="8" max="8" width="12.42578125" style="1" customWidth="1"/>
    <col min="9" max="11" width="11.42578125" style="1"/>
    <col min="12" max="12" width="18.28515625" style="1" bestFit="1" customWidth="1"/>
    <col min="13" max="16384" width="11.42578125" style="1"/>
  </cols>
  <sheetData>
    <row r="3" spans="2:29" ht="16.5" thickBot="1" x14ac:dyDescent="0.3"/>
    <row r="4" spans="2:29" ht="30.75" customHeight="1" thickBot="1" x14ac:dyDescent="0.3">
      <c r="B4" s="59" t="s">
        <v>0</v>
      </c>
      <c r="C4" s="68" t="s">
        <v>68</v>
      </c>
      <c r="D4" s="68" t="s">
        <v>1</v>
      </c>
      <c r="E4" s="68" t="s">
        <v>63</v>
      </c>
      <c r="F4" s="68" t="s">
        <v>64</v>
      </c>
      <c r="G4" s="68" t="s">
        <v>4</v>
      </c>
      <c r="H4" s="67" t="s">
        <v>5</v>
      </c>
      <c r="I4" s="84" t="s">
        <v>6</v>
      </c>
      <c r="J4" s="85"/>
      <c r="K4" s="68" t="s">
        <v>7</v>
      </c>
      <c r="L4" s="68" t="s">
        <v>8</v>
      </c>
    </row>
    <row r="5" spans="2:29" ht="18" customHeight="1" thickBot="1" x14ac:dyDescent="0.3">
      <c r="B5" s="60" t="s">
        <v>61</v>
      </c>
      <c r="C5" s="5">
        <f>F5</f>
        <v>11.5</v>
      </c>
      <c r="D5" s="58"/>
      <c r="E5" s="58"/>
      <c r="F5" s="5">
        <v>11.5</v>
      </c>
      <c r="G5" s="61">
        <v>2</v>
      </c>
      <c r="H5" s="7">
        <f>C5*G5</f>
        <v>23</v>
      </c>
      <c r="I5" s="67"/>
      <c r="J5" s="68"/>
      <c r="K5" s="58"/>
      <c r="L5" s="8" t="str">
        <f>IF(C5&lt;11,"NA",IF(C5&lt;15,"ECA",IF(C5&lt;18,"A",IF(C5&lt;20,"A+"))))</f>
        <v>ECA</v>
      </c>
      <c r="O5" s="8">
        <f>D5*G5</f>
        <v>0</v>
      </c>
      <c r="P5" s="8">
        <f>E5*G5</f>
        <v>0</v>
      </c>
      <c r="Q5" s="8">
        <f>G5*F5</f>
        <v>23</v>
      </c>
    </row>
    <row r="6" spans="2:29" ht="16.5" thickBot="1" x14ac:dyDescent="0.3">
      <c r="B6" s="64" t="s">
        <v>17</v>
      </c>
      <c r="C6" s="5">
        <f t="shared" ref="C6:C10" si="0">(D6+F6+E6)/3</f>
        <v>7.166666666666667</v>
      </c>
      <c r="D6" s="5">
        <v>6.8</v>
      </c>
      <c r="E6" s="5">
        <v>6.8250000000000002</v>
      </c>
      <c r="F6" s="5">
        <v>7.875</v>
      </c>
      <c r="G6" s="6">
        <v>3</v>
      </c>
      <c r="H6" s="7">
        <f>C6*G6</f>
        <v>21.5</v>
      </c>
      <c r="I6" s="76"/>
      <c r="J6" s="77"/>
      <c r="K6" s="8"/>
      <c r="L6" s="8" t="str">
        <f>IF(C6&lt;11,"NA",IF(C6&lt;15,"ECA",IF(C6&lt;18,"A",IF(C6&lt;20,"A+"))))</f>
        <v>NA</v>
      </c>
      <c r="O6" s="8">
        <f>D6*G6</f>
        <v>20.399999999999999</v>
      </c>
      <c r="P6" s="8">
        <f t="shared" ref="P6:P10" si="1">E6*G6</f>
        <v>20.475000000000001</v>
      </c>
      <c r="Q6" s="8">
        <f t="shared" ref="Q6:Q10" si="2">G6*F6</f>
        <v>23.625</v>
      </c>
    </row>
    <row r="7" spans="2:29" ht="16.5" thickBot="1" x14ac:dyDescent="0.3">
      <c r="B7" s="64" t="s">
        <v>54</v>
      </c>
      <c r="C7" s="5">
        <f t="shared" si="0"/>
        <v>4.6000000000000005</v>
      </c>
      <c r="D7" s="5">
        <v>6.3000000000000007</v>
      </c>
      <c r="E7" s="5">
        <v>3.25</v>
      </c>
      <c r="F7" s="5">
        <v>4.25</v>
      </c>
      <c r="G7" s="6">
        <v>1</v>
      </c>
      <c r="H7" s="7">
        <f t="shared" ref="H7:H10" si="3">C7*G7</f>
        <v>4.6000000000000005</v>
      </c>
      <c r="I7" s="76"/>
      <c r="J7" s="77"/>
      <c r="K7" s="8"/>
      <c r="L7" s="8" t="str">
        <f t="shared" ref="L7:L10" si="4">IF(C7&lt;11,"NA",IF(C7&lt;15,"ECA",IF(C7&lt;18,"A",IF(C7&lt;20,"A+"))))</f>
        <v>NA</v>
      </c>
      <c r="O7" s="8">
        <f t="shared" ref="O7:O10" si="5">D7*G7</f>
        <v>6.3000000000000007</v>
      </c>
      <c r="P7" s="8">
        <f t="shared" si="1"/>
        <v>3.25</v>
      </c>
      <c r="Q7" s="8">
        <f t="shared" si="2"/>
        <v>4.25</v>
      </c>
    </row>
    <row r="8" spans="2:29" ht="16.5" thickBot="1" x14ac:dyDescent="0.3">
      <c r="B8" s="64" t="s">
        <v>62</v>
      </c>
      <c r="C8" s="5">
        <f>F8</f>
        <v>14.25</v>
      </c>
      <c r="D8" s="5"/>
      <c r="E8" s="5"/>
      <c r="F8" s="5">
        <v>14.25</v>
      </c>
      <c r="G8" s="6">
        <v>2</v>
      </c>
      <c r="H8" s="7">
        <f t="shared" si="3"/>
        <v>28.5</v>
      </c>
      <c r="I8" s="62"/>
      <c r="J8" s="63"/>
      <c r="K8" s="8"/>
      <c r="L8" s="8" t="str">
        <f t="shared" si="4"/>
        <v>ECA</v>
      </c>
      <c r="O8" s="8">
        <f t="shared" si="5"/>
        <v>0</v>
      </c>
      <c r="P8" s="8">
        <f t="shared" si="1"/>
        <v>0</v>
      </c>
      <c r="Q8" s="8">
        <f t="shared" si="2"/>
        <v>28.5</v>
      </c>
    </row>
    <row r="9" spans="2:29" ht="16.5" thickBot="1" x14ac:dyDescent="0.3">
      <c r="B9" s="64" t="s">
        <v>50</v>
      </c>
      <c r="C9" s="5">
        <f t="shared" si="0"/>
        <v>7.8133333333333326</v>
      </c>
      <c r="D9" s="5">
        <v>9.15</v>
      </c>
      <c r="E9" s="5">
        <v>6.79</v>
      </c>
      <c r="F9" s="5">
        <v>7.5</v>
      </c>
      <c r="G9" s="6">
        <v>2</v>
      </c>
      <c r="H9" s="7">
        <f t="shared" si="3"/>
        <v>15.626666666666665</v>
      </c>
      <c r="I9" s="90"/>
      <c r="J9" s="91"/>
      <c r="K9" s="8"/>
      <c r="L9" s="8" t="str">
        <f t="shared" si="4"/>
        <v>NA</v>
      </c>
      <c r="O9" s="8">
        <f t="shared" si="5"/>
        <v>18.3</v>
      </c>
      <c r="P9" s="8">
        <f t="shared" si="1"/>
        <v>13.58</v>
      </c>
      <c r="Q9" s="8">
        <f t="shared" si="2"/>
        <v>15</v>
      </c>
    </row>
    <row r="10" spans="2:29" ht="16.5" thickBot="1" x14ac:dyDescent="0.3">
      <c r="B10" s="64" t="s">
        <v>51</v>
      </c>
      <c r="C10" s="5">
        <f t="shared" si="0"/>
        <v>10.19</v>
      </c>
      <c r="D10" s="5">
        <v>11.4</v>
      </c>
      <c r="E10" s="5">
        <v>9.67</v>
      </c>
      <c r="F10" s="5">
        <v>9.5</v>
      </c>
      <c r="G10" s="6">
        <v>1</v>
      </c>
      <c r="H10" s="7">
        <f t="shared" si="3"/>
        <v>10.19</v>
      </c>
      <c r="I10" s="76"/>
      <c r="J10" s="77"/>
      <c r="K10" s="8"/>
      <c r="L10" s="8" t="str">
        <f t="shared" si="4"/>
        <v>NA</v>
      </c>
      <c r="O10" s="8">
        <f t="shared" si="5"/>
        <v>11.4</v>
      </c>
      <c r="P10" s="8">
        <f t="shared" si="1"/>
        <v>9.67</v>
      </c>
      <c r="Q10" s="8">
        <f t="shared" si="2"/>
        <v>9.5</v>
      </c>
    </row>
    <row r="11" spans="2:29" ht="16.5" thickBot="1" x14ac:dyDescent="0.3">
      <c r="B11" s="78" t="s">
        <v>58</v>
      </c>
      <c r="C11" s="79"/>
      <c r="D11" s="79"/>
      <c r="E11" s="79"/>
      <c r="F11" s="79"/>
      <c r="G11" s="79"/>
      <c r="H11" s="79"/>
      <c r="I11" s="79"/>
      <c r="J11" s="79"/>
      <c r="K11" s="79"/>
      <c r="L11" s="80"/>
    </row>
    <row r="12" spans="2:29" ht="16.5" thickBot="1" x14ac:dyDescent="0.3">
      <c r="B12" s="9" t="s">
        <v>12</v>
      </c>
      <c r="C12" s="86">
        <f>(SUM(H5:H10)/SUM(G5:G10))</f>
        <v>9.4015151515151505</v>
      </c>
      <c r="D12" s="86"/>
      <c r="E12" s="86"/>
      <c r="F12" s="86"/>
      <c r="G12" s="87" t="s">
        <v>13</v>
      </c>
      <c r="H12" s="87"/>
      <c r="I12" s="69"/>
      <c r="J12" s="88"/>
      <c r="K12" s="88"/>
      <c r="L12" s="89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spans="2:29" ht="16.5" thickBot="1" x14ac:dyDescent="0.3">
      <c r="B13" s="81"/>
      <c r="C13" s="82"/>
      <c r="D13" s="82"/>
      <c r="E13" s="82"/>
      <c r="F13" s="82"/>
      <c r="G13" s="82"/>
      <c r="H13" s="82"/>
      <c r="I13" s="82"/>
      <c r="J13" s="82"/>
      <c r="K13" s="82"/>
      <c r="L13" s="83"/>
    </row>
    <row r="14" spans="2:29" ht="16.5" thickBot="1" x14ac:dyDescent="0.3">
      <c r="B14" s="64" t="s">
        <v>47</v>
      </c>
      <c r="C14" s="5">
        <f>(D14+F14+E14)/3</f>
        <v>12.4</v>
      </c>
      <c r="D14" s="5">
        <v>12.4</v>
      </c>
      <c r="E14" s="5">
        <v>12.8</v>
      </c>
      <c r="F14" s="5">
        <v>12</v>
      </c>
      <c r="G14" s="6">
        <v>2</v>
      </c>
      <c r="H14" s="7">
        <f t="shared" ref="H14:H17" si="6">C14*G14</f>
        <v>24.8</v>
      </c>
      <c r="I14" s="76"/>
      <c r="J14" s="77"/>
      <c r="K14" s="8"/>
      <c r="L14" s="8" t="str">
        <f>IF(C14&lt;11,"NA",IF(C14&lt;15,"ECA",IF(C14&lt;18,"A",IF(C14&lt;20,"A+"))))</f>
        <v>ECA</v>
      </c>
      <c r="O14" s="8">
        <f t="shared" ref="O14:O17" si="7">D14*G14</f>
        <v>24.8</v>
      </c>
      <c r="P14" s="8">
        <f>E14*G14</f>
        <v>25.6</v>
      </c>
      <c r="Q14" s="8">
        <f>G14*F14</f>
        <v>24</v>
      </c>
    </row>
    <row r="15" spans="2:29" ht="16.5" thickBot="1" x14ac:dyDescent="0.3">
      <c r="B15" s="64" t="s">
        <v>14</v>
      </c>
      <c r="C15" s="5">
        <f t="shared" ref="C15:C17" si="8">(D15+F15+E15)/3</f>
        <v>11.325000000000001</v>
      </c>
      <c r="D15" s="5">
        <v>10.25</v>
      </c>
      <c r="E15" s="5">
        <v>12.475</v>
      </c>
      <c r="F15" s="5">
        <v>11.25</v>
      </c>
      <c r="G15" s="6">
        <v>1.5</v>
      </c>
      <c r="H15" s="7">
        <f t="shared" si="6"/>
        <v>16.987500000000001</v>
      </c>
      <c r="I15" s="76"/>
      <c r="J15" s="77"/>
      <c r="K15" s="8"/>
      <c r="L15" s="8" t="str">
        <f t="shared" ref="L15:L17" si="9">IF(C15&lt;11,"NA",IF(C15&lt;15,"ECA",IF(C15&lt;18,"A",IF(C15&lt;20,"A+"))))</f>
        <v>ECA</v>
      </c>
      <c r="O15" s="8">
        <f t="shared" si="7"/>
        <v>15.375</v>
      </c>
      <c r="P15" s="8">
        <f t="shared" ref="P15:P17" si="10">E15*G15</f>
        <v>18.712499999999999</v>
      </c>
      <c r="Q15" s="8">
        <f t="shared" ref="Q15:Q17" si="11">G15*F15</f>
        <v>16.875</v>
      </c>
    </row>
    <row r="16" spans="2:29" ht="16.5" thickBot="1" x14ac:dyDescent="0.3">
      <c r="B16" s="64" t="s">
        <v>15</v>
      </c>
      <c r="C16" s="5">
        <f t="shared" si="8"/>
        <v>9.5833333333333339</v>
      </c>
      <c r="D16" s="5">
        <v>9.7250000000000014</v>
      </c>
      <c r="E16" s="5">
        <v>7.9</v>
      </c>
      <c r="F16" s="5">
        <v>11.125</v>
      </c>
      <c r="G16" s="6">
        <v>1.5</v>
      </c>
      <c r="H16" s="7">
        <f t="shared" si="6"/>
        <v>14.375</v>
      </c>
      <c r="I16" s="76"/>
      <c r="J16" s="77"/>
      <c r="K16" s="8"/>
      <c r="L16" s="8" t="str">
        <f t="shared" si="9"/>
        <v>NA</v>
      </c>
      <c r="O16" s="8">
        <f t="shared" si="7"/>
        <v>14.587500000000002</v>
      </c>
      <c r="P16" s="8">
        <f t="shared" si="10"/>
        <v>11.850000000000001</v>
      </c>
      <c r="Q16" s="8">
        <f t="shared" si="11"/>
        <v>16.6875</v>
      </c>
    </row>
    <row r="17" spans="2:17" ht="16.5" thickBot="1" x14ac:dyDescent="0.3">
      <c r="B17" s="64" t="s">
        <v>52</v>
      </c>
      <c r="C17" s="5">
        <f t="shared" si="8"/>
        <v>9.1666666666666661</v>
      </c>
      <c r="D17" s="5">
        <v>10.75</v>
      </c>
      <c r="E17" s="5">
        <v>8</v>
      </c>
      <c r="F17" s="5">
        <v>8.75</v>
      </c>
      <c r="G17" s="6">
        <v>1</v>
      </c>
      <c r="H17" s="7">
        <f t="shared" si="6"/>
        <v>9.1666666666666661</v>
      </c>
      <c r="I17" s="76"/>
      <c r="J17" s="77"/>
      <c r="K17" s="8"/>
      <c r="L17" s="8" t="str">
        <f t="shared" si="9"/>
        <v>NA</v>
      </c>
      <c r="O17" s="8">
        <f t="shared" si="7"/>
        <v>10.75</v>
      </c>
      <c r="P17" s="8">
        <f t="shared" si="10"/>
        <v>8</v>
      </c>
      <c r="Q17" s="8">
        <f t="shared" si="11"/>
        <v>8.75</v>
      </c>
    </row>
    <row r="18" spans="2:17" ht="16.149999999999999" customHeight="1" thickBot="1" x14ac:dyDescent="0.3">
      <c r="B18" s="78" t="s">
        <v>59</v>
      </c>
      <c r="C18" s="79"/>
      <c r="D18" s="79"/>
      <c r="E18" s="79"/>
      <c r="F18" s="79"/>
      <c r="G18" s="79"/>
      <c r="H18" s="79"/>
      <c r="I18" s="79"/>
      <c r="J18" s="79"/>
      <c r="K18" s="79"/>
      <c r="L18" s="80"/>
    </row>
    <row r="19" spans="2:17" ht="16.149999999999999" customHeight="1" thickBot="1" x14ac:dyDescent="0.3">
      <c r="B19" s="9" t="s">
        <v>16</v>
      </c>
      <c r="C19" s="86">
        <f>(SUM(H14:H17)/SUM(G14:G17))</f>
        <v>10.888194444444444</v>
      </c>
      <c r="D19" s="86"/>
      <c r="E19" s="86"/>
      <c r="F19" s="86"/>
      <c r="G19" s="87" t="s">
        <v>13</v>
      </c>
      <c r="H19" s="87"/>
      <c r="I19" s="69"/>
      <c r="J19" s="88"/>
      <c r="K19" s="88"/>
      <c r="L19" s="89"/>
    </row>
    <row r="20" spans="2:17" ht="16.5" thickBot="1" x14ac:dyDescent="0.3">
      <c r="B20" s="92"/>
      <c r="C20" s="93"/>
      <c r="D20" s="93"/>
      <c r="E20" s="93"/>
      <c r="F20" s="93"/>
      <c r="G20" s="93"/>
      <c r="H20" s="93"/>
      <c r="I20" s="93"/>
      <c r="J20" s="93"/>
      <c r="K20" s="93"/>
      <c r="L20" s="94"/>
    </row>
    <row r="21" spans="2:17" ht="16.5" thickBot="1" x14ac:dyDescent="0.3">
      <c r="B21" s="64" t="s">
        <v>9</v>
      </c>
      <c r="C21" s="5">
        <f>(D21+F21+E21)/3</f>
        <v>7.291666666666667</v>
      </c>
      <c r="D21" s="5">
        <v>11.45</v>
      </c>
      <c r="E21" s="5">
        <v>4.1749999999999998</v>
      </c>
      <c r="F21" s="8">
        <v>6.25</v>
      </c>
      <c r="G21" s="6">
        <v>2</v>
      </c>
      <c r="H21" s="7">
        <f t="shared" ref="H21:H24" si="12">C21*G21</f>
        <v>14.583333333333334</v>
      </c>
      <c r="I21" s="76"/>
      <c r="J21" s="77"/>
      <c r="K21" s="8"/>
      <c r="L21" s="8" t="str">
        <f t="shared" ref="L21:L24" si="13">IF(C21&lt;11,"NA",IF(C21&lt;15,"ECA",IF(C21&lt;18,"A",IF(C21&lt;20,"A+"))))</f>
        <v>NA</v>
      </c>
      <c r="O21" s="8">
        <f t="shared" ref="O21:O24" si="14">D21*G21</f>
        <v>22.9</v>
      </c>
      <c r="P21" s="8">
        <f>E21*G21</f>
        <v>8.35</v>
      </c>
      <c r="Q21" s="8">
        <f>G21*F21</f>
        <v>12.5</v>
      </c>
    </row>
    <row r="22" spans="2:17" ht="16.5" thickBot="1" x14ac:dyDescent="0.3">
      <c r="B22" s="64" t="s">
        <v>10</v>
      </c>
      <c r="C22" s="5">
        <f t="shared" ref="C22:C24" si="15">(D22+F22+E22)/3</f>
        <v>8.7616666666666685</v>
      </c>
      <c r="D22" s="5">
        <v>7.5</v>
      </c>
      <c r="E22" s="5">
        <v>8.6850000000000005</v>
      </c>
      <c r="F22" s="8">
        <v>10.1</v>
      </c>
      <c r="G22" s="6">
        <v>4</v>
      </c>
      <c r="H22" s="7">
        <f t="shared" si="12"/>
        <v>35.046666666666674</v>
      </c>
      <c r="I22" s="76"/>
      <c r="J22" s="77"/>
      <c r="K22" s="8"/>
      <c r="L22" s="8" t="str">
        <f t="shared" si="13"/>
        <v>NA</v>
      </c>
      <c r="O22" s="8">
        <f t="shared" si="14"/>
        <v>30</v>
      </c>
      <c r="P22" s="8">
        <f t="shared" ref="P22:P24" si="16">E22*G22</f>
        <v>34.74</v>
      </c>
      <c r="Q22" s="8">
        <f t="shared" ref="Q22:Q24" si="17">G22*F22</f>
        <v>40.4</v>
      </c>
    </row>
    <row r="23" spans="2:17" ht="16.5" thickBot="1" x14ac:dyDescent="0.3">
      <c r="B23" s="64" t="s">
        <v>56</v>
      </c>
      <c r="C23" s="5">
        <f>F23</f>
        <v>11</v>
      </c>
      <c r="D23" s="5"/>
      <c r="E23" s="5"/>
      <c r="F23" s="8">
        <v>11</v>
      </c>
      <c r="G23" s="6">
        <v>2</v>
      </c>
      <c r="H23" s="7">
        <f t="shared" si="12"/>
        <v>22</v>
      </c>
      <c r="I23" s="76"/>
      <c r="J23" s="77"/>
      <c r="K23" s="8"/>
      <c r="L23" s="8" t="str">
        <f t="shared" si="13"/>
        <v>ECA</v>
      </c>
      <c r="O23" s="8">
        <f t="shared" si="14"/>
        <v>0</v>
      </c>
      <c r="P23" s="8">
        <f t="shared" si="16"/>
        <v>0</v>
      </c>
      <c r="Q23" s="8">
        <f t="shared" si="17"/>
        <v>22</v>
      </c>
    </row>
    <row r="24" spans="2:17" ht="16.5" thickBot="1" x14ac:dyDescent="0.3">
      <c r="B24" s="64" t="s">
        <v>11</v>
      </c>
      <c r="C24" s="5">
        <f t="shared" si="15"/>
        <v>10.386666666666668</v>
      </c>
      <c r="D24" s="5">
        <v>10.63</v>
      </c>
      <c r="E24" s="5">
        <v>9.2799999999999994</v>
      </c>
      <c r="F24" s="8">
        <v>11.25</v>
      </c>
      <c r="G24" s="6">
        <v>2</v>
      </c>
      <c r="H24" s="7">
        <f t="shared" si="12"/>
        <v>20.773333333333337</v>
      </c>
      <c r="I24" s="76"/>
      <c r="J24" s="77"/>
      <c r="K24" s="8"/>
      <c r="L24" s="8" t="str">
        <f t="shared" si="13"/>
        <v>NA</v>
      </c>
      <c r="O24" s="8">
        <f t="shared" si="14"/>
        <v>21.26</v>
      </c>
      <c r="P24" s="8">
        <f t="shared" si="16"/>
        <v>18.559999999999999</v>
      </c>
      <c r="Q24" s="8">
        <f t="shared" si="17"/>
        <v>22.5</v>
      </c>
    </row>
    <row r="25" spans="2:17" ht="16.149999999999999" customHeight="1" thickBot="1" x14ac:dyDescent="0.3">
      <c r="B25" s="78" t="s">
        <v>60</v>
      </c>
      <c r="C25" s="79"/>
      <c r="D25" s="79"/>
      <c r="E25" s="79"/>
      <c r="F25" s="79"/>
      <c r="G25" s="79"/>
      <c r="H25" s="79"/>
      <c r="I25" s="79"/>
      <c r="J25" s="79"/>
      <c r="K25" s="79"/>
      <c r="L25" s="80"/>
    </row>
    <row r="26" spans="2:17" ht="16.149999999999999" customHeight="1" thickBot="1" x14ac:dyDescent="0.3">
      <c r="B26" s="9" t="s">
        <v>12</v>
      </c>
      <c r="C26" s="86">
        <f>(SUM(H21:H24)/SUM(G21:G24))</f>
        <v>9.2403333333333357</v>
      </c>
      <c r="D26" s="86"/>
      <c r="E26" s="86"/>
      <c r="F26" s="86"/>
      <c r="G26" s="87" t="s">
        <v>13</v>
      </c>
      <c r="H26" s="87"/>
      <c r="I26" s="69"/>
      <c r="J26" s="88"/>
      <c r="K26" s="88"/>
      <c r="L26" s="89"/>
    </row>
    <row r="27" spans="2:17" ht="16.5" thickBot="1" x14ac:dyDescent="0.3">
      <c r="B27" s="81"/>
      <c r="C27" s="82"/>
      <c r="D27" s="82"/>
      <c r="E27" s="82"/>
      <c r="F27" s="82"/>
      <c r="G27" s="82"/>
      <c r="H27" s="82"/>
      <c r="I27" s="100"/>
      <c r="J27" s="100"/>
      <c r="K27" s="100"/>
      <c r="L27" s="83"/>
    </row>
    <row r="28" spans="2:17" ht="16.5" thickBot="1" x14ac:dyDescent="0.3">
      <c r="B28" s="64" t="s">
        <v>53</v>
      </c>
      <c r="C28" s="5">
        <f>(D28+F28+E28)/3</f>
        <v>14</v>
      </c>
      <c r="D28" s="8">
        <v>17.5</v>
      </c>
      <c r="E28" s="8">
        <v>12.5</v>
      </c>
      <c r="F28" s="8">
        <v>12</v>
      </c>
      <c r="G28" s="6">
        <v>1</v>
      </c>
      <c r="H28" s="7">
        <f t="shared" ref="H28:H31" si="18">C28*G28</f>
        <v>14</v>
      </c>
      <c r="I28" s="76"/>
      <c r="J28" s="77"/>
      <c r="K28" s="8"/>
      <c r="L28" s="8" t="str">
        <f t="shared" ref="L28:L31" si="19">IF(C28&lt;11,"NA",IF(C28&lt;15,"ECA",IF(C28&lt;18,"A",IF(C28&lt;20,"A+"))))</f>
        <v>ECA</v>
      </c>
      <c r="O28" s="8">
        <f t="shared" ref="O28:O31" si="20">D28*G28</f>
        <v>17.5</v>
      </c>
      <c r="P28" s="8">
        <f>E28*G28</f>
        <v>12.5</v>
      </c>
      <c r="Q28" s="8">
        <f>G28*F28</f>
        <v>12</v>
      </c>
    </row>
    <row r="29" spans="2:17" ht="16.5" thickBot="1" x14ac:dyDescent="0.3">
      <c r="B29" s="64" t="s">
        <v>48</v>
      </c>
      <c r="C29" s="5">
        <f t="shared" ref="C29:C31" si="21">(D29+F29+E29)/3</f>
        <v>13.65</v>
      </c>
      <c r="D29" s="8">
        <v>12.95</v>
      </c>
      <c r="E29" s="8">
        <v>14</v>
      </c>
      <c r="F29" s="8">
        <v>14</v>
      </c>
      <c r="G29" s="6">
        <v>2</v>
      </c>
      <c r="H29" s="7">
        <f t="shared" si="18"/>
        <v>27.3</v>
      </c>
      <c r="I29" s="76"/>
      <c r="J29" s="77"/>
      <c r="K29" s="8"/>
      <c r="L29" s="8" t="str">
        <f t="shared" si="19"/>
        <v>ECA</v>
      </c>
      <c r="O29" s="8">
        <f t="shared" si="20"/>
        <v>25.9</v>
      </c>
      <c r="P29" s="8">
        <f t="shared" ref="P29:P31" si="22">E29*G29</f>
        <v>28</v>
      </c>
      <c r="Q29" s="8">
        <f t="shared" ref="Q29:Q31" si="23">G29*F29</f>
        <v>28</v>
      </c>
    </row>
    <row r="30" spans="2:17" ht="16.5" thickBot="1" x14ac:dyDescent="0.3">
      <c r="B30" s="64" t="s">
        <v>49</v>
      </c>
      <c r="C30" s="5">
        <f t="shared" si="21"/>
        <v>13.066666666666668</v>
      </c>
      <c r="D30" s="8">
        <v>13</v>
      </c>
      <c r="E30" s="8">
        <v>12.2</v>
      </c>
      <c r="F30" s="8">
        <v>14</v>
      </c>
      <c r="G30" s="6">
        <v>1</v>
      </c>
      <c r="H30" s="7">
        <f t="shared" si="18"/>
        <v>13.066666666666668</v>
      </c>
      <c r="I30" s="76"/>
      <c r="J30" s="77"/>
      <c r="K30" s="8"/>
      <c r="L30" s="8" t="str">
        <f t="shared" si="19"/>
        <v>ECA</v>
      </c>
      <c r="O30" s="8">
        <f t="shared" si="20"/>
        <v>13</v>
      </c>
      <c r="P30" s="8">
        <f t="shared" si="22"/>
        <v>12.2</v>
      </c>
      <c r="Q30" s="8">
        <f t="shared" si="23"/>
        <v>14</v>
      </c>
    </row>
    <row r="31" spans="2:17" ht="16.5" thickBot="1" x14ac:dyDescent="0.3">
      <c r="B31" s="64" t="s">
        <v>18</v>
      </c>
      <c r="C31" s="5">
        <f t="shared" si="21"/>
        <v>15.666666666666666</v>
      </c>
      <c r="D31" s="8">
        <v>14.5</v>
      </c>
      <c r="E31" s="8">
        <v>17</v>
      </c>
      <c r="F31" s="8">
        <v>15.5</v>
      </c>
      <c r="G31" s="6">
        <v>1</v>
      </c>
      <c r="H31" s="7">
        <f t="shared" si="18"/>
        <v>15.666666666666666</v>
      </c>
      <c r="I31" s="76"/>
      <c r="J31" s="77"/>
      <c r="K31" s="8"/>
      <c r="L31" s="8" t="str">
        <f t="shared" si="19"/>
        <v>A</v>
      </c>
      <c r="O31" s="8">
        <f t="shared" si="20"/>
        <v>14.5</v>
      </c>
      <c r="P31" s="8">
        <f t="shared" si="22"/>
        <v>17</v>
      </c>
      <c r="Q31" s="8">
        <f t="shared" si="23"/>
        <v>15.5</v>
      </c>
    </row>
    <row r="32" spans="2:17" ht="16.149999999999999" customHeight="1" thickBot="1" x14ac:dyDescent="0.3">
      <c r="B32" s="64" t="s">
        <v>57</v>
      </c>
      <c r="C32" s="65"/>
      <c r="D32" s="65"/>
      <c r="E32" s="65"/>
      <c r="F32" s="65"/>
      <c r="G32" s="65"/>
      <c r="H32" s="65"/>
      <c r="I32" s="65"/>
      <c r="J32" s="65"/>
      <c r="K32" s="65"/>
      <c r="L32" s="66"/>
      <c r="O32" s="1">
        <f>SUM(O6:O31)</f>
        <v>266.97249999999997</v>
      </c>
      <c r="P32" s="1">
        <f>SUM(P6:P31)</f>
        <v>242.48749999999998</v>
      </c>
      <c r="Q32" s="1">
        <f>SUM(Q5:Q31)</f>
        <v>337.08749999999998</v>
      </c>
    </row>
    <row r="33" spans="2:17" ht="16.149999999999999" customHeight="1" thickBot="1" x14ac:dyDescent="0.3">
      <c r="B33" s="9" t="s">
        <v>16</v>
      </c>
      <c r="C33" s="86">
        <f>(SUM(H28:H31)/SUM(G28:G31))</f>
        <v>14.006666666666666</v>
      </c>
      <c r="D33" s="86"/>
      <c r="E33" s="86"/>
      <c r="F33" s="86"/>
      <c r="G33" s="87" t="s">
        <v>13</v>
      </c>
      <c r="H33" s="87"/>
      <c r="I33" s="69"/>
      <c r="J33" s="88"/>
      <c r="K33" s="88"/>
      <c r="L33" s="89"/>
      <c r="O33" s="1">
        <v>26</v>
      </c>
      <c r="P33" s="1">
        <v>26</v>
      </c>
      <c r="Q33" s="1">
        <v>32</v>
      </c>
    </row>
    <row r="34" spans="2:17" ht="16.5" thickBot="1" x14ac:dyDescent="0.3">
      <c r="B34" s="81"/>
      <c r="C34" s="82"/>
      <c r="D34" s="82"/>
      <c r="E34" s="82"/>
      <c r="F34" s="82"/>
      <c r="G34" s="82"/>
      <c r="H34" s="82"/>
      <c r="I34" s="82"/>
      <c r="J34" s="82"/>
      <c r="K34" s="82"/>
      <c r="L34" s="83"/>
      <c r="O34" s="1">
        <f>O32/O33</f>
        <v>10.268173076923075</v>
      </c>
      <c r="P34" s="1">
        <f>P32/P33</f>
        <v>9.3264423076923073</v>
      </c>
      <c r="Q34" s="1">
        <f>Q32/Q33</f>
        <v>10.533984374999999</v>
      </c>
    </row>
    <row r="35" spans="2:17" s="17" customFormat="1" ht="48" thickBot="1" x14ac:dyDescent="0.3">
      <c r="B35" s="64" t="s">
        <v>19</v>
      </c>
      <c r="C35" s="70" t="s">
        <v>20</v>
      </c>
      <c r="D35" s="69"/>
      <c r="E35" s="69"/>
      <c r="F35" s="71" t="s">
        <v>21</v>
      </c>
      <c r="G35" s="88"/>
      <c r="H35" s="88"/>
      <c r="I35" s="71" t="s">
        <v>22</v>
      </c>
      <c r="J35" s="88"/>
      <c r="K35" s="88"/>
      <c r="L35" s="72"/>
    </row>
    <row r="36" spans="2:17" x14ac:dyDescent="0.25">
      <c r="B36" s="18"/>
      <c r="C36" s="19" t="s">
        <v>1</v>
      </c>
      <c r="D36" s="19" t="s">
        <v>63</v>
      </c>
      <c r="E36" s="19" t="s">
        <v>65</v>
      </c>
      <c r="F36" s="20"/>
      <c r="G36" s="20"/>
      <c r="H36" s="21"/>
      <c r="I36" s="101"/>
      <c r="J36" s="100"/>
      <c r="K36" s="100"/>
      <c r="L36" s="102"/>
    </row>
    <row r="37" spans="2:17" x14ac:dyDescent="0.25">
      <c r="B37" s="22" t="s">
        <v>23</v>
      </c>
      <c r="C37" s="23">
        <f>O34</f>
        <v>10.268173076923075</v>
      </c>
      <c r="D37" s="23">
        <f>P34</f>
        <v>9.3264423076923073</v>
      </c>
      <c r="E37" s="23">
        <f>Q34</f>
        <v>10.533984374999999</v>
      </c>
      <c r="F37" s="32" t="s">
        <v>66</v>
      </c>
      <c r="G37" s="25">
        <f>(H5+H6+H7+H8+H9+H10+H14+H15+H16+H17+H21+H22+H23+H24+H28+H29+H30+H31)/32</f>
        <v>10.349453125000002</v>
      </c>
      <c r="H37" s="24" t="s">
        <v>25</v>
      </c>
      <c r="I37" s="103" t="s">
        <v>26</v>
      </c>
      <c r="J37" s="104"/>
      <c r="K37" s="26"/>
      <c r="L37" s="27" t="s">
        <v>25</v>
      </c>
    </row>
    <row r="38" spans="2:17" ht="16.149999999999999" customHeight="1" thickBot="1" x14ac:dyDescent="0.3">
      <c r="B38" s="95"/>
      <c r="C38" s="96"/>
      <c r="D38" s="96"/>
      <c r="E38" s="96"/>
      <c r="F38" s="96"/>
      <c r="G38" s="96"/>
      <c r="H38" s="96"/>
      <c r="I38" s="97"/>
      <c r="J38" s="98"/>
      <c r="K38" s="98"/>
      <c r="L38" s="99"/>
    </row>
    <row r="39" spans="2:17" ht="16.149999999999999" customHeight="1" thickBot="1" x14ac:dyDescent="0.3">
      <c r="B39" s="105" t="s">
        <v>67</v>
      </c>
      <c r="C39" s="106"/>
      <c r="D39" s="106"/>
      <c r="E39" s="106"/>
      <c r="F39" s="106"/>
      <c r="G39" s="106"/>
      <c r="H39" s="106"/>
      <c r="I39" s="106"/>
      <c r="J39" s="106"/>
      <c r="K39" s="106"/>
      <c r="L39" s="107"/>
    </row>
    <row r="40" spans="2:17" ht="16.149999999999999" customHeight="1" thickBot="1" x14ac:dyDescent="0.3">
      <c r="B40" s="108" t="s">
        <v>28</v>
      </c>
      <c r="C40" s="88"/>
      <c r="D40" s="88"/>
      <c r="E40" s="88"/>
      <c r="F40" s="88"/>
      <c r="G40" s="88"/>
      <c r="H40" s="88"/>
      <c r="I40" s="88"/>
      <c r="J40" s="88"/>
      <c r="K40" s="88"/>
      <c r="L40" s="89"/>
    </row>
    <row r="41" spans="2:17" ht="16.149999999999999" customHeight="1" thickBot="1" x14ac:dyDescent="0.3">
      <c r="B41" s="64" t="s">
        <v>29</v>
      </c>
      <c r="C41" s="81" t="s">
        <v>30</v>
      </c>
      <c r="D41" s="82"/>
      <c r="E41" s="82"/>
      <c r="F41" s="83"/>
      <c r="G41" s="109" t="s">
        <v>31</v>
      </c>
      <c r="H41" s="110"/>
      <c r="I41" s="110"/>
      <c r="J41" s="110"/>
      <c r="K41" s="110"/>
      <c r="L41" s="111"/>
    </row>
    <row r="42" spans="2:17" ht="16.149999999999999" customHeight="1" thickBot="1" x14ac:dyDescent="0.3">
      <c r="B42" s="42" t="s">
        <v>32</v>
      </c>
      <c r="C42" s="110" t="str">
        <f>IF(G37&lt;11,"NA",IF(G37&lt;15,"ECA",IF(G37&lt;18,"A",IF(G37&lt;20,"A+"))))</f>
        <v>NA</v>
      </c>
      <c r="D42" s="110" t="e">
        <f>IF(#REF!&lt;11,"NA",IF(#REF!&lt;15,"ECA",IF(#REF!&lt;18,"A",IF(#REF!&lt;20,"A+"))))</f>
        <v>#REF!</v>
      </c>
      <c r="E42" s="110"/>
      <c r="F42" s="111" t="e">
        <f>IF(#REF!&lt;11,"NA",IF(#REF!&lt;15,"ECA",IF(#REF!&lt;18,"A",IF(#REF!&lt;20,"A+"))))</f>
        <v>#REF!</v>
      </c>
      <c r="G42" s="112"/>
      <c r="H42" s="113"/>
      <c r="I42" s="113"/>
      <c r="J42" s="113"/>
      <c r="K42" s="113"/>
      <c r="L42" s="114"/>
    </row>
    <row r="43" spans="2:17" ht="16.149999999999999" customHeight="1" thickBot="1" x14ac:dyDescent="0.3">
      <c r="B43" s="43" t="s">
        <v>33</v>
      </c>
      <c r="C43" s="115" t="e">
        <f>IF(#REF!&lt;11,"NA",IF(#REF!&lt;15,"ECA",IF(#REF!&lt;18,"A",IF(#REF!&lt;20,"A+"))))</f>
        <v>#REF!</v>
      </c>
      <c r="D43" s="116" t="e">
        <f>IF(#REF!&lt;11,"NA",IF(#REF!&lt;15,"ECA",IF(#REF!&lt;18,"A",IF(#REF!&lt;20,"A+"))))</f>
        <v>#REF!</v>
      </c>
      <c r="E43" s="116"/>
      <c r="F43" s="117" t="e">
        <f>IF(#REF!&lt;11,"NA",IF(#REF!&lt;15,"ECA",IF(#REF!&lt;18,"A",IF(#REF!&lt;20,"A+"))))</f>
        <v>#REF!</v>
      </c>
      <c r="G43" s="108" t="s">
        <v>34</v>
      </c>
      <c r="H43" s="88"/>
      <c r="I43" s="88"/>
      <c r="J43" s="89"/>
      <c r="K43" s="109" t="s">
        <v>35</v>
      </c>
      <c r="L43" s="111"/>
    </row>
    <row r="44" spans="2:17" ht="16.149999999999999" customHeight="1" thickBot="1" x14ac:dyDescent="0.3">
      <c r="B44" s="29" t="s">
        <v>36</v>
      </c>
      <c r="C44" s="112" t="e">
        <f>IF(#REF!&lt;11,"NA",IF(#REF!&lt;15,"ECA",IF(#REF!&lt;18,"A",IF(#REF!&lt;20,"A+"))))</f>
        <v>#REF!</v>
      </c>
      <c r="D44" s="113" t="e">
        <f>IF(#REF!&lt;11,"NA",IF(#REF!&lt;15,"ECA",IF(#REF!&lt;18,"A",IF(#REF!&lt;20,"A+"))))</f>
        <v>#REF!</v>
      </c>
      <c r="E44" s="113"/>
      <c r="F44" s="114" t="e">
        <f>IF(#REF!&lt;11,"NA",IF(#REF!&lt;15,"ECA",IF(#REF!&lt;18,"A",IF(#REF!&lt;20,"A+"))))</f>
        <v>#REF!</v>
      </c>
      <c r="G44" s="108" t="s">
        <v>37</v>
      </c>
      <c r="H44" s="88"/>
      <c r="I44" s="88"/>
      <c r="J44" s="89"/>
      <c r="K44" s="118" t="s">
        <v>38</v>
      </c>
      <c r="L44" s="119"/>
    </row>
    <row r="45" spans="2:17" ht="16.149999999999999" customHeight="1" thickBot="1" x14ac:dyDescent="0.3">
      <c r="B45" s="70" t="s">
        <v>39</v>
      </c>
      <c r="C45" s="109" t="s">
        <v>40</v>
      </c>
      <c r="D45" s="110"/>
      <c r="E45" s="110"/>
      <c r="F45" s="111"/>
      <c r="G45" s="108" t="s">
        <v>41</v>
      </c>
      <c r="H45" s="88"/>
      <c r="I45" s="88"/>
      <c r="J45" s="89"/>
      <c r="K45" s="118"/>
      <c r="L45" s="119"/>
    </row>
    <row r="46" spans="2:17" ht="16.149999999999999" customHeight="1" thickBot="1" x14ac:dyDescent="0.3">
      <c r="B46" s="70" t="s">
        <v>42</v>
      </c>
      <c r="C46" s="112"/>
      <c r="D46" s="113"/>
      <c r="E46" s="113"/>
      <c r="F46" s="114"/>
      <c r="G46" s="108" t="s">
        <v>43</v>
      </c>
      <c r="H46" s="88"/>
      <c r="I46" s="88"/>
      <c r="J46" s="89"/>
      <c r="K46" s="120" t="s">
        <v>44</v>
      </c>
      <c r="L46" s="121"/>
    </row>
    <row r="47" spans="2:17" ht="31.5" x14ac:dyDescent="0.25">
      <c r="B47" s="64" t="s">
        <v>45</v>
      </c>
      <c r="C47" s="101"/>
      <c r="D47" s="100"/>
      <c r="E47" s="100"/>
      <c r="F47" s="102"/>
      <c r="G47" s="101"/>
      <c r="H47" s="100"/>
      <c r="I47" s="100"/>
      <c r="J47" s="102"/>
      <c r="K47" s="120" t="s">
        <v>46</v>
      </c>
      <c r="L47" s="121"/>
    </row>
    <row r="48" spans="2:17" x14ac:dyDescent="0.25">
      <c r="B48" s="28"/>
      <c r="C48" s="122"/>
      <c r="D48" s="123"/>
      <c r="E48" s="123"/>
      <c r="F48" s="124"/>
      <c r="G48" s="122"/>
      <c r="H48" s="123"/>
      <c r="I48" s="123"/>
      <c r="J48" s="124"/>
      <c r="K48" s="128"/>
      <c r="L48" s="129"/>
    </row>
    <row r="49" spans="2:12" x14ac:dyDescent="0.25">
      <c r="B49" s="28"/>
      <c r="C49" s="122"/>
      <c r="D49" s="123"/>
      <c r="E49" s="123"/>
      <c r="F49" s="124"/>
      <c r="G49" s="122"/>
      <c r="H49" s="123"/>
      <c r="I49" s="123"/>
      <c r="J49" s="124"/>
      <c r="K49" s="128"/>
      <c r="L49" s="129"/>
    </row>
    <row r="50" spans="2:12" ht="16.5" thickBot="1" x14ac:dyDescent="0.3">
      <c r="B50" s="29"/>
      <c r="C50" s="125"/>
      <c r="D50" s="126"/>
      <c r="E50" s="126"/>
      <c r="F50" s="127"/>
      <c r="G50" s="125"/>
      <c r="H50" s="126"/>
      <c r="I50" s="126"/>
      <c r="J50" s="127"/>
      <c r="K50" s="97"/>
      <c r="L50" s="99"/>
    </row>
  </sheetData>
  <mergeCells count="62">
    <mergeCell ref="C45:F46"/>
    <mergeCell ref="G45:J45"/>
    <mergeCell ref="K45:L45"/>
    <mergeCell ref="G46:J46"/>
    <mergeCell ref="K46:L46"/>
    <mergeCell ref="C47:F50"/>
    <mergeCell ref="G47:J50"/>
    <mergeCell ref="K47:L47"/>
    <mergeCell ref="K48:L48"/>
    <mergeCell ref="K49:L49"/>
    <mergeCell ref="K50:L50"/>
    <mergeCell ref="B38:H38"/>
    <mergeCell ref="I38:L38"/>
    <mergeCell ref="B39:L39"/>
    <mergeCell ref="B40:L40"/>
    <mergeCell ref="C41:F41"/>
    <mergeCell ref="G41:L42"/>
    <mergeCell ref="C42:F44"/>
    <mergeCell ref="G43:J43"/>
    <mergeCell ref="G33:H33"/>
    <mergeCell ref="J33:L33"/>
    <mergeCell ref="B34:L34"/>
    <mergeCell ref="I36:L36"/>
    <mergeCell ref="I37:J37"/>
    <mergeCell ref="I4:J4"/>
    <mergeCell ref="I6:J6"/>
    <mergeCell ref="I7:J7"/>
    <mergeCell ref="I9:J9"/>
    <mergeCell ref="B18:L18"/>
    <mergeCell ref="I10:J10"/>
    <mergeCell ref="B11:L11"/>
    <mergeCell ref="C12:F12"/>
    <mergeCell ref="G12:H12"/>
    <mergeCell ref="J12:L12"/>
    <mergeCell ref="B13:L13"/>
    <mergeCell ref="I14:J14"/>
    <mergeCell ref="I15:J15"/>
    <mergeCell ref="I16:J16"/>
    <mergeCell ref="I17:J17"/>
    <mergeCell ref="J19:L19"/>
    <mergeCell ref="B20:L20"/>
    <mergeCell ref="I21:J21"/>
    <mergeCell ref="I22:J22"/>
    <mergeCell ref="I23:J23"/>
    <mergeCell ref="C19:F19"/>
    <mergeCell ref="G19:H19"/>
    <mergeCell ref="K43:L43"/>
    <mergeCell ref="G44:J44"/>
    <mergeCell ref="K44:L44"/>
    <mergeCell ref="I24:J24"/>
    <mergeCell ref="B25:L25"/>
    <mergeCell ref="C26:F26"/>
    <mergeCell ref="G26:H26"/>
    <mergeCell ref="J26:L26"/>
    <mergeCell ref="B27:L27"/>
    <mergeCell ref="I28:J28"/>
    <mergeCell ref="I29:J29"/>
    <mergeCell ref="I30:J30"/>
    <mergeCell ref="G35:H35"/>
    <mergeCell ref="J35:K35"/>
    <mergeCell ref="I31:J31"/>
    <mergeCell ref="C33:F3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C50"/>
  <sheetViews>
    <sheetView topLeftCell="A4" zoomScale="60" zoomScaleNormal="60" workbookViewId="0">
      <selection activeCell="B20" sqref="B20:L20"/>
    </sheetView>
  </sheetViews>
  <sheetFormatPr baseColWidth="10" defaultColWidth="11.42578125" defaultRowHeight="15.75" x14ac:dyDescent="0.25"/>
  <cols>
    <col min="1" max="1" width="11.42578125" style="1"/>
    <col min="2" max="2" width="44.140625" style="1" customWidth="1"/>
    <col min="3" max="3" width="12.140625" style="1" customWidth="1"/>
    <col min="4" max="5" width="11.42578125" style="1"/>
    <col min="6" max="6" width="15.5703125" style="1" customWidth="1"/>
    <col min="7" max="7" width="11.42578125" style="1"/>
    <col min="8" max="8" width="12.42578125" style="1" customWidth="1"/>
    <col min="9" max="11" width="11.42578125" style="1"/>
    <col min="12" max="12" width="18.28515625" style="1" bestFit="1" customWidth="1"/>
    <col min="13" max="16384" width="11.42578125" style="1"/>
  </cols>
  <sheetData>
    <row r="3" spans="2:29" ht="16.5" thickBot="1" x14ac:dyDescent="0.3"/>
    <row r="4" spans="2:29" ht="30.75" customHeight="1" thickBot="1" x14ac:dyDescent="0.3">
      <c r="B4" s="59" t="s">
        <v>0</v>
      </c>
      <c r="C4" s="68" t="s">
        <v>68</v>
      </c>
      <c r="D4" s="68" t="s">
        <v>1</v>
      </c>
      <c r="E4" s="68" t="s">
        <v>63</v>
      </c>
      <c r="F4" s="68" t="s">
        <v>64</v>
      </c>
      <c r="G4" s="68" t="s">
        <v>4</v>
      </c>
      <c r="H4" s="67" t="s">
        <v>5</v>
      </c>
      <c r="I4" s="84" t="s">
        <v>6</v>
      </c>
      <c r="J4" s="85"/>
      <c r="K4" s="68" t="s">
        <v>7</v>
      </c>
      <c r="L4" s="68" t="s">
        <v>8</v>
      </c>
    </row>
    <row r="5" spans="2:29" ht="18" customHeight="1" thickBot="1" x14ac:dyDescent="0.3">
      <c r="B5" s="60" t="s">
        <v>61</v>
      </c>
      <c r="C5" s="5">
        <f>F5</f>
        <v>19</v>
      </c>
      <c r="D5" s="58"/>
      <c r="E5" s="58"/>
      <c r="F5" s="5">
        <v>19</v>
      </c>
      <c r="G5" s="61">
        <v>2</v>
      </c>
      <c r="H5" s="7">
        <f>C5*G5</f>
        <v>38</v>
      </c>
      <c r="I5" s="67"/>
      <c r="J5" s="68"/>
      <c r="K5" s="58"/>
      <c r="L5" s="8" t="str">
        <f>IF(C5&lt;11,"NA",IF(C5&lt;15,"ECA",IF(C5&lt;18,"A",IF(C5&lt;20,"A+"))))</f>
        <v>A+</v>
      </c>
      <c r="O5" s="8">
        <f>D5*G5</f>
        <v>0</v>
      </c>
      <c r="P5" s="8">
        <f>E5*G5</f>
        <v>0</v>
      </c>
      <c r="Q5" s="8">
        <f>G5*F5</f>
        <v>38</v>
      </c>
    </row>
    <row r="6" spans="2:29" ht="16.5" thickBot="1" x14ac:dyDescent="0.3">
      <c r="B6" s="64" t="s">
        <v>17</v>
      </c>
      <c r="C6" s="5">
        <f t="shared" ref="C6:C10" si="0">(D6+F6+E6)/3</f>
        <v>11.441666666666668</v>
      </c>
      <c r="D6" s="5">
        <v>10.925000000000001</v>
      </c>
      <c r="E6" s="5">
        <v>10.8</v>
      </c>
      <c r="F6" s="5">
        <v>12.6</v>
      </c>
      <c r="G6" s="6">
        <v>3</v>
      </c>
      <c r="H6" s="7">
        <f>C6*G6</f>
        <v>34.325000000000003</v>
      </c>
      <c r="I6" s="76"/>
      <c r="J6" s="77"/>
      <c r="K6" s="8"/>
      <c r="L6" s="8" t="str">
        <f>IF(C6&lt;11,"NA",IF(C6&lt;15,"ECA",IF(C6&lt;18,"A",IF(C6&lt;20,"A+"))))</f>
        <v>ECA</v>
      </c>
      <c r="O6" s="8">
        <f>D6*G6</f>
        <v>32.775000000000006</v>
      </c>
      <c r="P6" s="8">
        <f t="shared" ref="P6:P10" si="1">E6*G6</f>
        <v>32.400000000000006</v>
      </c>
      <c r="Q6" s="8">
        <f t="shared" ref="Q6:Q10" si="2">G6*F6</f>
        <v>37.799999999999997</v>
      </c>
    </row>
    <row r="7" spans="2:29" ht="16.5" thickBot="1" x14ac:dyDescent="0.3">
      <c r="B7" s="64" t="s">
        <v>54</v>
      </c>
      <c r="C7" s="5">
        <f t="shared" si="0"/>
        <v>13.546666666666667</v>
      </c>
      <c r="D7" s="5">
        <v>13.2</v>
      </c>
      <c r="E7" s="5">
        <v>12.965</v>
      </c>
      <c r="F7" s="5">
        <v>14.475</v>
      </c>
      <c r="G7" s="6">
        <v>1</v>
      </c>
      <c r="H7" s="7">
        <f t="shared" ref="H7:H10" si="3">C7*G7</f>
        <v>13.546666666666667</v>
      </c>
      <c r="I7" s="76"/>
      <c r="J7" s="77"/>
      <c r="K7" s="8"/>
      <c r="L7" s="8" t="str">
        <f t="shared" ref="L7:L10" si="4">IF(C7&lt;11,"NA",IF(C7&lt;15,"ECA",IF(C7&lt;18,"A",IF(C7&lt;20,"A+"))))</f>
        <v>ECA</v>
      </c>
      <c r="O7" s="8">
        <f t="shared" ref="O7:O10" si="5">D7*G7</f>
        <v>13.2</v>
      </c>
      <c r="P7" s="8">
        <f t="shared" si="1"/>
        <v>12.965</v>
      </c>
      <c r="Q7" s="8">
        <f t="shared" si="2"/>
        <v>14.475</v>
      </c>
    </row>
    <row r="8" spans="2:29" ht="16.5" thickBot="1" x14ac:dyDescent="0.3">
      <c r="B8" s="64" t="s">
        <v>62</v>
      </c>
      <c r="C8" s="5">
        <f>F8</f>
        <v>17.5</v>
      </c>
      <c r="D8" s="5"/>
      <c r="E8" s="5"/>
      <c r="F8" s="5">
        <v>17.5</v>
      </c>
      <c r="G8" s="6">
        <v>2</v>
      </c>
      <c r="H8" s="7">
        <f t="shared" si="3"/>
        <v>35</v>
      </c>
      <c r="I8" s="62"/>
      <c r="J8" s="63"/>
      <c r="K8" s="8"/>
      <c r="L8" s="8" t="str">
        <f t="shared" si="4"/>
        <v>A</v>
      </c>
      <c r="O8" s="8">
        <f t="shared" si="5"/>
        <v>0</v>
      </c>
      <c r="P8" s="8">
        <f t="shared" si="1"/>
        <v>0</v>
      </c>
      <c r="Q8" s="8">
        <f t="shared" si="2"/>
        <v>35</v>
      </c>
    </row>
    <row r="9" spans="2:29" ht="16.5" thickBot="1" x14ac:dyDescent="0.3">
      <c r="B9" s="64" t="s">
        <v>50</v>
      </c>
      <c r="C9" s="5">
        <f t="shared" si="0"/>
        <v>9.6333333333333329</v>
      </c>
      <c r="D9" s="5">
        <v>11.6</v>
      </c>
      <c r="E9" s="5">
        <v>10.7</v>
      </c>
      <c r="F9" s="5">
        <v>6.6</v>
      </c>
      <c r="G9" s="6">
        <v>2</v>
      </c>
      <c r="H9" s="7">
        <f t="shared" si="3"/>
        <v>19.266666666666666</v>
      </c>
      <c r="I9" s="90"/>
      <c r="J9" s="91"/>
      <c r="K9" s="8"/>
      <c r="L9" s="8" t="str">
        <f t="shared" si="4"/>
        <v>NA</v>
      </c>
      <c r="O9" s="8">
        <f t="shared" si="5"/>
        <v>23.2</v>
      </c>
      <c r="P9" s="8">
        <f t="shared" si="1"/>
        <v>21.4</v>
      </c>
      <c r="Q9" s="8">
        <f t="shared" si="2"/>
        <v>13.2</v>
      </c>
    </row>
    <row r="10" spans="2:29" ht="16.5" thickBot="1" x14ac:dyDescent="0.3">
      <c r="B10" s="64" t="s">
        <v>51</v>
      </c>
      <c r="C10" s="5">
        <f t="shared" si="0"/>
        <v>11.173333333333332</v>
      </c>
      <c r="D10" s="5">
        <v>11</v>
      </c>
      <c r="E10" s="5">
        <v>12.07</v>
      </c>
      <c r="F10" s="5">
        <v>10.45</v>
      </c>
      <c r="G10" s="6">
        <v>1</v>
      </c>
      <c r="H10" s="7">
        <f t="shared" si="3"/>
        <v>11.173333333333332</v>
      </c>
      <c r="I10" s="76"/>
      <c r="J10" s="77"/>
      <c r="K10" s="8"/>
      <c r="L10" s="8" t="str">
        <f t="shared" si="4"/>
        <v>ECA</v>
      </c>
      <c r="O10" s="8">
        <f t="shared" si="5"/>
        <v>11</v>
      </c>
      <c r="P10" s="8">
        <f t="shared" si="1"/>
        <v>12.07</v>
      </c>
      <c r="Q10" s="8">
        <f t="shared" si="2"/>
        <v>10.45</v>
      </c>
    </row>
    <row r="11" spans="2:29" ht="16.5" thickBot="1" x14ac:dyDescent="0.3">
      <c r="B11" s="78" t="s">
        <v>58</v>
      </c>
      <c r="C11" s="79"/>
      <c r="D11" s="79"/>
      <c r="E11" s="79"/>
      <c r="F11" s="79"/>
      <c r="G11" s="79"/>
      <c r="H11" s="79"/>
      <c r="I11" s="79"/>
      <c r="J11" s="79"/>
      <c r="K11" s="79"/>
      <c r="L11" s="80"/>
    </row>
    <row r="12" spans="2:29" ht="16.5" thickBot="1" x14ac:dyDescent="0.3">
      <c r="B12" s="9" t="s">
        <v>12</v>
      </c>
      <c r="C12" s="86">
        <f>(SUM(H5:H10)/SUM(G5:G10))</f>
        <v>13.755606060606061</v>
      </c>
      <c r="D12" s="86"/>
      <c r="E12" s="86"/>
      <c r="F12" s="86"/>
      <c r="G12" s="87" t="s">
        <v>13</v>
      </c>
      <c r="H12" s="87"/>
      <c r="I12" s="69"/>
      <c r="J12" s="88"/>
      <c r="K12" s="88"/>
      <c r="L12" s="89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spans="2:29" ht="16.5" thickBot="1" x14ac:dyDescent="0.3">
      <c r="B13" s="81"/>
      <c r="C13" s="82"/>
      <c r="D13" s="82"/>
      <c r="E13" s="82"/>
      <c r="F13" s="82"/>
      <c r="G13" s="82"/>
      <c r="H13" s="82"/>
      <c r="I13" s="82"/>
      <c r="J13" s="82"/>
      <c r="K13" s="82"/>
      <c r="L13" s="83"/>
    </row>
    <row r="14" spans="2:29" ht="16.5" thickBot="1" x14ac:dyDescent="0.3">
      <c r="B14" s="64" t="s">
        <v>47</v>
      </c>
      <c r="C14" s="5">
        <f>(D14+F14+E14)/3</f>
        <v>13.983333333333334</v>
      </c>
      <c r="D14" s="5">
        <v>14.45</v>
      </c>
      <c r="E14" s="5">
        <v>12.5</v>
      </c>
      <c r="F14" s="5">
        <v>15</v>
      </c>
      <c r="G14" s="6">
        <v>2</v>
      </c>
      <c r="H14" s="7">
        <f t="shared" ref="H14:H17" si="6">C14*G14</f>
        <v>27.966666666666669</v>
      </c>
      <c r="I14" s="76"/>
      <c r="J14" s="77"/>
      <c r="K14" s="8"/>
      <c r="L14" s="8" t="str">
        <f>IF(C14&lt;11,"NA",IF(C14&lt;15,"ECA",IF(C14&lt;18,"A",IF(C14&lt;20,"A+"))))</f>
        <v>ECA</v>
      </c>
      <c r="O14" s="8">
        <f t="shared" ref="O14:O17" si="7">D14*G14</f>
        <v>28.9</v>
      </c>
      <c r="P14" s="8">
        <f>E14*G14</f>
        <v>25</v>
      </c>
      <c r="Q14" s="8">
        <f>G14*F14</f>
        <v>30</v>
      </c>
    </row>
    <row r="15" spans="2:29" ht="16.5" thickBot="1" x14ac:dyDescent="0.3">
      <c r="B15" s="64" t="s">
        <v>14</v>
      </c>
      <c r="C15" s="5">
        <f t="shared" ref="C15:C17" si="8">(D15+F15+E15)/3</f>
        <v>12.9</v>
      </c>
      <c r="D15" s="5">
        <v>12.2</v>
      </c>
      <c r="E15" s="5">
        <v>14.45</v>
      </c>
      <c r="F15" s="5">
        <v>12.05</v>
      </c>
      <c r="G15" s="6">
        <v>1.5</v>
      </c>
      <c r="H15" s="7">
        <f t="shared" si="6"/>
        <v>19.350000000000001</v>
      </c>
      <c r="I15" s="76"/>
      <c r="J15" s="77"/>
      <c r="K15" s="8"/>
      <c r="L15" s="8" t="str">
        <f t="shared" ref="L15:L17" si="9">IF(C15&lt;11,"NA",IF(C15&lt;15,"ECA",IF(C15&lt;18,"A",IF(C15&lt;20,"A+"))))</f>
        <v>ECA</v>
      </c>
      <c r="O15" s="8">
        <f t="shared" si="7"/>
        <v>18.299999999999997</v>
      </c>
      <c r="P15" s="8">
        <f t="shared" ref="P15:P17" si="10">E15*G15</f>
        <v>21.674999999999997</v>
      </c>
      <c r="Q15" s="8">
        <f t="shared" ref="Q15:Q17" si="11">G15*F15</f>
        <v>18.075000000000003</v>
      </c>
    </row>
    <row r="16" spans="2:29" ht="16.5" thickBot="1" x14ac:dyDescent="0.3">
      <c r="B16" s="64" t="s">
        <v>15</v>
      </c>
      <c r="C16" s="5">
        <f t="shared" si="8"/>
        <v>12.741666666666667</v>
      </c>
      <c r="D16" s="5">
        <v>11.375</v>
      </c>
      <c r="E16" s="5">
        <v>14.1</v>
      </c>
      <c r="F16" s="5">
        <v>12.75</v>
      </c>
      <c r="G16" s="6">
        <v>1.5</v>
      </c>
      <c r="H16" s="7">
        <f t="shared" si="6"/>
        <v>19.112500000000001</v>
      </c>
      <c r="I16" s="76"/>
      <c r="J16" s="77"/>
      <c r="K16" s="8"/>
      <c r="L16" s="8" t="str">
        <f t="shared" si="9"/>
        <v>ECA</v>
      </c>
      <c r="O16" s="8">
        <f t="shared" si="7"/>
        <v>17.0625</v>
      </c>
      <c r="P16" s="8">
        <f t="shared" si="10"/>
        <v>21.15</v>
      </c>
      <c r="Q16" s="8">
        <f t="shared" si="11"/>
        <v>19.125</v>
      </c>
    </row>
    <row r="17" spans="2:17" ht="16.5" thickBot="1" x14ac:dyDescent="0.3">
      <c r="B17" s="64" t="s">
        <v>52</v>
      </c>
      <c r="C17" s="5">
        <f t="shared" si="8"/>
        <v>13.691666666666668</v>
      </c>
      <c r="D17" s="5">
        <v>14.324999999999999</v>
      </c>
      <c r="E17" s="5">
        <v>12.5</v>
      </c>
      <c r="F17" s="5">
        <v>14.25</v>
      </c>
      <c r="G17" s="6">
        <v>1</v>
      </c>
      <c r="H17" s="7">
        <f t="shared" si="6"/>
        <v>13.691666666666668</v>
      </c>
      <c r="I17" s="76"/>
      <c r="J17" s="77"/>
      <c r="K17" s="8"/>
      <c r="L17" s="8" t="str">
        <f t="shared" si="9"/>
        <v>ECA</v>
      </c>
      <c r="O17" s="8">
        <f t="shared" si="7"/>
        <v>14.324999999999999</v>
      </c>
      <c r="P17" s="8">
        <f t="shared" si="10"/>
        <v>12.5</v>
      </c>
      <c r="Q17" s="8">
        <f t="shared" si="11"/>
        <v>14.25</v>
      </c>
    </row>
    <row r="18" spans="2:17" ht="16.149999999999999" customHeight="1" thickBot="1" x14ac:dyDescent="0.3">
      <c r="B18" s="78" t="s">
        <v>59</v>
      </c>
      <c r="C18" s="79"/>
      <c r="D18" s="79"/>
      <c r="E18" s="79"/>
      <c r="F18" s="79"/>
      <c r="G18" s="79"/>
      <c r="H18" s="79"/>
      <c r="I18" s="79"/>
      <c r="J18" s="79"/>
      <c r="K18" s="79"/>
      <c r="L18" s="80"/>
    </row>
    <row r="19" spans="2:17" ht="16.149999999999999" customHeight="1" thickBot="1" x14ac:dyDescent="0.3">
      <c r="B19" s="9" t="s">
        <v>16</v>
      </c>
      <c r="C19" s="86">
        <f>(SUM(H14:H17)/SUM(G14:G17))</f>
        <v>13.353472222222223</v>
      </c>
      <c r="D19" s="86"/>
      <c r="E19" s="86"/>
      <c r="F19" s="86"/>
      <c r="G19" s="87" t="s">
        <v>13</v>
      </c>
      <c r="H19" s="87"/>
      <c r="I19" s="69"/>
      <c r="J19" s="88"/>
      <c r="K19" s="88"/>
      <c r="L19" s="89"/>
    </row>
    <row r="20" spans="2:17" ht="16.5" thickBot="1" x14ac:dyDescent="0.3">
      <c r="B20" s="92"/>
      <c r="C20" s="93"/>
      <c r="D20" s="93"/>
      <c r="E20" s="93"/>
      <c r="F20" s="93"/>
      <c r="G20" s="93"/>
      <c r="H20" s="93"/>
      <c r="I20" s="93"/>
      <c r="J20" s="93"/>
      <c r="K20" s="93"/>
      <c r="L20" s="94"/>
    </row>
    <row r="21" spans="2:17" ht="16.5" thickBot="1" x14ac:dyDescent="0.3">
      <c r="B21" s="64" t="s">
        <v>9</v>
      </c>
      <c r="C21" s="5">
        <f>(D21+F21+E21)/3</f>
        <v>11.433333333333332</v>
      </c>
      <c r="D21" s="5">
        <v>12.35</v>
      </c>
      <c r="E21" s="5">
        <v>11</v>
      </c>
      <c r="F21" s="8">
        <v>10.95</v>
      </c>
      <c r="G21" s="6">
        <v>2</v>
      </c>
      <c r="H21" s="7">
        <f t="shared" ref="H21:H24" si="12">C21*G21</f>
        <v>22.866666666666664</v>
      </c>
      <c r="I21" s="76"/>
      <c r="J21" s="77"/>
      <c r="K21" s="8"/>
      <c r="L21" s="8" t="str">
        <f t="shared" ref="L21:L24" si="13">IF(C21&lt;11,"NA",IF(C21&lt;15,"ECA",IF(C21&lt;18,"A",IF(C21&lt;20,"A+"))))</f>
        <v>ECA</v>
      </c>
      <c r="O21" s="8">
        <f t="shared" ref="O21:O24" si="14">D21*G21</f>
        <v>24.7</v>
      </c>
      <c r="P21" s="8">
        <f>E21*G21</f>
        <v>22</v>
      </c>
      <c r="Q21" s="8">
        <f>G21*F21</f>
        <v>21.9</v>
      </c>
    </row>
    <row r="22" spans="2:17" ht="16.5" thickBot="1" x14ac:dyDescent="0.3">
      <c r="B22" s="64" t="s">
        <v>10</v>
      </c>
      <c r="C22" s="5">
        <f t="shared" ref="C22:C24" si="15">(D22+F22+E22)/3</f>
        <v>11.178333333333333</v>
      </c>
      <c r="D22" s="5">
        <v>10.1</v>
      </c>
      <c r="E22" s="5">
        <v>11.035</v>
      </c>
      <c r="F22" s="8">
        <v>12.4</v>
      </c>
      <c r="G22" s="6">
        <v>4</v>
      </c>
      <c r="H22" s="7">
        <f t="shared" si="12"/>
        <v>44.713333333333331</v>
      </c>
      <c r="I22" s="76"/>
      <c r="J22" s="77"/>
      <c r="K22" s="8"/>
      <c r="L22" s="8" t="str">
        <f t="shared" si="13"/>
        <v>ECA</v>
      </c>
      <c r="O22" s="8">
        <f t="shared" si="14"/>
        <v>40.4</v>
      </c>
      <c r="P22" s="8">
        <f t="shared" ref="P22:P24" si="16">E22*G22</f>
        <v>44.14</v>
      </c>
      <c r="Q22" s="8">
        <f t="shared" ref="Q22:Q24" si="17">G22*F22</f>
        <v>49.6</v>
      </c>
    </row>
    <row r="23" spans="2:17" ht="16.5" thickBot="1" x14ac:dyDescent="0.3">
      <c r="B23" s="64" t="s">
        <v>56</v>
      </c>
      <c r="C23" s="5">
        <f>F23</f>
        <v>15.5</v>
      </c>
      <c r="D23" s="5"/>
      <c r="E23" s="5"/>
      <c r="F23" s="8">
        <v>15.5</v>
      </c>
      <c r="G23" s="6">
        <v>2</v>
      </c>
      <c r="H23" s="7">
        <f t="shared" si="12"/>
        <v>31</v>
      </c>
      <c r="I23" s="76"/>
      <c r="J23" s="77"/>
      <c r="K23" s="8"/>
      <c r="L23" s="8" t="str">
        <f t="shared" si="13"/>
        <v>A</v>
      </c>
      <c r="O23" s="8">
        <f t="shared" si="14"/>
        <v>0</v>
      </c>
      <c r="P23" s="8">
        <f t="shared" si="16"/>
        <v>0</v>
      </c>
      <c r="Q23" s="8">
        <f t="shared" si="17"/>
        <v>31</v>
      </c>
    </row>
    <row r="24" spans="2:17" ht="16.5" thickBot="1" x14ac:dyDescent="0.3">
      <c r="B24" s="64" t="s">
        <v>11</v>
      </c>
      <c r="C24" s="5">
        <f t="shared" si="15"/>
        <v>13.25</v>
      </c>
      <c r="D24" s="5">
        <v>13.65</v>
      </c>
      <c r="E24" s="5">
        <v>11.6</v>
      </c>
      <c r="F24" s="8">
        <v>14.5</v>
      </c>
      <c r="G24" s="6">
        <v>2</v>
      </c>
      <c r="H24" s="7">
        <f t="shared" si="12"/>
        <v>26.5</v>
      </c>
      <c r="I24" s="76"/>
      <c r="J24" s="77"/>
      <c r="K24" s="8"/>
      <c r="L24" s="8" t="str">
        <f t="shared" si="13"/>
        <v>ECA</v>
      </c>
      <c r="O24" s="8">
        <f t="shared" si="14"/>
        <v>27.3</v>
      </c>
      <c r="P24" s="8">
        <f t="shared" si="16"/>
        <v>23.2</v>
      </c>
      <c r="Q24" s="8">
        <f t="shared" si="17"/>
        <v>29</v>
      </c>
    </row>
    <row r="25" spans="2:17" ht="16.149999999999999" customHeight="1" thickBot="1" x14ac:dyDescent="0.3">
      <c r="B25" s="78" t="s">
        <v>60</v>
      </c>
      <c r="C25" s="79"/>
      <c r="D25" s="79"/>
      <c r="E25" s="79"/>
      <c r="F25" s="79"/>
      <c r="G25" s="79"/>
      <c r="H25" s="79"/>
      <c r="I25" s="79"/>
      <c r="J25" s="79"/>
      <c r="K25" s="79"/>
      <c r="L25" s="80"/>
    </row>
    <row r="26" spans="2:17" ht="16.149999999999999" customHeight="1" thickBot="1" x14ac:dyDescent="0.3">
      <c r="B26" s="9" t="s">
        <v>12</v>
      </c>
      <c r="C26" s="86">
        <f>(SUM(H21:H24)/SUM(G21:G24))</f>
        <v>12.507999999999999</v>
      </c>
      <c r="D26" s="86"/>
      <c r="E26" s="86"/>
      <c r="F26" s="86"/>
      <c r="G26" s="87" t="s">
        <v>13</v>
      </c>
      <c r="H26" s="87"/>
      <c r="I26" s="69"/>
      <c r="J26" s="88"/>
      <c r="K26" s="88"/>
      <c r="L26" s="89"/>
    </row>
    <row r="27" spans="2:17" ht="16.5" thickBot="1" x14ac:dyDescent="0.3">
      <c r="B27" s="81"/>
      <c r="C27" s="82"/>
      <c r="D27" s="82"/>
      <c r="E27" s="82"/>
      <c r="F27" s="82"/>
      <c r="G27" s="82"/>
      <c r="H27" s="82"/>
      <c r="I27" s="100"/>
      <c r="J27" s="100"/>
      <c r="K27" s="100"/>
      <c r="L27" s="83"/>
    </row>
    <row r="28" spans="2:17" ht="16.5" thickBot="1" x14ac:dyDescent="0.3">
      <c r="B28" s="64" t="s">
        <v>53</v>
      </c>
      <c r="C28" s="5">
        <f>(D28+F28+E28)/3</f>
        <v>17.5</v>
      </c>
      <c r="D28" s="8">
        <v>19</v>
      </c>
      <c r="E28" s="8">
        <v>16.5</v>
      </c>
      <c r="F28" s="8">
        <v>17</v>
      </c>
      <c r="G28" s="6">
        <v>1</v>
      </c>
      <c r="H28" s="7">
        <f t="shared" ref="H28:H31" si="18">C28*G28</f>
        <v>17.5</v>
      </c>
      <c r="I28" s="76"/>
      <c r="J28" s="77"/>
      <c r="K28" s="8"/>
      <c r="L28" s="8" t="str">
        <f t="shared" ref="L28:L31" si="19">IF(C28&lt;11,"NA",IF(C28&lt;15,"ECA",IF(C28&lt;18,"A",IF(C28&lt;20,"A+"))))</f>
        <v>A</v>
      </c>
      <c r="O28" s="8">
        <f t="shared" ref="O28:O31" si="20">D28*G28</f>
        <v>19</v>
      </c>
      <c r="P28" s="8">
        <f>E28*G28</f>
        <v>16.5</v>
      </c>
      <c r="Q28" s="8">
        <f>G28*F28</f>
        <v>17</v>
      </c>
    </row>
    <row r="29" spans="2:17" ht="16.5" thickBot="1" x14ac:dyDescent="0.3">
      <c r="B29" s="64" t="s">
        <v>48</v>
      </c>
      <c r="C29" s="5">
        <f t="shared" ref="C29:C31" si="21">(D29+F29+E29)/3</f>
        <v>15.583333333333334</v>
      </c>
      <c r="D29" s="8">
        <v>14.8</v>
      </c>
      <c r="E29" s="8">
        <v>16.649999999999999</v>
      </c>
      <c r="F29" s="8">
        <v>15.3</v>
      </c>
      <c r="G29" s="6">
        <v>2</v>
      </c>
      <c r="H29" s="7">
        <f t="shared" si="18"/>
        <v>31.166666666666668</v>
      </c>
      <c r="I29" s="76"/>
      <c r="J29" s="77"/>
      <c r="K29" s="8"/>
      <c r="L29" s="8" t="str">
        <f t="shared" si="19"/>
        <v>A</v>
      </c>
      <c r="O29" s="8">
        <f t="shared" si="20"/>
        <v>29.6</v>
      </c>
      <c r="P29" s="8">
        <f t="shared" ref="P29:P31" si="22">E29*G29</f>
        <v>33.299999999999997</v>
      </c>
      <c r="Q29" s="8">
        <f t="shared" ref="Q29:Q31" si="23">G29*F29</f>
        <v>30.6</v>
      </c>
    </row>
    <row r="30" spans="2:17" ht="16.5" thickBot="1" x14ac:dyDescent="0.3">
      <c r="B30" s="64" t="s">
        <v>49</v>
      </c>
      <c r="C30" s="5">
        <f t="shared" si="21"/>
        <v>13.6</v>
      </c>
      <c r="D30" s="8">
        <v>13.5</v>
      </c>
      <c r="E30" s="8">
        <v>13.3</v>
      </c>
      <c r="F30" s="8">
        <v>14</v>
      </c>
      <c r="G30" s="6">
        <v>1</v>
      </c>
      <c r="H30" s="7">
        <f t="shared" si="18"/>
        <v>13.6</v>
      </c>
      <c r="I30" s="76"/>
      <c r="J30" s="77"/>
      <c r="K30" s="8"/>
      <c r="L30" s="8" t="str">
        <f t="shared" si="19"/>
        <v>ECA</v>
      </c>
      <c r="O30" s="8">
        <f t="shared" si="20"/>
        <v>13.5</v>
      </c>
      <c r="P30" s="8">
        <f t="shared" si="22"/>
        <v>13.3</v>
      </c>
      <c r="Q30" s="8">
        <f t="shared" si="23"/>
        <v>14</v>
      </c>
    </row>
    <row r="31" spans="2:17" ht="16.5" thickBot="1" x14ac:dyDescent="0.3">
      <c r="B31" s="64" t="s">
        <v>18</v>
      </c>
      <c r="C31" s="5">
        <f t="shared" si="21"/>
        <v>14.5</v>
      </c>
      <c r="D31" s="8">
        <v>13</v>
      </c>
      <c r="E31" s="8">
        <v>16</v>
      </c>
      <c r="F31" s="8">
        <v>14.5</v>
      </c>
      <c r="G31" s="6">
        <v>1</v>
      </c>
      <c r="H31" s="7">
        <f t="shared" si="18"/>
        <v>14.5</v>
      </c>
      <c r="I31" s="76"/>
      <c r="J31" s="77"/>
      <c r="K31" s="8"/>
      <c r="L31" s="8" t="str">
        <f t="shared" si="19"/>
        <v>ECA</v>
      </c>
      <c r="O31" s="8">
        <f t="shared" si="20"/>
        <v>13</v>
      </c>
      <c r="P31" s="8">
        <f t="shared" si="22"/>
        <v>16</v>
      </c>
      <c r="Q31" s="8">
        <f t="shared" si="23"/>
        <v>14.5</v>
      </c>
    </row>
    <row r="32" spans="2:17" ht="16.149999999999999" customHeight="1" thickBot="1" x14ac:dyDescent="0.3">
      <c r="B32" s="64" t="s">
        <v>57</v>
      </c>
      <c r="C32" s="65"/>
      <c r="D32" s="65"/>
      <c r="E32" s="65"/>
      <c r="F32" s="65"/>
      <c r="G32" s="65"/>
      <c r="H32" s="65"/>
      <c r="I32" s="65"/>
      <c r="J32" s="65"/>
      <c r="K32" s="65"/>
      <c r="L32" s="66"/>
      <c r="O32" s="1">
        <f>SUM(O6:O31)</f>
        <v>326.26250000000005</v>
      </c>
      <c r="P32" s="1">
        <f>SUM(P6:P31)</f>
        <v>327.60000000000002</v>
      </c>
      <c r="Q32" s="1">
        <f>SUM(Q5:Q31)</f>
        <v>437.97500000000002</v>
      </c>
    </row>
    <row r="33" spans="2:17" ht="16.149999999999999" customHeight="1" thickBot="1" x14ac:dyDescent="0.3">
      <c r="B33" s="9" t="s">
        <v>16</v>
      </c>
      <c r="C33" s="86">
        <f>(SUM(H28:H31)/SUM(G28:G31))</f>
        <v>15.353333333333335</v>
      </c>
      <c r="D33" s="86"/>
      <c r="E33" s="86"/>
      <c r="F33" s="86"/>
      <c r="G33" s="87" t="s">
        <v>13</v>
      </c>
      <c r="H33" s="87"/>
      <c r="I33" s="69"/>
      <c r="J33" s="88"/>
      <c r="K33" s="88"/>
      <c r="L33" s="89"/>
      <c r="O33" s="1">
        <v>26</v>
      </c>
      <c r="P33" s="1">
        <v>26</v>
      </c>
      <c r="Q33" s="1">
        <v>32</v>
      </c>
    </row>
    <row r="34" spans="2:17" ht="16.5" thickBot="1" x14ac:dyDescent="0.3">
      <c r="B34" s="81"/>
      <c r="C34" s="82"/>
      <c r="D34" s="82"/>
      <c r="E34" s="82"/>
      <c r="F34" s="82"/>
      <c r="G34" s="82"/>
      <c r="H34" s="82"/>
      <c r="I34" s="82"/>
      <c r="J34" s="82"/>
      <c r="K34" s="82"/>
      <c r="L34" s="83"/>
      <c r="O34" s="1">
        <f>O32/O33</f>
        <v>12.548557692307694</v>
      </c>
      <c r="P34" s="1">
        <f>P32/P33</f>
        <v>12.600000000000001</v>
      </c>
      <c r="Q34" s="1">
        <f>Q32/Q33</f>
        <v>13.686718750000001</v>
      </c>
    </row>
    <row r="35" spans="2:17" s="17" customFormat="1" ht="48" thickBot="1" x14ac:dyDescent="0.3">
      <c r="B35" s="64" t="s">
        <v>19</v>
      </c>
      <c r="C35" s="70" t="s">
        <v>20</v>
      </c>
      <c r="D35" s="69"/>
      <c r="E35" s="69"/>
      <c r="F35" s="71" t="s">
        <v>21</v>
      </c>
      <c r="G35" s="88"/>
      <c r="H35" s="88"/>
      <c r="I35" s="71" t="s">
        <v>22</v>
      </c>
      <c r="J35" s="88"/>
      <c r="K35" s="88"/>
      <c r="L35" s="72"/>
    </row>
    <row r="36" spans="2:17" x14ac:dyDescent="0.25">
      <c r="B36" s="18"/>
      <c r="C36" s="19" t="s">
        <v>1</v>
      </c>
      <c r="D36" s="19" t="s">
        <v>63</v>
      </c>
      <c r="E36" s="19" t="s">
        <v>65</v>
      </c>
      <c r="F36" s="20"/>
      <c r="G36" s="20"/>
      <c r="H36" s="21"/>
      <c r="I36" s="101"/>
      <c r="J36" s="100"/>
      <c r="K36" s="100"/>
      <c r="L36" s="102"/>
    </row>
    <row r="37" spans="2:17" x14ac:dyDescent="0.25">
      <c r="B37" s="22" t="s">
        <v>23</v>
      </c>
      <c r="C37" s="23">
        <f>O34</f>
        <v>12.548557692307694</v>
      </c>
      <c r="D37" s="23">
        <f>P34</f>
        <v>12.600000000000001</v>
      </c>
      <c r="E37" s="23">
        <f>Q34</f>
        <v>13.686718750000001</v>
      </c>
      <c r="F37" s="32" t="s">
        <v>66</v>
      </c>
      <c r="G37" s="25">
        <f>(H5+H6+H7+H8+H9+H10+H14+H15+H16+H17+H21+H22+H23+H24+H28+H29+H30+H31)/32</f>
        <v>13.539973958333334</v>
      </c>
      <c r="H37" s="24" t="s">
        <v>25</v>
      </c>
      <c r="I37" s="103" t="s">
        <v>26</v>
      </c>
      <c r="J37" s="104"/>
      <c r="K37" s="26"/>
      <c r="L37" s="27" t="s">
        <v>25</v>
      </c>
    </row>
    <row r="38" spans="2:17" ht="16.149999999999999" customHeight="1" thickBot="1" x14ac:dyDescent="0.3">
      <c r="B38" s="95"/>
      <c r="C38" s="96"/>
      <c r="D38" s="96"/>
      <c r="E38" s="96"/>
      <c r="F38" s="96"/>
      <c r="G38" s="96"/>
      <c r="H38" s="96"/>
      <c r="I38" s="97"/>
      <c r="J38" s="98"/>
      <c r="K38" s="98"/>
      <c r="L38" s="99"/>
    </row>
    <row r="39" spans="2:17" ht="16.149999999999999" customHeight="1" thickBot="1" x14ac:dyDescent="0.3">
      <c r="B39" s="105" t="s">
        <v>67</v>
      </c>
      <c r="C39" s="106"/>
      <c r="D39" s="106"/>
      <c r="E39" s="106"/>
      <c r="F39" s="106"/>
      <c r="G39" s="106"/>
      <c r="H39" s="106"/>
      <c r="I39" s="106"/>
      <c r="J39" s="106"/>
      <c r="K39" s="106"/>
      <c r="L39" s="107"/>
    </row>
    <row r="40" spans="2:17" ht="16.149999999999999" customHeight="1" thickBot="1" x14ac:dyDescent="0.3">
      <c r="B40" s="108" t="s">
        <v>28</v>
      </c>
      <c r="C40" s="88"/>
      <c r="D40" s="88"/>
      <c r="E40" s="88"/>
      <c r="F40" s="88"/>
      <c r="G40" s="88"/>
      <c r="H40" s="88"/>
      <c r="I40" s="88"/>
      <c r="J40" s="88"/>
      <c r="K40" s="88"/>
      <c r="L40" s="89"/>
    </row>
    <row r="41" spans="2:17" ht="16.149999999999999" customHeight="1" thickBot="1" x14ac:dyDescent="0.3">
      <c r="B41" s="64" t="s">
        <v>29</v>
      </c>
      <c r="C41" s="81" t="s">
        <v>30</v>
      </c>
      <c r="D41" s="82"/>
      <c r="E41" s="82"/>
      <c r="F41" s="83"/>
      <c r="G41" s="109" t="s">
        <v>31</v>
      </c>
      <c r="H41" s="110"/>
      <c r="I41" s="110"/>
      <c r="J41" s="110"/>
      <c r="K41" s="110"/>
      <c r="L41" s="111"/>
    </row>
    <row r="42" spans="2:17" ht="16.149999999999999" customHeight="1" thickBot="1" x14ac:dyDescent="0.3">
      <c r="B42" s="42" t="s">
        <v>32</v>
      </c>
      <c r="C42" s="110" t="str">
        <f>IF(G37&lt;11,"NA",IF(G37&lt;15,"ECA",IF(G37&lt;18,"A",IF(G37&lt;20,"A+"))))</f>
        <v>ECA</v>
      </c>
      <c r="D42" s="110" t="e">
        <f>IF(#REF!&lt;11,"NA",IF(#REF!&lt;15,"ECA",IF(#REF!&lt;18,"A",IF(#REF!&lt;20,"A+"))))</f>
        <v>#REF!</v>
      </c>
      <c r="E42" s="110"/>
      <c r="F42" s="111" t="e">
        <f>IF(#REF!&lt;11,"NA",IF(#REF!&lt;15,"ECA",IF(#REF!&lt;18,"A",IF(#REF!&lt;20,"A+"))))</f>
        <v>#REF!</v>
      </c>
      <c r="G42" s="112"/>
      <c r="H42" s="113"/>
      <c r="I42" s="113"/>
      <c r="J42" s="113"/>
      <c r="K42" s="113"/>
      <c r="L42" s="114"/>
    </row>
    <row r="43" spans="2:17" ht="16.149999999999999" customHeight="1" thickBot="1" x14ac:dyDescent="0.3">
      <c r="B43" s="43" t="s">
        <v>33</v>
      </c>
      <c r="C43" s="115" t="e">
        <f>IF(#REF!&lt;11,"NA",IF(#REF!&lt;15,"ECA",IF(#REF!&lt;18,"A",IF(#REF!&lt;20,"A+"))))</f>
        <v>#REF!</v>
      </c>
      <c r="D43" s="116" t="e">
        <f>IF(#REF!&lt;11,"NA",IF(#REF!&lt;15,"ECA",IF(#REF!&lt;18,"A",IF(#REF!&lt;20,"A+"))))</f>
        <v>#REF!</v>
      </c>
      <c r="E43" s="116"/>
      <c r="F43" s="117" t="e">
        <f>IF(#REF!&lt;11,"NA",IF(#REF!&lt;15,"ECA",IF(#REF!&lt;18,"A",IF(#REF!&lt;20,"A+"))))</f>
        <v>#REF!</v>
      </c>
      <c r="G43" s="108" t="s">
        <v>34</v>
      </c>
      <c r="H43" s="88"/>
      <c r="I43" s="88"/>
      <c r="J43" s="89"/>
      <c r="K43" s="109" t="s">
        <v>35</v>
      </c>
      <c r="L43" s="111"/>
    </row>
    <row r="44" spans="2:17" ht="16.149999999999999" customHeight="1" thickBot="1" x14ac:dyDescent="0.3">
      <c r="B44" s="29" t="s">
        <v>36</v>
      </c>
      <c r="C44" s="112" t="e">
        <f>IF(#REF!&lt;11,"NA",IF(#REF!&lt;15,"ECA",IF(#REF!&lt;18,"A",IF(#REF!&lt;20,"A+"))))</f>
        <v>#REF!</v>
      </c>
      <c r="D44" s="113" t="e">
        <f>IF(#REF!&lt;11,"NA",IF(#REF!&lt;15,"ECA",IF(#REF!&lt;18,"A",IF(#REF!&lt;20,"A+"))))</f>
        <v>#REF!</v>
      </c>
      <c r="E44" s="113"/>
      <c r="F44" s="114" t="e">
        <f>IF(#REF!&lt;11,"NA",IF(#REF!&lt;15,"ECA",IF(#REF!&lt;18,"A",IF(#REF!&lt;20,"A+"))))</f>
        <v>#REF!</v>
      </c>
      <c r="G44" s="108" t="s">
        <v>37</v>
      </c>
      <c r="H44" s="88"/>
      <c r="I44" s="88"/>
      <c r="J44" s="89"/>
      <c r="K44" s="118" t="s">
        <v>38</v>
      </c>
      <c r="L44" s="119"/>
    </row>
    <row r="45" spans="2:17" ht="16.149999999999999" customHeight="1" thickBot="1" x14ac:dyDescent="0.3">
      <c r="B45" s="70" t="s">
        <v>39</v>
      </c>
      <c r="C45" s="109" t="s">
        <v>40</v>
      </c>
      <c r="D45" s="110"/>
      <c r="E45" s="110"/>
      <c r="F45" s="111"/>
      <c r="G45" s="108" t="s">
        <v>41</v>
      </c>
      <c r="H45" s="88"/>
      <c r="I45" s="88"/>
      <c r="J45" s="89"/>
      <c r="K45" s="118"/>
      <c r="L45" s="119"/>
    </row>
    <row r="46" spans="2:17" ht="16.149999999999999" customHeight="1" thickBot="1" x14ac:dyDescent="0.3">
      <c r="B46" s="70" t="s">
        <v>42</v>
      </c>
      <c r="C46" s="112"/>
      <c r="D46" s="113"/>
      <c r="E46" s="113"/>
      <c r="F46" s="114"/>
      <c r="G46" s="108" t="s">
        <v>43</v>
      </c>
      <c r="H46" s="88"/>
      <c r="I46" s="88"/>
      <c r="J46" s="89"/>
      <c r="K46" s="120" t="s">
        <v>44</v>
      </c>
      <c r="L46" s="121"/>
    </row>
    <row r="47" spans="2:17" ht="31.5" x14ac:dyDescent="0.25">
      <c r="B47" s="64" t="s">
        <v>45</v>
      </c>
      <c r="C47" s="101"/>
      <c r="D47" s="100"/>
      <c r="E47" s="100"/>
      <c r="F47" s="102"/>
      <c r="G47" s="101"/>
      <c r="H47" s="100"/>
      <c r="I47" s="100"/>
      <c r="J47" s="102"/>
      <c r="K47" s="120" t="s">
        <v>46</v>
      </c>
      <c r="L47" s="121"/>
    </row>
    <row r="48" spans="2:17" x14ac:dyDescent="0.25">
      <c r="B48" s="28"/>
      <c r="C48" s="122"/>
      <c r="D48" s="123"/>
      <c r="E48" s="123"/>
      <c r="F48" s="124"/>
      <c r="G48" s="122"/>
      <c r="H48" s="123"/>
      <c r="I48" s="123"/>
      <c r="J48" s="124"/>
      <c r="K48" s="128"/>
      <c r="L48" s="129"/>
    </row>
    <row r="49" spans="2:12" x14ac:dyDescent="0.25">
      <c r="B49" s="28"/>
      <c r="C49" s="122"/>
      <c r="D49" s="123"/>
      <c r="E49" s="123"/>
      <c r="F49" s="124"/>
      <c r="G49" s="122"/>
      <c r="H49" s="123"/>
      <c r="I49" s="123"/>
      <c r="J49" s="124"/>
      <c r="K49" s="128"/>
      <c r="L49" s="129"/>
    </row>
    <row r="50" spans="2:12" ht="16.5" thickBot="1" x14ac:dyDescent="0.3">
      <c r="B50" s="29"/>
      <c r="C50" s="125"/>
      <c r="D50" s="126"/>
      <c r="E50" s="126"/>
      <c r="F50" s="127"/>
      <c r="G50" s="125"/>
      <c r="H50" s="126"/>
      <c r="I50" s="126"/>
      <c r="J50" s="127"/>
      <c r="K50" s="97"/>
      <c r="L50" s="99"/>
    </row>
  </sheetData>
  <mergeCells count="62">
    <mergeCell ref="C45:F46"/>
    <mergeCell ref="G45:J45"/>
    <mergeCell ref="K45:L45"/>
    <mergeCell ref="G46:J46"/>
    <mergeCell ref="K46:L46"/>
    <mergeCell ref="C47:F50"/>
    <mergeCell ref="G47:J50"/>
    <mergeCell ref="K47:L47"/>
    <mergeCell ref="K48:L48"/>
    <mergeCell ref="K49:L49"/>
    <mergeCell ref="K50:L50"/>
    <mergeCell ref="B38:H38"/>
    <mergeCell ref="I38:L38"/>
    <mergeCell ref="B39:L39"/>
    <mergeCell ref="B40:L40"/>
    <mergeCell ref="C41:F41"/>
    <mergeCell ref="G41:L42"/>
    <mergeCell ref="C42:F44"/>
    <mergeCell ref="G43:J43"/>
    <mergeCell ref="G33:H33"/>
    <mergeCell ref="J33:L33"/>
    <mergeCell ref="B34:L34"/>
    <mergeCell ref="I36:L36"/>
    <mergeCell ref="I37:J37"/>
    <mergeCell ref="I4:J4"/>
    <mergeCell ref="I6:J6"/>
    <mergeCell ref="I7:J7"/>
    <mergeCell ref="I9:J9"/>
    <mergeCell ref="B18:L18"/>
    <mergeCell ref="I10:J10"/>
    <mergeCell ref="B11:L11"/>
    <mergeCell ref="C12:F12"/>
    <mergeCell ref="G12:H12"/>
    <mergeCell ref="J12:L12"/>
    <mergeCell ref="B13:L13"/>
    <mergeCell ref="I14:J14"/>
    <mergeCell ref="I15:J15"/>
    <mergeCell ref="I16:J16"/>
    <mergeCell ref="I17:J17"/>
    <mergeCell ref="J19:L19"/>
    <mergeCell ref="B20:L20"/>
    <mergeCell ref="I21:J21"/>
    <mergeCell ref="I22:J22"/>
    <mergeCell ref="I23:J23"/>
    <mergeCell ref="C19:F19"/>
    <mergeCell ref="G19:H19"/>
    <mergeCell ref="K43:L43"/>
    <mergeCell ref="G44:J44"/>
    <mergeCell ref="K44:L44"/>
    <mergeCell ref="I24:J24"/>
    <mergeCell ref="B25:L25"/>
    <mergeCell ref="C26:F26"/>
    <mergeCell ref="G26:H26"/>
    <mergeCell ref="J26:L26"/>
    <mergeCell ref="B27:L27"/>
    <mergeCell ref="I28:J28"/>
    <mergeCell ref="I29:J29"/>
    <mergeCell ref="I30:J30"/>
    <mergeCell ref="G35:H35"/>
    <mergeCell ref="J35:K35"/>
    <mergeCell ref="I31:J31"/>
    <mergeCell ref="C33:F3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B49"/>
  <sheetViews>
    <sheetView zoomScale="60" zoomScaleNormal="60" workbookViewId="0">
      <selection activeCell="C34" sqref="C34:J34"/>
    </sheetView>
  </sheetViews>
  <sheetFormatPr baseColWidth="10" defaultColWidth="11.42578125" defaultRowHeight="15.75" x14ac:dyDescent="0.25"/>
  <cols>
    <col min="1" max="1" width="11.42578125" style="1"/>
    <col min="2" max="2" width="44.140625" style="1" customWidth="1"/>
    <col min="3" max="3" width="12.140625" style="1" customWidth="1"/>
    <col min="4" max="4" width="11.42578125" style="1"/>
    <col min="5" max="5" width="14.85546875" style="1" customWidth="1"/>
    <col min="6" max="6" width="11.42578125" style="1"/>
    <col min="7" max="7" width="12.42578125" style="1" customWidth="1"/>
    <col min="8" max="10" width="11.42578125" style="1"/>
    <col min="11" max="11" width="16.42578125" style="1" customWidth="1"/>
    <col min="12" max="16384" width="11.42578125" style="1"/>
  </cols>
  <sheetData>
    <row r="3" spans="2:28" ht="16.5" thickBot="1" x14ac:dyDescent="0.3"/>
    <row r="4" spans="2:28" ht="30.75" customHeight="1" thickBot="1" x14ac:dyDescent="0.3">
      <c r="B4" s="40" t="s">
        <v>0</v>
      </c>
      <c r="C4" s="41" t="s">
        <v>1</v>
      </c>
      <c r="D4" s="41" t="s">
        <v>2</v>
      </c>
      <c r="E4" s="41" t="s">
        <v>3</v>
      </c>
      <c r="F4" s="41" t="s">
        <v>4</v>
      </c>
      <c r="G4" s="40" t="s">
        <v>5</v>
      </c>
      <c r="H4" s="84" t="s">
        <v>6</v>
      </c>
      <c r="I4" s="85"/>
      <c r="J4" s="41" t="s">
        <v>7</v>
      </c>
      <c r="K4" s="41" t="s">
        <v>8</v>
      </c>
    </row>
    <row r="5" spans="2:28" ht="16.5" thickBot="1" x14ac:dyDescent="0.3">
      <c r="B5" s="44" t="s">
        <v>17</v>
      </c>
      <c r="C5" s="5">
        <f>(D5+E5)/2</f>
        <v>5.3</v>
      </c>
      <c r="D5" s="5">
        <v>6</v>
      </c>
      <c r="E5" s="5">
        <v>4.5999999999999996</v>
      </c>
      <c r="F5" s="45">
        <v>3</v>
      </c>
      <c r="G5" s="7">
        <f>C5*F5</f>
        <v>15.899999999999999</v>
      </c>
      <c r="H5" s="90">
        <f>+AMAN!I6</f>
        <v>0</v>
      </c>
      <c r="I5" s="91"/>
      <c r="J5" s="5"/>
      <c r="K5" s="5" t="str">
        <f>IF(C5&lt;11,"NA",IF(C5&lt;15,"ECA",IF(C5&lt;18,"A",IF(C5&lt;20,"A+"))))</f>
        <v>NA</v>
      </c>
      <c r="N5" s="8">
        <f>D5*F5</f>
        <v>18</v>
      </c>
      <c r="O5" s="8">
        <f>E5*F5</f>
        <v>13.799999999999999</v>
      </c>
    </row>
    <row r="6" spans="2:28" ht="16.5" thickBot="1" x14ac:dyDescent="0.3">
      <c r="B6" s="44" t="s">
        <v>54</v>
      </c>
      <c r="C6" s="5">
        <f t="shared" ref="C6:C9" si="0">(D6+E6)/2</f>
        <v>2.9</v>
      </c>
      <c r="D6" s="5">
        <v>3</v>
      </c>
      <c r="E6" s="5">
        <v>2.8</v>
      </c>
      <c r="F6" s="45">
        <v>1</v>
      </c>
      <c r="G6" s="7">
        <f t="shared" ref="G6:G9" si="1">C6*F6</f>
        <v>2.9</v>
      </c>
      <c r="H6" s="90">
        <f>+AMAN!I7</f>
        <v>0</v>
      </c>
      <c r="I6" s="91"/>
      <c r="J6" s="5"/>
      <c r="K6" s="5" t="str">
        <f t="shared" ref="K6:K9" si="2">IF(C6&lt;11,"NA",IF(C6&lt;15,"ECA",IF(C6&lt;18,"A",IF(C6&lt;20,"A+"))))</f>
        <v>NA</v>
      </c>
      <c r="N6" s="8">
        <f t="shared" ref="N6:N9" si="3">D6*F6</f>
        <v>3</v>
      </c>
      <c r="O6" s="8">
        <f t="shared" ref="O6:O9" si="4">E6*F6</f>
        <v>2.8</v>
      </c>
    </row>
    <row r="7" spans="2:28" ht="16.5" thickBot="1" x14ac:dyDescent="0.3">
      <c r="B7" s="44" t="s">
        <v>50</v>
      </c>
      <c r="C7" s="5">
        <f t="shared" si="0"/>
        <v>6.7</v>
      </c>
      <c r="D7" s="5">
        <v>8.3000000000000007</v>
      </c>
      <c r="E7" s="5">
        <v>5.0999999999999996</v>
      </c>
      <c r="F7" s="45">
        <v>2</v>
      </c>
      <c r="G7" s="7">
        <f t="shared" si="1"/>
        <v>13.4</v>
      </c>
      <c r="H7" s="90">
        <f>+AMAN!I9</f>
        <v>0</v>
      </c>
      <c r="I7" s="91"/>
      <c r="J7" s="5"/>
      <c r="K7" s="5" t="str">
        <f t="shared" si="2"/>
        <v>NA</v>
      </c>
      <c r="N7" s="8">
        <f t="shared" si="3"/>
        <v>16.600000000000001</v>
      </c>
      <c r="O7" s="8">
        <f t="shared" si="4"/>
        <v>10.199999999999999</v>
      </c>
    </row>
    <row r="8" spans="2:28" ht="16.5" thickBot="1" x14ac:dyDescent="0.3">
      <c r="B8" s="44" t="s">
        <v>51</v>
      </c>
      <c r="C8" s="5">
        <f t="shared" si="0"/>
        <v>5.8</v>
      </c>
      <c r="D8" s="5">
        <v>6.8</v>
      </c>
      <c r="E8" s="5">
        <v>4.8</v>
      </c>
      <c r="F8" s="45">
        <v>1</v>
      </c>
      <c r="G8" s="7">
        <f t="shared" si="1"/>
        <v>5.8</v>
      </c>
      <c r="H8" s="90">
        <f>+AMAN!I10</f>
        <v>0</v>
      </c>
      <c r="I8" s="91"/>
      <c r="J8" s="5"/>
      <c r="K8" s="5" t="str">
        <f t="shared" si="2"/>
        <v>NA</v>
      </c>
      <c r="N8" s="8">
        <f t="shared" si="3"/>
        <v>6.8</v>
      </c>
      <c r="O8" s="8">
        <f t="shared" si="4"/>
        <v>4.8</v>
      </c>
    </row>
    <row r="9" spans="2:28" ht="16.5" thickBot="1" x14ac:dyDescent="0.3">
      <c r="B9" s="44" t="s">
        <v>55</v>
      </c>
      <c r="C9" s="5">
        <f t="shared" si="0"/>
        <v>11.649999999999999</v>
      </c>
      <c r="D9" s="5">
        <v>11.1</v>
      </c>
      <c r="E9" s="5">
        <v>12.2</v>
      </c>
      <c r="F9" s="45">
        <v>2</v>
      </c>
      <c r="G9" s="7">
        <f t="shared" si="1"/>
        <v>23.299999999999997</v>
      </c>
      <c r="H9" s="90" t="e">
        <f>+AMAN!#REF!</f>
        <v>#REF!</v>
      </c>
      <c r="I9" s="91"/>
      <c r="J9" s="5"/>
      <c r="K9" s="5" t="str">
        <f t="shared" si="2"/>
        <v>ECA</v>
      </c>
      <c r="N9" s="8">
        <f t="shared" si="3"/>
        <v>22.2</v>
      </c>
      <c r="O9" s="8">
        <f t="shared" si="4"/>
        <v>24.4</v>
      </c>
    </row>
    <row r="10" spans="2:28" ht="16.5" thickBot="1" x14ac:dyDescent="0.3">
      <c r="B10" s="130" t="s">
        <v>58</v>
      </c>
      <c r="C10" s="131"/>
      <c r="D10" s="131"/>
      <c r="E10" s="131"/>
      <c r="F10" s="131"/>
      <c r="G10" s="131"/>
      <c r="H10" s="131"/>
      <c r="I10" s="131"/>
      <c r="J10" s="131"/>
      <c r="K10" s="132"/>
    </row>
    <row r="11" spans="2:28" ht="16.5" thickBot="1" x14ac:dyDescent="0.3">
      <c r="B11" s="46" t="s">
        <v>12</v>
      </c>
      <c r="C11" s="86">
        <f>(SUM(G5:G9)/SUM(F5:F9))</f>
        <v>6.81111111111111</v>
      </c>
      <c r="D11" s="86"/>
      <c r="E11" s="86"/>
      <c r="F11" s="133" t="s">
        <v>13</v>
      </c>
      <c r="G11" s="133"/>
      <c r="H11" s="47"/>
      <c r="I11" s="134"/>
      <c r="J11" s="134"/>
      <c r="K11" s="135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2:28" ht="16.5" thickBot="1" x14ac:dyDescent="0.3">
      <c r="B12" s="136"/>
      <c r="C12" s="137"/>
      <c r="D12" s="137"/>
      <c r="E12" s="137"/>
      <c r="F12" s="137"/>
      <c r="G12" s="137"/>
      <c r="H12" s="137"/>
      <c r="I12" s="137"/>
      <c r="J12" s="137"/>
      <c r="K12" s="138"/>
    </row>
    <row r="13" spans="2:28" ht="16.5" thickBot="1" x14ac:dyDescent="0.3">
      <c r="B13" s="44" t="s">
        <v>47</v>
      </c>
      <c r="C13" s="5">
        <f t="shared" ref="C13:C16" si="5">(D13+E13)/2</f>
        <v>9.9250000000000007</v>
      </c>
      <c r="D13" s="5">
        <v>10.050000000000001</v>
      </c>
      <c r="E13" s="5">
        <v>9.8000000000000007</v>
      </c>
      <c r="F13" s="45">
        <v>1</v>
      </c>
      <c r="G13" s="7">
        <f t="shared" ref="G13:G16" si="6">C13*F13</f>
        <v>9.9250000000000007</v>
      </c>
      <c r="H13" s="90">
        <f>+AMAN!I14</f>
        <v>0</v>
      </c>
      <c r="I13" s="91"/>
      <c r="J13" s="5"/>
      <c r="K13" s="5" t="str">
        <f>IF(C13&lt;11,"NA",IF(C13&lt;15,"ECA",IF(C13&lt;18,"A",IF(C13&lt;20,"A+"))))</f>
        <v>NA</v>
      </c>
      <c r="N13" s="8">
        <f t="shared" ref="N13:N16" si="7">D13*F13</f>
        <v>10.050000000000001</v>
      </c>
      <c r="O13" s="8">
        <f t="shared" ref="O13:O16" si="8">E13*F13</f>
        <v>9.8000000000000007</v>
      </c>
    </row>
    <row r="14" spans="2:28" ht="16.5" thickBot="1" x14ac:dyDescent="0.3">
      <c r="B14" s="44" t="s">
        <v>14</v>
      </c>
      <c r="C14" s="5">
        <f t="shared" si="5"/>
        <v>6.125</v>
      </c>
      <c r="D14" s="5">
        <v>4.5</v>
      </c>
      <c r="E14" s="5">
        <v>7.75</v>
      </c>
      <c r="F14" s="45">
        <v>1.5</v>
      </c>
      <c r="G14" s="7">
        <f t="shared" si="6"/>
        <v>9.1875</v>
      </c>
      <c r="H14" s="90">
        <f>+AMAN!I15</f>
        <v>0</v>
      </c>
      <c r="I14" s="91"/>
      <c r="J14" s="5"/>
      <c r="K14" s="5" t="str">
        <f t="shared" ref="K14:K16" si="9">IF(C14&lt;11,"NA",IF(C14&lt;15,"ECA",IF(C14&lt;18,"A",IF(C14&lt;20,"A+"))))</f>
        <v>NA</v>
      </c>
      <c r="N14" s="8">
        <f t="shared" si="7"/>
        <v>6.75</v>
      </c>
      <c r="O14" s="8">
        <f t="shared" si="8"/>
        <v>11.625</v>
      </c>
    </row>
    <row r="15" spans="2:28" ht="16.5" thickBot="1" x14ac:dyDescent="0.3">
      <c r="B15" s="44" t="s">
        <v>15</v>
      </c>
      <c r="C15" s="5">
        <f t="shared" si="5"/>
        <v>6.35</v>
      </c>
      <c r="D15" s="5">
        <v>6.2</v>
      </c>
      <c r="E15" s="5">
        <v>6.5</v>
      </c>
      <c r="F15" s="45">
        <v>1.5</v>
      </c>
      <c r="G15" s="7">
        <f t="shared" si="6"/>
        <v>9.5249999999999986</v>
      </c>
      <c r="H15" s="90">
        <f>+AMAN!I16</f>
        <v>0</v>
      </c>
      <c r="I15" s="91"/>
      <c r="J15" s="5"/>
      <c r="K15" s="5" t="str">
        <f t="shared" si="9"/>
        <v>NA</v>
      </c>
      <c r="N15" s="8">
        <f t="shared" si="7"/>
        <v>9.3000000000000007</v>
      </c>
      <c r="O15" s="8">
        <f t="shared" si="8"/>
        <v>9.75</v>
      </c>
    </row>
    <row r="16" spans="2:28" ht="16.5" thickBot="1" x14ac:dyDescent="0.3">
      <c r="B16" s="44" t="s">
        <v>52</v>
      </c>
      <c r="C16" s="5">
        <f t="shared" si="5"/>
        <v>9.75</v>
      </c>
      <c r="D16" s="5">
        <v>7.5</v>
      </c>
      <c r="E16" s="5">
        <v>12</v>
      </c>
      <c r="F16" s="45">
        <v>1</v>
      </c>
      <c r="G16" s="7">
        <f t="shared" si="6"/>
        <v>9.75</v>
      </c>
      <c r="H16" s="90">
        <f>+AMAN!I17</f>
        <v>0</v>
      </c>
      <c r="I16" s="91"/>
      <c r="J16" s="5"/>
      <c r="K16" s="5" t="str">
        <f t="shared" si="9"/>
        <v>NA</v>
      </c>
      <c r="N16" s="8">
        <f t="shared" si="7"/>
        <v>7.5</v>
      </c>
      <c r="O16" s="8">
        <f t="shared" si="8"/>
        <v>12</v>
      </c>
    </row>
    <row r="17" spans="2:15" ht="16.5" thickBot="1" x14ac:dyDescent="0.3">
      <c r="B17" s="130" t="s">
        <v>59</v>
      </c>
      <c r="C17" s="131"/>
      <c r="D17" s="131"/>
      <c r="E17" s="131"/>
      <c r="F17" s="131"/>
      <c r="G17" s="131"/>
      <c r="H17" s="131"/>
      <c r="I17" s="131"/>
      <c r="J17" s="131"/>
      <c r="K17" s="132"/>
    </row>
    <row r="18" spans="2:15" ht="16.5" thickBot="1" x14ac:dyDescent="0.3">
      <c r="B18" s="46" t="s">
        <v>16</v>
      </c>
      <c r="C18" s="86">
        <f>(SUM(G13:G16)/SUM(F13:F16))</f>
        <v>7.6775000000000002</v>
      </c>
      <c r="D18" s="86"/>
      <c r="E18" s="86"/>
      <c r="F18" s="133" t="s">
        <v>13</v>
      </c>
      <c r="G18" s="133"/>
      <c r="H18" s="47"/>
      <c r="I18" s="134"/>
      <c r="J18" s="134"/>
      <c r="K18" s="135"/>
    </row>
    <row r="19" spans="2:15" ht="16.5" thickBot="1" x14ac:dyDescent="0.3">
      <c r="B19" s="139"/>
      <c r="C19" s="140"/>
      <c r="D19" s="140"/>
      <c r="E19" s="140"/>
      <c r="F19" s="140"/>
      <c r="G19" s="140"/>
      <c r="H19" s="140"/>
      <c r="I19" s="140"/>
      <c r="J19" s="140"/>
      <c r="K19" s="141"/>
    </row>
    <row r="20" spans="2:15" ht="16.5" thickBot="1" x14ac:dyDescent="0.3">
      <c r="B20" s="44" t="s">
        <v>9</v>
      </c>
      <c r="C20" s="5">
        <f t="shared" ref="C20:C23" si="10">(D20+E20)/2</f>
        <v>7.85</v>
      </c>
      <c r="D20" s="5">
        <v>8.25</v>
      </c>
      <c r="E20" s="5">
        <v>7.45</v>
      </c>
      <c r="F20" s="45">
        <v>2</v>
      </c>
      <c r="G20" s="7">
        <f t="shared" ref="G20:G23" si="11">C20*F20</f>
        <v>15.7</v>
      </c>
      <c r="H20" s="90">
        <f>+AMAN!I21</f>
        <v>0</v>
      </c>
      <c r="I20" s="91"/>
      <c r="J20" s="5"/>
      <c r="K20" s="5" t="str">
        <f t="shared" ref="K20:K23" si="12">IF(C20&lt;11,"NA",IF(C20&lt;15,"ECA",IF(C20&lt;18,"A",IF(C20&lt;20,"A+"))))</f>
        <v>NA</v>
      </c>
      <c r="N20" s="8">
        <f t="shared" ref="N20:N23" si="13">D20*F20</f>
        <v>16.5</v>
      </c>
      <c r="O20" s="8">
        <f t="shared" ref="O20:O23" si="14">E20*F20</f>
        <v>14.9</v>
      </c>
    </row>
    <row r="21" spans="2:15" ht="16.5" thickBot="1" x14ac:dyDescent="0.3">
      <c r="B21" s="44" t="s">
        <v>10</v>
      </c>
      <c r="C21" s="5">
        <f t="shared" si="10"/>
        <v>3.4749999999999996</v>
      </c>
      <c r="D21" s="5">
        <v>3.55</v>
      </c>
      <c r="E21" s="5">
        <v>3.4</v>
      </c>
      <c r="F21" s="45">
        <v>4</v>
      </c>
      <c r="G21" s="7">
        <f t="shared" si="11"/>
        <v>13.899999999999999</v>
      </c>
      <c r="H21" s="90">
        <f>+AMAN!I22</f>
        <v>0</v>
      </c>
      <c r="I21" s="91"/>
      <c r="J21" s="5"/>
      <c r="K21" s="5" t="str">
        <f t="shared" si="12"/>
        <v>NA</v>
      </c>
      <c r="N21" s="8">
        <f t="shared" si="13"/>
        <v>14.2</v>
      </c>
      <c r="O21" s="8">
        <f t="shared" si="14"/>
        <v>13.6</v>
      </c>
    </row>
    <row r="22" spans="2:15" ht="16.5" thickBot="1" x14ac:dyDescent="0.3">
      <c r="B22" s="44" t="s">
        <v>56</v>
      </c>
      <c r="C22" s="5">
        <f t="shared" si="10"/>
        <v>5.375</v>
      </c>
      <c r="D22" s="5">
        <v>5.8</v>
      </c>
      <c r="E22" s="5">
        <v>4.95</v>
      </c>
      <c r="F22" s="45">
        <v>2</v>
      </c>
      <c r="G22" s="7">
        <f t="shared" si="11"/>
        <v>10.75</v>
      </c>
      <c r="H22" s="90">
        <f>+AMAN!I23</f>
        <v>0</v>
      </c>
      <c r="I22" s="91"/>
      <c r="J22" s="5"/>
      <c r="K22" s="5" t="str">
        <f t="shared" si="12"/>
        <v>NA</v>
      </c>
      <c r="N22" s="8">
        <f t="shared" si="13"/>
        <v>11.6</v>
      </c>
      <c r="O22" s="8">
        <f t="shared" si="14"/>
        <v>9.9</v>
      </c>
    </row>
    <row r="23" spans="2:15" ht="16.5" thickBot="1" x14ac:dyDescent="0.3">
      <c r="B23" s="44" t="s">
        <v>11</v>
      </c>
      <c r="C23" s="5">
        <f t="shared" si="10"/>
        <v>8.15</v>
      </c>
      <c r="D23" s="5">
        <v>8.5</v>
      </c>
      <c r="E23" s="5">
        <v>7.8</v>
      </c>
      <c r="F23" s="45">
        <v>2</v>
      </c>
      <c r="G23" s="7">
        <f t="shared" si="11"/>
        <v>16.3</v>
      </c>
      <c r="H23" s="90">
        <f>+AMAN!I24</f>
        <v>0</v>
      </c>
      <c r="I23" s="91"/>
      <c r="J23" s="5"/>
      <c r="K23" s="5" t="str">
        <f t="shared" si="12"/>
        <v>NA</v>
      </c>
      <c r="N23" s="8">
        <f t="shared" si="13"/>
        <v>17</v>
      </c>
      <c r="O23" s="8">
        <f t="shared" si="14"/>
        <v>15.6</v>
      </c>
    </row>
    <row r="24" spans="2:15" ht="16.5" thickBot="1" x14ac:dyDescent="0.3">
      <c r="B24" s="130" t="s">
        <v>60</v>
      </c>
      <c r="C24" s="131"/>
      <c r="D24" s="131"/>
      <c r="E24" s="131"/>
      <c r="F24" s="131"/>
      <c r="G24" s="131"/>
      <c r="H24" s="131"/>
      <c r="I24" s="131"/>
      <c r="J24" s="131"/>
      <c r="K24" s="132"/>
    </row>
    <row r="25" spans="2:15" ht="16.5" thickBot="1" x14ac:dyDescent="0.3">
      <c r="B25" s="46" t="s">
        <v>12</v>
      </c>
      <c r="C25" s="86">
        <f>(SUM(G20:G23)/SUM(F20:F23))</f>
        <v>5.6649999999999991</v>
      </c>
      <c r="D25" s="86"/>
      <c r="E25" s="86"/>
      <c r="F25" s="133" t="s">
        <v>13</v>
      </c>
      <c r="G25" s="133"/>
      <c r="H25" s="47"/>
      <c r="I25" s="134"/>
      <c r="J25" s="134"/>
      <c r="K25" s="135"/>
    </row>
    <row r="26" spans="2:15" ht="16.5" thickBot="1" x14ac:dyDescent="0.3">
      <c r="B26" s="136"/>
      <c r="C26" s="137"/>
      <c r="D26" s="137"/>
      <c r="E26" s="137"/>
      <c r="F26" s="137"/>
      <c r="G26" s="137"/>
      <c r="H26" s="142"/>
      <c r="I26" s="142"/>
      <c r="J26" s="142"/>
      <c r="K26" s="138"/>
    </row>
    <row r="27" spans="2:15" ht="16.5" thickBot="1" x14ac:dyDescent="0.3">
      <c r="B27" s="44" t="s">
        <v>53</v>
      </c>
      <c r="C27" s="5">
        <f t="shared" ref="C27:C30" si="15">(D27+E27)/2</f>
        <v>12.5</v>
      </c>
      <c r="D27" s="5">
        <v>13</v>
      </c>
      <c r="E27" s="5">
        <v>12</v>
      </c>
      <c r="F27" s="45">
        <v>1</v>
      </c>
      <c r="G27" s="7">
        <f t="shared" ref="G27:G30" si="16">C27*F27</f>
        <v>12.5</v>
      </c>
      <c r="H27" s="90">
        <f>+AMAN!I28</f>
        <v>0</v>
      </c>
      <c r="I27" s="91"/>
      <c r="J27" s="5"/>
      <c r="K27" s="5" t="str">
        <f t="shared" ref="K27:K30" si="17">IF(C27&lt;11,"NA",IF(C27&lt;15,"ECA",IF(C27&lt;18,"A",IF(C27&lt;20,"A+"))))</f>
        <v>ECA</v>
      </c>
      <c r="N27" s="8">
        <f t="shared" ref="N27:N30" si="18">D27*F27</f>
        <v>13</v>
      </c>
      <c r="O27" s="8">
        <f t="shared" ref="O27:O30" si="19">E27*F27</f>
        <v>12</v>
      </c>
    </row>
    <row r="28" spans="2:15" ht="16.5" thickBot="1" x14ac:dyDescent="0.3">
      <c r="B28" s="44" t="s">
        <v>48</v>
      </c>
      <c r="C28" s="5">
        <f t="shared" si="15"/>
        <v>12.25</v>
      </c>
      <c r="D28" s="5">
        <v>12.5</v>
      </c>
      <c r="E28" s="5">
        <v>12</v>
      </c>
      <c r="F28" s="45">
        <v>2</v>
      </c>
      <c r="G28" s="7">
        <f t="shared" si="16"/>
        <v>24.5</v>
      </c>
      <c r="H28" s="90">
        <f>+AMAN!I29</f>
        <v>0</v>
      </c>
      <c r="I28" s="91"/>
      <c r="J28" s="5"/>
      <c r="K28" s="5" t="str">
        <f t="shared" si="17"/>
        <v>ECA</v>
      </c>
      <c r="N28" s="8">
        <f t="shared" si="18"/>
        <v>25</v>
      </c>
      <c r="O28" s="8">
        <f t="shared" si="19"/>
        <v>24</v>
      </c>
    </row>
    <row r="29" spans="2:15" ht="16.5" thickBot="1" x14ac:dyDescent="0.3">
      <c r="B29" s="44" t="s">
        <v>49</v>
      </c>
      <c r="C29" s="5">
        <f t="shared" si="15"/>
        <v>11</v>
      </c>
      <c r="D29" s="5">
        <v>12</v>
      </c>
      <c r="E29" s="5">
        <v>10</v>
      </c>
      <c r="F29" s="45">
        <v>1</v>
      </c>
      <c r="G29" s="7">
        <f t="shared" si="16"/>
        <v>11</v>
      </c>
      <c r="H29" s="90">
        <f>+AMAN!I30</f>
        <v>0</v>
      </c>
      <c r="I29" s="91"/>
      <c r="J29" s="5"/>
      <c r="K29" s="5" t="str">
        <f t="shared" si="17"/>
        <v>ECA</v>
      </c>
      <c r="N29" s="8">
        <f t="shared" si="18"/>
        <v>12</v>
      </c>
      <c r="O29" s="8">
        <f t="shared" si="19"/>
        <v>10</v>
      </c>
    </row>
    <row r="30" spans="2:15" ht="16.5" thickBot="1" x14ac:dyDescent="0.3">
      <c r="B30" s="44" t="s">
        <v>18</v>
      </c>
      <c r="C30" s="5">
        <f t="shared" si="15"/>
        <v>14</v>
      </c>
      <c r="D30" s="5">
        <v>12</v>
      </c>
      <c r="E30" s="5">
        <v>16</v>
      </c>
      <c r="F30" s="45">
        <v>1</v>
      </c>
      <c r="G30" s="7">
        <f t="shared" si="16"/>
        <v>14</v>
      </c>
      <c r="H30" s="90">
        <f>+AMAN!I31</f>
        <v>0</v>
      </c>
      <c r="I30" s="91"/>
      <c r="J30" s="5"/>
      <c r="K30" s="5" t="str">
        <f t="shared" si="17"/>
        <v>ECA</v>
      </c>
      <c r="N30" s="8">
        <f t="shared" si="18"/>
        <v>12</v>
      </c>
      <c r="O30" s="8">
        <f t="shared" si="19"/>
        <v>16</v>
      </c>
    </row>
    <row r="31" spans="2:15" ht="16.5" thickBot="1" x14ac:dyDescent="0.3">
      <c r="B31" s="35" t="s">
        <v>57</v>
      </c>
      <c r="C31" s="36"/>
      <c r="D31" s="36"/>
      <c r="E31" s="36"/>
      <c r="F31" s="36"/>
      <c r="G31" s="36"/>
      <c r="H31" s="36"/>
      <c r="I31" s="36"/>
      <c r="J31" s="36"/>
      <c r="K31" s="37"/>
      <c r="N31" s="1">
        <f>SUM(N5:N30)</f>
        <v>221.49999999999997</v>
      </c>
      <c r="O31" s="1">
        <f>SUM(O5:O30)</f>
        <v>215.17499999999998</v>
      </c>
    </row>
    <row r="32" spans="2:15" ht="16.5" thickBot="1" x14ac:dyDescent="0.3">
      <c r="B32" s="9" t="s">
        <v>16</v>
      </c>
      <c r="C32" s="86">
        <f>(SUM(G27:G30)/SUM(F27:F30))</f>
        <v>12.4</v>
      </c>
      <c r="D32" s="86"/>
      <c r="E32" s="86"/>
      <c r="F32" s="87" t="s">
        <v>13</v>
      </c>
      <c r="G32" s="87"/>
      <c r="H32" s="34"/>
      <c r="I32" s="88"/>
      <c r="J32" s="88"/>
      <c r="K32" s="89"/>
      <c r="N32" s="1">
        <v>29</v>
      </c>
      <c r="O32" s="1">
        <v>29</v>
      </c>
    </row>
    <row r="33" spans="2:15" ht="16.5" thickBot="1" x14ac:dyDescent="0.3">
      <c r="B33" s="81"/>
      <c r="C33" s="82"/>
      <c r="D33" s="82"/>
      <c r="E33" s="82"/>
      <c r="F33" s="82"/>
      <c r="G33" s="82"/>
      <c r="H33" s="82"/>
      <c r="I33" s="82"/>
      <c r="J33" s="82"/>
      <c r="K33" s="83"/>
      <c r="N33" s="1">
        <f>N31/N32</f>
        <v>7.637931034482758</v>
      </c>
      <c r="O33" s="1">
        <f>O31/O32</f>
        <v>7.4198275862068961</v>
      </c>
    </row>
    <row r="34" spans="2:15" s="17" customFormat="1" ht="48" thickBot="1" x14ac:dyDescent="0.3">
      <c r="B34" s="35" t="s">
        <v>19</v>
      </c>
      <c r="C34" s="49" t="s">
        <v>20</v>
      </c>
      <c r="D34" s="48">
        <v>8.59</v>
      </c>
      <c r="E34" s="50" t="s">
        <v>21</v>
      </c>
      <c r="F34" s="88">
        <v>10.41</v>
      </c>
      <c r="G34" s="88"/>
      <c r="H34" s="50" t="s">
        <v>22</v>
      </c>
      <c r="I34" s="88">
        <v>7.21</v>
      </c>
      <c r="J34" s="88"/>
      <c r="K34" s="39"/>
    </row>
    <row r="35" spans="2:15" x14ac:dyDescent="0.25">
      <c r="B35" s="18"/>
      <c r="C35" s="19" t="s">
        <v>2</v>
      </c>
      <c r="D35" s="19" t="s">
        <v>3</v>
      </c>
      <c r="E35" s="20"/>
      <c r="F35" s="20"/>
      <c r="G35" s="21"/>
      <c r="H35" s="101"/>
      <c r="I35" s="100"/>
      <c r="J35" s="100"/>
      <c r="K35" s="102"/>
    </row>
    <row r="36" spans="2:15" x14ac:dyDescent="0.25">
      <c r="B36" s="22" t="s">
        <v>23</v>
      </c>
      <c r="C36" s="23">
        <f>N33</f>
        <v>7.637931034482758</v>
      </c>
      <c r="D36" s="23">
        <f>O33</f>
        <v>7.4198275862068961</v>
      </c>
      <c r="E36" s="32" t="s">
        <v>24</v>
      </c>
      <c r="F36" s="25">
        <f>(G5+G6+G7+G8+G9+G13+G14+G15+G20+G16+G21+G22+G23+G27+G28+G29+G30)/29</f>
        <v>7.5288793103448279</v>
      </c>
      <c r="G36" s="24" t="s">
        <v>25</v>
      </c>
      <c r="H36" s="103" t="s">
        <v>26</v>
      </c>
      <c r="I36" s="104"/>
      <c r="J36" s="26"/>
      <c r="K36" s="27" t="s">
        <v>25</v>
      </c>
    </row>
    <row r="37" spans="2:15" ht="16.5" thickBot="1" x14ac:dyDescent="0.3">
      <c r="B37" s="95"/>
      <c r="C37" s="96"/>
      <c r="D37" s="96"/>
      <c r="E37" s="96"/>
      <c r="F37" s="96"/>
      <c r="G37" s="96"/>
      <c r="H37" s="97"/>
      <c r="I37" s="98"/>
      <c r="J37" s="98"/>
      <c r="K37" s="99"/>
    </row>
    <row r="38" spans="2:15" ht="16.5" thickBot="1" x14ac:dyDescent="0.3">
      <c r="B38" s="105" t="s">
        <v>27</v>
      </c>
      <c r="C38" s="106"/>
      <c r="D38" s="106"/>
      <c r="E38" s="106"/>
      <c r="F38" s="106"/>
      <c r="G38" s="106"/>
      <c r="H38" s="106"/>
      <c r="I38" s="106"/>
      <c r="J38" s="106"/>
      <c r="K38" s="107"/>
    </row>
    <row r="39" spans="2:15" ht="16.5" thickBot="1" x14ac:dyDescent="0.3">
      <c r="B39" s="108" t="s">
        <v>28</v>
      </c>
      <c r="C39" s="88"/>
      <c r="D39" s="88"/>
      <c r="E39" s="88"/>
      <c r="F39" s="88"/>
      <c r="G39" s="88"/>
      <c r="H39" s="88"/>
      <c r="I39" s="88"/>
      <c r="J39" s="88"/>
      <c r="K39" s="89"/>
    </row>
    <row r="40" spans="2:15" ht="16.5" thickBot="1" x14ac:dyDescent="0.3">
      <c r="B40" s="35" t="s">
        <v>29</v>
      </c>
      <c r="C40" s="81" t="s">
        <v>30</v>
      </c>
      <c r="D40" s="82"/>
      <c r="E40" s="83"/>
      <c r="F40" s="109" t="s">
        <v>31</v>
      </c>
      <c r="G40" s="110"/>
      <c r="H40" s="110"/>
      <c r="I40" s="110"/>
      <c r="J40" s="110"/>
      <c r="K40" s="111"/>
    </row>
    <row r="41" spans="2:15" ht="16.5" thickBot="1" x14ac:dyDescent="0.3">
      <c r="B41" s="42" t="s">
        <v>32</v>
      </c>
      <c r="C41" s="110" t="str">
        <f>IF(F36&lt;11,"NA",IF(F36&lt;15,"ECA",IF(F36&lt;18,"A",IF(F36&lt;20,"A+"))))</f>
        <v>NA</v>
      </c>
      <c r="D41" s="110" t="e">
        <f>IF(#REF!&lt;11,"NA",IF(#REF!&lt;15,"ECA",IF(#REF!&lt;18,"A",IF(#REF!&lt;20,"A+"))))</f>
        <v>#REF!</v>
      </c>
      <c r="E41" s="111" t="e">
        <f>IF(#REF!&lt;11,"NA",IF(#REF!&lt;15,"ECA",IF(#REF!&lt;18,"A",IF(#REF!&lt;20,"A+"))))</f>
        <v>#REF!</v>
      </c>
      <c r="F41" s="112"/>
      <c r="G41" s="113"/>
      <c r="H41" s="113"/>
      <c r="I41" s="113"/>
      <c r="J41" s="113"/>
      <c r="K41" s="114"/>
    </row>
    <row r="42" spans="2:15" ht="16.5" thickBot="1" x14ac:dyDescent="0.3">
      <c r="B42" s="43" t="s">
        <v>33</v>
      </c>
      <c r="C42" s="115" t="e">
        <f>IF(#REF!&lt;11,"NA",IF(#REF!&lt;15,"ECA",IF(#REF!&lt;18,"A",IF(#REF!&lt;20,"A+"))))</f>
        <v>#REF!</v>
      </c>
      <c r="D42" s="116" t="e">
        <f>IF(#REF!&lt;11,"NA",IF(#REF!&lt;15,"ECA",IF(#REF!&lt;18,"A",IF(#REF!&lt;20,"A+"))))</f>
        <v>#REF!</v>
      </c>
      <c r="E42" s="117" t="e">
        <f>IF(#REF!&lt;11,"NA",IF(#REF!&lt;15,"ECA",IF(#REF!&lt;18,"A",IF(#REF!&lt;20,"A+"))))</f>
        <v>#REF!</v>
      </c>
      <c r="F42" s="108" t="s">
        <v>34</v>
      </c>
      <c r="G42" s="88"/>
      <c r="H42" s="88"/>
      <c r="I42" s="89"/>
      <c r="J42" s="109" t="s">
        <v>35</v>
      </c>
      <c r="K42" s="111"/>
    </row>
    <row r="43" spans="2:15" ht="16.5" thickBot="1" x14ac:dyDescent="0.3">
      <c r="B43" s="29" t="s">
        <v>36</v>
      </c>
      <c r="C43" s="112" t="e">
        <f>IF(#REF!&lt;11,"NA",IF(#REF!&lt;15,"ECA",IF(#REF!&lt;18,"A",IF(#REF!&lt;20,"A+"))))</f>
        <v>#REF!</v>
      </c>
      <c r="D43" s="113" t="e">
        <f>IF(#REF!&lt;11,"NA",IF(#REF!&lt;15,"ECA",IF(#REF!&lt;18,"A",IF(#REF!&lt;20,"A+"))))</f>
        <v>#REF!</v>
      </c>
      <c r="E43" s="114" t="e">
        <f>IF(#REF!&lt;11,"NA",IF(#REF!&lt;15,"ECA",IF(#REF!&lt;18,"A",IF(#REF!&lt;20,"A+"))))</f>
        <v>#REF!</v>
      </c>
      <c r="F43" s="108" t="s">
        <v>37</v>
      </c>
      <c r="G43" s="88"/>
      <c r="H43" s="88"/>
      <c r="I43" s="89"/>
      <c r="J43" s="118" t="s">
        <v>38</v>
      </c>
      <c r="K43" s="119"/>
    </row>
    <row r="44" spans="2:15" ht="16.5" thickBot="1" x14ac:dyDescent="0.3">
      <c r="B44" s="38" t="s">
        <v>39</v>
      </c>
      <c r="C44" s="109" t="s">
        <v>40</v>
      </c>
      <c r="D44" s="110"/>
      <c r="E44" s="111"/>
      <c r="F44" s="108" t="s">
        <v>41</v>
      </c>
      <c r="G44" s="88"/>
      <c r="H44" s="88"/>
      <c r="I44" s="89"/>
      <c r="J44" s="118"/>
      <c r="K44" s="119"/>
    </row>
    <row r="45" spans="2:15" ht="16.5" thickBot="1" x14ac:dyDescent="0.3">
      <c r="B45" s="38" t="s">
        <v>42</v>
      </c>
      <c r="C45" s="112"/>
      <c r="D45" s="113"/>
      <c r="E45" s="114"/>
      <c r="F45" s="108" t="s">
        <v>43</v>
      </c>
      <c r="G45" s="88"/>
      <c r="H45" s="88"/>
      <c r="I45" s="89"/>
      <c r="J45" s="120" t="s">
        <v>44</v>
      </c>
      <c r="K45" s="121"/>
    </row>
    <row r="46" spans="2:15" ht="31.5" x14ac:dyDescent="0.25">
      <c r="B46" s="35" t="s">
        <v>45</v>
      </c>
      <c r="C46" s="101"/>
      <c r="D46" s="100"/>
      <c r="E46" s="102"/>
      <c r="F46" s="101"/>
      <c r="G46" s="100"/>
      <c r="H46" s="100"/>
      <c r="I46" s="102"/>
      <c r="J46" s="120" t="s">
        <v>46</v>
      </c>
      <c r="K46" s="121"/>
    </row>
    <row r="47" spans="2:15" x14ac:dyDescent="0.25">
      <c r="B47" s="28"/>
      <c r="C47" s="122"/>
      <c r="D47" s="123"/>
      <c r="E47" s="124"/>
      <c r="F47" s="122"/>
      <c r="G47" s="123"/>
      <c r="H47" s="123"/>
      <c r="I47" s="124"/>
      <c r="J47" s="128"/>
      <c r="K47" s="129"/>
    </row>
    <row r="48" spans="2:15" x14ac:dyDescent="0.25">
      <c r="B48" s="28"/>
      <c r="C48" s="122"/>
      <c r="D48" s="123"/>
      <c r="E48" s="124"/>
      <c r="F48" s="122"/>
      <c r="G48" s="123"/>
      <c r="H48" s="123"/>
      <c r="I48" s="124"/>
      <c r="J48" s="128"/>
      <c r="K48" s="129"/>
    </row>
    <row r="49" spans="2:11" ht="16.5" thickBot="1" x14ac:dyDescent="0.3">
      <c r="B49" s="29"/>
      <c r="C49" s="125"/>
      <c r="D49" s="126"/>
      <c r="E49" s="127"/>
      <c r="F49" s="125"/>
      <c r="G49" s="126"/>
      <c r="H49" s="126"/>
      <c r="I49" s="127"/>
      <c r="J49" s="97"/>
      <c r="K49" s="99"/>
    </row>
  </sheetData>
  <mergeCells count="63">
    <mergeCell ref="J49:K49"/>
    <mergeCell ref="C44:E45"/>
    <mergeCell ref="F44:I44"/>
    <mergeCell ref="J44:K44"/>
    <mergeCell ref="F45:I45"/>
    <mergeCell ref="J45:K45"/>
    <mergeCell ref="C46:E49"/>
    <mergeCell ref="F46:I49"/>
    <mergeCell ref="J46:K46"/>
    <mergeCell ref="J47:K47"/>
    <mergeCell ref="J48:K48"/>
    <mergeCell ref="B38:K38"/>
    <mergeCell ref="B39:K39"/>
    <mergeCell ref="C40:E40"/>
    <mergeCell ref="F40:K41"/>
    <mergeCell ref="C41:E43"/>
    <mergeCell ref="F42:I42"/>
    <mergeCell ref="J42:K42"/>
    <mergeCell ref="F43:I43"/>
    <mergeCell ref="J43:K43"/>
    <mergeCell ref="F34:G34"/>
    <mergeCell ref="I34:J34"/>
    <mergeCell ref="H35:K35"/>
    <mergeCell ref="H36:I36"/>
    <mergeCell ref="B37:G37"/>
    <mergeCell ref="H37:K37"/>
    <mergeCell ref="B33:K33"/>
    <mergeCell ref="C25:E25"/>
    <mergeCell ref="F25:G25"/>
    <mergeCell ref="I25:K25"/>
    <mergeCell ref="B26:K26"/>
    <mergeCell ref="H27:I27"/>
    <mergeCell ref="H28:I28"/>
    <mergeCell ref="H29:I29"/>
    <mergeCell ref="H30:I30"/>
    <mergeCell ref="C32:E32"/>
    <mergeCell ref="F32:G32"/>
    <mergeCell ref="I32:K32"/>
    <mergeCell ref="B24:K24"/>
    <mergeCell ref="H14:I14"/>
    <mergeCell ref="H15:I15"/>
    <mergeCell ref="H16:I16"/>
    <mergeCell ref="B17:K17"/>
    <mergeCell ref="C18:E18"/>
    <mergeCell ref="F18:G18"/>
    <mergeCell ref="I18:K18"/>
    <mergeCell ref="B19:K19"/>
    <mergeCell ref="H20:I20"/>
    <mergeCell ref="H21:I21"/>
    <mergeCell ref="H22:I22"/>
    <mergeCell ref="H23:I23"/>
    <mergeCell ref="H13:I13"/>
    <mergeCell ref="H4:I4"/>
    <mergeCell ref="H5:I5"/>
    <mergeCell ref="H6:I6"/>
    <mergeCell ref="H7:I7"/>
    <mergeCell ref="H8:I8"/>
    <mergeCell ref="H9:I9"/>
    <mergeCell ref="B10:K10"/>
    <mergeCell ref="C11:E11"/>
    <mergeCell ref="F11:G11"/>
    <mergeCell ref="I11:K11"/>
    <mergeCell ref="B12:K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B49"/>
  <sheetViews>
    <sheetView zoomScale="60" zoomScaleNormal="60" workbookViewId="0">
      <selection activeCell="C34" sqref="C34:J34"/>
    </sheetView>
  </sheetViews>
  <sheetFormatPr baseColWidth="10" defaultColWidth="11.42578125" defaultRowHeight="15.75" x14ac:dyDescent="0.25"/>
  <cols>
    <col min="1" max="1" width="11.42578125" style="1"/>
    <col min="2" max="2" width="44.140625" style="1" customWidth="1"/>
    <col min="3" max="3" width="12.140625" style="1" customWidth="1"/>
    <col min="4" max="4" width="11.42578125" style="1"/>
    <col min="5" max="5" width="14.85546875" style="1" customWidth="1"/>
    <col min="6" max="6" width="11.42578125" style="1"/>
    <col min="7" max="7" width="12.42578125" style="1" customWidth="1"/>
    <col min="8" max="10" width="11.42578125" style="1"/>
    <col min="11" max="11" width="16.42578125" style="1" customWidth="1"/>
    <col min="12" max="16384" width="11.42578125" style="1"/>
  </cols>
  <sheetData>
    <row r="3" spans="2:28" ht="16.5" thickBot="1" x14ac:dyDescent="0.3"/>
    <row r="4" spans="2:28" ht="30.75" customHeight="1" thickBot="1" x14ac:dyDescent="0.3">
      <c r="B4" s="40" t="s">
        <v>0</v>
      </c>
      <c r="C4" s="41" t="s">
        <v>1</v>
      </c>
      <c r="D4" s="41" t="s">
        <v>2</v>
      </c>
      <c r="E4" s="41" t="s">
        <v>3</v>
      </c>
      <c r="F4" s="41" t="s">
        <v>4</v>
      </c>
      <c r="G4" s="40" t="s">
        <v>5</v>
      </c>
      <c r="H4" s="84" t="s">
        <v>6</v>
      </c>
      <c r="I4" s="85"/>
      <c r="J4" s="41" t="s">
        <v>7</v>
      </c>
      <c r="K4" s="41" t="s">
        <v>8</v>
      </c>
    </row>
    <row r="5" spans="2:28" ht="16.5" thickBot="1" x14ac:dyDescent="0.3">
      <c r="B5" s="35" t="s">
        <v>17</v>
      </c>
      <c r="C5" s="5">
        <f>(D5+E5)/2</f>
        <v>6.5</v>
      </c>
      <c r="D5" s="5">
        <v>7</v>
      </c>
      <c r="E5" s="5">
        <v>6</v>
      </c>
      <c r="F5" s="6">
        <v>3</v>
      </c>
      <c r="G5" s="7">
        <f>C5*F5</f>
        <v>19.5</v>
      </c>
      <c r="H5" s="76">
        <f>+AMAN!I6</f>
        <v>0</v>
      </c>
      <c r="I5" s="77"/>
      <c r="J5" s="8"/>
      <c r="K5" s="8" t="str">
        <f>IF(C5&lt;11,"NA",IF(C5&lt;15,"ECA",IF(C5&lt;18,"A",IF(C5&lt;20,"A+"))))</f>
        <v>NA</v>
      </c>
      <c r="N5" s="8">
        <f>D5*F5</f>
        <v>21</v>
      </c>
      <c r="O5" s="8">
        <f>E5*F5</f>
        <v>18</v>
      </c>
    </row>
    <row r="6" spans="2:28" ht="16.5" thickBot="1" x14ac:dyDescent="0.3">
      <c r="B6" s="35" t="s">
        <v>54</v>
      </c>
      <c r="C6" s="5">
        <f t="shared" ref="C6:C9" si="0">(D6+E6)/2</f>
        <v>2.35</v>
      </c>
      <c r="D6" s="5">
        <v>3</v>
      </c>
      <c r="E6" s="5">
        <v>1.7</v>
      </c>
      <c r="F6" s="6">
        <v>1</v>
      </c>
      <c r="G6" s="7">
        <f t="shared" ref="G6:G9" si="1">C6*F6</f>
        <v>2.35</v>
      </c>
      <c r="H6" s="76">
        <f>+AMAN!I7</f>
        <v>0</v>
      </c>
      <c r="I6" s="77"/>
      <c r="J6" s="8"/>
      <c r="K6" s="8" t="str">
        <f t="shared" ref="K6:K9" si="2">IF(C6&lt;11,"NA",IF(C6&lt;15,"ECA",IF(C6&lt;18,"A",IF(C6&lt;20,"A+"))))</f>
        <v>NA</v>
      </c>
      <c r="N6" s="8">
        <f t="shared" ref="N6:N9" si="3">D6*F6</f>
        <v>3</v>
      </c>
      <c r="O6" s="8">
        <f t="shared" ref="O6:O9" si="4">E6*F6</f>
        <v>1.7</v>
      </c>
    </row>
    <row r="7" spans="2:28" ht="16.5" thickBot="1" x14ac:dyDescent="0.3">
      <c r="B7" s="35" t="s">
        <v>50</v>
      </c>
      <c r="C7" s="5">
        <f t="shared" si="0"/>
        <v>7.8000000000000007</v>
      </c>
      <c r="D7" s="5">
        <v>6.2</v>
      </c>
      <c r="E7" s="5">
        <v>9.4</v>
      </c>
      <c r="F7" s="6">
        <v>2</v>
      </c>
      <c r="G7" s="7">
        <f t="shared" si="1"/>
        <v>15.600000000000001</v>
      </c>
      <c r="H7" s="76">
        <f>+AMAN!I9</f>
        <v>0</v>
      </c>
      <c r="I7" s="77"/>
      <c r="J7" s="8"/>
      <c r="K7" s="8" t="str">
        <f t="shared" si="2"/>
        <v>NA</v>
      </c>
      <c r="N7" s="8">
        <f t="shared" si="3"/>
        <v>12.4</v>
      </c>
      <c r="O7" s="8">
        <f t="shared" si="4"/>
        <v>18.8</v>
      </c>
    </row>
    <row r="8" spans="2:28" ht="16.5" thickBot="1" x14ac:dyDescent="0.3">
      <c r="B8" s="35" t="s">
        <v>51</v>
      </c>
      <c r="C8" s="5">
        <f t="shared" si="0"/>
        <v>9.1349999999999998</v>
      </c>
      <c r="D8" s="5">
        <v>10.67</v>
      </c>
      <c r="E8" s="5">
        <v>7.6</v>
      </c>
      <c r="F8" s="6">
        <v>1</v>
      </c>
      <c r="G8" s="7">
        <f t="shared" si="1"/>
        <v>9.1349999999999998</v>
      </c>
      <c r="H8" s="76">
        <f>+AMAN!I10</f>
        <v>0</v>
      </c>
      <c r="I8" s="77"/>
      <c r="J8" s="8"/>
      <c r="K8" s="8" t="str">
        <f t="shared" si="2"/>
        <v>NA</v>
      </c>
      <c r="N8" s="8">
        <f t="shared" si="3"/>
        <v>10.67</v>
      </c>
      <c r="O8" s="8">
        <f t="shared" si="4"/>
        <v>7.6</v>
      </c>
    </row>
    <row r="9" spans="2:28" ht="16.5" thickBot="1" x14ac:dyDescent="0.3">
      <c r="B9" s="35" t="s">
        <v>55</v>
      </c>
      <c r="C9" s="5">
        <f t="shared" si="0"/>
        <v>6.7249999999999996</v>
      </c>
      <c r="D9" s="5">
        <v>7</v>
      </c>
      <c r="E9" s="5">
        <v>6.45</v>
      </c>
      <c r="F9" s="6">
        <v>2</v>
      </c>
      <c r="G9" s="7">
        <f t="shared" si="1"/>
        <v>13.45</v>
      </c>
      <c r="H9" s="76" t="e">
        <f>+AMAN!#REF!</f>
        <v>#REF!</v>
      </c>
      <c r="I9" s="77"/>
      <c r="J9" s="8"/>
      <c r="K9" s="8" t="str">
        <f t="shared" si="2"/>
        <v>NA</v>
      </c>
      <c r="N9" s="8">
        <f t="shared" si="3"/>
        <v>14</v>
      </c>
      <c r="O9" s="8">
        <f t="shared" si="4"/>
        <v>12.9</v>
      </c>
    </row>
    <row r="10" spans="2:28" ht="16.5" thickBot="1" x14ac:dyDescent="0.3">
      <c r="B10" s="78" t="s">
        <v>58</v>
      </c>
      <c r="C10" s="79"/>
      <c r="D10" s="79"/>
      <c r="E10" s="79"/>
      <c r="F10" s="79"/>
      <c r="G10" s="79"/>
      <c r="H10" s="79"/>
      <c r="I10" s="79"/>
      <c r="J10" s="79"/>
      <c r="K10" s="80"/>
    </row>
    <row r="11" spans="2:28" ht="16.5" thickBot="1" x14ac:dyDescent="0.3">
      <c r="B11" s="9" t="s">
        <v>12</v>
      </c>
      <c r="C11" s="86">
        <f>(SUM(G5:G9)/SUM(F5:F9))</f>
        <v>6.6705555555555556</v>
      </c>
      <c r="D11" s="86"/>
      <c r="E11" s="86"/>
      <c r="F11" s="87" t="s">
        <v>13</v>
      </c>
      <c r="G11" s="87"/>
      <c r="H11" s="34"/>
      <c r="I11" s="88"/>
      <c r="J11" s="88"/>
      <c r="K11" s="89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2:28" ht="16.5" thickBot="1" x14ac:dyDescent="0.3">
      <c r="B12" s="81"/>
      <c r="C12" s="82"/>
      <c r="D12" s="82"/>
      <c r="E12" s="82"/>
      <c r="F12" s="82"/>
      <c r="G12" s="82"/>
      <c r="H12" s="82"/>
      <c r="I12" s="82"/>
      <c r="J12" s="82"/>
      <c r="K12" s="83"/>
    </row>
    <row r="13" spans="2:28" ht="16.5" thickBot="1" x14ac:dyDescent="0.3">
      <c r="B13" s="35" t="s">
        <v>47</v>
      </c>
      <c r="C13" s="5">
        <f t="shared" ref="C13:C16" si="5">(D13+E13)/2</f>
        <v>11.95</v>
      </c>
      <c r="D13" s="5">
        <v>11.95</v>
      </c>
      <c r="E13" s="8">
        <v>11.95</v>
      </c>
      <c r="F13" s="6">
        <v>1</v>
      </c>
      <c r="G13" s="7">
        <f t="shared" ref="G13:G16" si="6">C13*F13</f>
        <v>11.95</v>
      </c>
      <c r="H13" s="76">
        <f>+AMAN!I14</f>
        <v>0</v>
      </c>
      <c r="I13" s="77"/>
      <c r="J13" s="8"/>
      <c r="K13" s="8" t="str">
        <f>IF(C13&lt;11,"NA",IF(C13&lt;15,"ECA",IF(C13&lt;18,"A",IF(C13&lt;20,"A+"))))</f>
        <v>ECA</v>
      </c>
      <c r="N13" s="8">
        <f t="shared" ref="N13:N16" si="7">D13*F13</f>
        <v>11.95</v>
      </c>
      <c r="O13" s="8">
        <f t="shared" ref="O13:O16" si="8">E13*F13</f>
        <v>11.95</v>
      </c>
    </row>
    <row r="14" spans="2:28" ht="16.5" thickBot="1" x14ac:dyDescent="0.3">
      <c r="B14" s="35" t="s">
        <v>14</v>
      </c>
      <c r="C14" s="5">
        <f t="shared" si="5"/>
        <v>11.125</v>
      </c>
      <c r="D14" s="5">
        <v>12.25</v>
      </c>
      <c r="E14" s="8">
        <v>10</v>
      </c>
      <c r="F14" s="6">
        <v>1.5</v>
      </c>
      <c r="G14" s="7">
        <f t="shared" si="6"/>
        <v>16.6875</v>
      </c>
      <c r="H14" s="76">
        <f>+AMAN!I15</f>
        <v>0</v>
      </c>
      <c r="I14" s="77"/>
      <c r="J14" s="8"/>
      <c r="K14" s="8" t="str">
        <f t="shared" ref="K14:K16" si="9">IF(C14&lt;11,"NA",IF(C14&lt;15,"ECA",IF(C14&lt;18,"A",IF(C14&lt;20,"A+"))))</f>
        <v>ECA</v>
      </c>
      <c r="N14" s="8">
        <f t="shared" si="7"/>
        <v>18.375</v>
      </c>
      <c r="O14" s="8">
        <f t="shared" si="8"/>
        <v>15</v>
      </c>
    </row>
    <row r="15" spans="2:28" ht="16.5" thickBot="1" x14ac:dyDescent="0.3">
      <c r="B15" s="35" t="s">
        <v>15</v>
      </c>
      <c r="C15" s="5">
        <f t="shared" si="5"/>
        <v>7.75</v>
      </c>
      <c r="D15" s="5">
        <v>8</v>
      </c>
      <c r="E15" s="8">
        <v>7.5</v>
      </c>
      <c r="F15" s="6">
        <v>1.5</v>
      </c>
      <c r="G15" s="7">
        <f t="shared" si="6"/>
        <v>11.625</v>
      </c>
      <c r="H15" s="76">
        <f>+AMAN!I16</f>
        <v>0</v>
      </c>
      <c r="I15" s="77"/>
      <c r="J15" s="8"/>
      <c r="K15" s="8" t="str">
        <f t="shared" si="9"/>
        <v>NA</v>
      </c>
      <c r="N15" s="8">
        <f t="shared" si="7"/>
        <v>12</v>
      </c>
      <c r="O15" s="8">
        <f t="shared" si="8"/>
        <v>11.25</v>
      </c>
    </row>
    <row r="16" spans="2:28" ht="16.5" thickBot="1" x14ac:dyDescent="0.3">
      <c r="B16" s="35" t="s">
        <v>52</v>
      </c>
      <c r="C16" s="5">
        <f t="shared" si="5"/>
        <v>9.75</v>
      </c>
      <c r="D16" s="5">
        <v>8.5</v>
      </c>
      <c r="E16" s="8">
        <v>11</v>
      </c>
      <c r="F16" s="6">
        <v>1</v>
      </c>
      <c r="G16" s="7">
        <f t="shared" si="6"/>
        <v>9.75</v>
      </c>
      <c r="H16" s="76">
        <f>+AMAN!I17</f>
        <v>0</v>
      </c>
      <c r="I16" s="77"/>
      <c r="J16" s="8"/>
      <c r="K16" s="8" t="str">
        <f t="shared" si="9"/>
        <v>NA</v>
      </c>
      <c r="N16" s="8">
        <f t="shared" si="7"/>
        <v>8.5</v>
      </c>
      <c r="O16" s="8">
        <f t="shared" si="8"/>
        <v>11</v>
      </c>
    </row>
    <row r="17" spans="2:15" ht="16.5" thickBot="1" x14ac:dyDescent="0.3">
      <c r="B17" s="78" t="s">
        <v>59</v>
      </c>
      <c r="C17" s="79"/>
      <c r="D17" s="79"/>
      <c r="E17" s="79"/>
      <c r="F17" s="79"/>
      <c r="G17" s="79"/>
      <c r="H17" s="79"/>
      <c r="I17" s="79"/>
      <c r="J17" s="79"/>
      <c r="K17" s="80"/>
    </row>
    <row r="18" spans="2:15" ht="16.5" thickBot="1" x14ac:dyDescent="0.3">
      <c r="B18" s="9" t="s">
        <v>16</v>
      </c>
      <c r="C18" s="86">
        <f>(SUM(G13:G16)/SUM(F13:F16))</f>
        <v>10.002500000000001</v>
      </c>
      <c r="D18" s="86"/>
      <c r="E18" s="86"/>
      <c r="F18" s="87" t="s">
        <v>13</v>
      </c>
      <c r="G18" s="87"/>
      <c r="H18" s="34"/>
      <c r="I18" s="88"/>
      <c r="J18" s="88"/>
      <c r="K18" s="89"/>
    </row>
    <row r="19" spans="2:15" ht="16.5" thickBot="1" x14ac:dyDescent="0.3">
      <c r="B19" s="92"/>
      <c r="C19" s="93"/>
      <c r="D19" s="93"/>
      <c r="E19" s="93"/>
      <c r="F19" s="93"/>
      <c r="G19" s="93"/>
      <c r="H19" s="93"/>
      <c r="I19" s="93"/>
      <c r="J19" s="93"/>
      <c r="K19" s="94"/>
    </row>
    <row r="20" spans="2:15" ht="16.5" thickBot="1" x14ac:dyDescent="0.3">
      <c r="B20" s="35" t="s">
        <v>9</v>
      </c>
      <c r="C20" s="5">
        <f t="shared" ref="C20:C23" si="10">(D20+E20)/2</f>
        <v>12.8</v>
      </c>
      <c r="D20" s="5">
        <v>13.15</v>
      </c>
      <c r="E20" s="8">
        <v>12.45</v>
      </c>
      <c r="F20" s="6">
        <v>2</v>
      </c>
      <c r="G20" s="7">
        <f t="shared" ref="G20:G23" si="11">C20*F20</f>
        <v>25.6</v>
      </c>
      <c r="H20" s="76">
        <f>+AMAN!I21</f>
        <v>0</v>
      </c>
      <c r="I20" s="77"/>
      <c r="J20" s="8"/>
      <c r="K20" s="8" t="str">
        <f t="shared" ref="K20:K23" si="12">IF(C20&lt;11,"NA",IF(C20&lt;15,"ECA",IF(C20&lt;18,"A",IF(C20&lt;20,"A+"))))</f>
        <v>ECA</v>
      </c>
      <c r="N20" s="8">
        <f t="shared" ref="N20:N23" si="13">D20*F20</f>
        <v>26.3</v>
      </c>
      <c r="O20" s="8">
        <f t="shared" ref="O20:O23" si="14">E20*F20</f>
        <v>24.9</v>
      </c>
    </row>
    <row r="21" spans="2:15" ht="16.5" thickBot="1" x14ac:dyDescent="0.3">
      <c r="B21" s="35" t="s">
        <v>10</v>
      </c>
      <c r="C21" s="5">
        <f t="shared" si="10"/>
        <v>9.0249999999999986</v>
      </c>
      <c r="D21" s="5">
        <v>10.029999999999999</v>
      </c>
      <c r="E21" s="8">
        <v>8.02</v>
      </c>
      <c r="F21" s="6">
        <v>4</v>
      </c>
      <c r="G21" s="7">
        <f t="shared" si="11"/>
        <v>36.099999999999994</v>
      </c>
      <c r="H21" s="76">
        <f>+AMAN!I22</f>
        <v>0</v>
      </c>
      <c r="I21" s="77"/>
      <c r="J21" s="8"/>
      <c r="K21" s="8" t="str">
        <f t="shared" si="12"/>
        <v>NA</v>
      </c>
      <c r="N21" s="8">
        <f t="shared" si="13"/>
        <v>40.119999999999997</v>
      </c>
      <c r="O21" s="8">
        <f t="shared" si="14"/>
        <v>32.08</v>
      </c>
    </row>
    <row r="22" spans="2:15" ht="16.5" thickBot="1" x14ac:dyDescent="0.3">
      <c r="B22" s="35" t="s">
        <v>56</v>
      </c>
      <c r="C22" s="5">
        <f t="shared" si="10"/>
        <v>9.4750000000000014</v>
      </c>
      <c r="D22" s="5">
        <v>10.8</v>
      </c>
      <c r="E22" s="8">
        <v>8.15</v>
      </c>
      <c r="F22" s="6">
        <v>2</v>
      </c>
      <c r="G22" s="7">
        <f t="shared" si="11"/>
        <v>18.950000000000003</v>
      </c>
      <c r="H22" s="76">
        <f>+AMAN!I23</f>
        <v>0</v>
      </c>
      <c r="I22" s="77"/>
      <c r="J22" s="8"/>
      <c r="K22" s="8" t="str">
        <f t="shared" si="12"/>
        <v>NA</v>
      </c>
      <c r="N22" s="8">
        <f t="shared" si="13"/>
        <v>21.6</v>
      </c>
      <c r="O22" s="8">
        <f t="shared" si="14"/>
        <v>16.3</v>
      </c>
    </row>
    <row r="23" spans="2:15" ht="16.5" thickBot="1" x14ac:dyDescent="0.3">
      <c r="B23" s="35" t="s">
        <v>11</v>
      </c>
      <c r="C23" s="5">
        <f t="shared" si="10"/>
        <v>11.55</v>
      </c>
      <c r="D23" s="5">
        <v>12.95</v>
      </c>
      <c r="E23" s="8">
        <v>10.15</v>
      </c>
      <c r="F23" s="6">
        <v>2</v>
      </c>
      <c r="G23" s="7">
        <f t="shared" si="11"/>
        <v>23.1</v>
      </c>
      <c r="H23" s="76">
        <f>+AMAN!I24</f>
        <v>0</v>
      </c>
      <c r="I23" s="77"/>
      <c r="J23" s="8"/>
      <c r="K23" s="8" t="str">
        <f t="shared" si="12"/>
        <v>ECA</v>
      </c>
      <c r="N23" s="8">
        <f t="shared" si="13"/>
        <v>25.9</v>
      </c>
      <c r="O23" s="8">
        <f t="shared" si="14"/>
        <v>20.3</v>
      </c>
    </row>
    <row r="24" spans="2:15" ht="16.5" thickBot="1" x14ac:dyDescent="0.3">
      <c r="B24" s="78" t="s">
        <v>60</v>
      </c>
      <c r="C24" s="79"/>
      <c r="D24" s="79"/>
      <c r="E24" s="79"/>
      <c r="F24" s="79"/>
      <c r="G24" s="79"/>
      <c r="H24" s="79"/>
      <c r="I24" s="79"/>
      <c r="J24" s="79"/>
      <c r="K24" s="80"/>
    </row>
    <row r="25" spans="2:15" ht="16.5" thickBot="1" x14ac:dyDescent="0.3">
      <c r="B25" s="9" t="s">
        <v>12</v>
      </c>
      <c r="C25" s="86">
        <f>(SUM(G20:G23)/SUM(F20:F23))</f>
        <v>10.375</v>
      </c>
      <c r="D25" s="86"/>
      <c r="E25" s="86"/>
      <c r="F25" s="87" t="s">
        <v>13</v>
      </c>
      <c r="G25" s="87"/>
      <c r="H25" s="34"/>
      <c r="I25" s="88"/>
      <c r="J25" s="88"/>
      <c r="K25" s="89"/>
    </row>
    <row r="26" spans="2:15" ht="16.5" thickBot="1" x14ac:dyDescent="0.3">
      <c r="B26" s="81"/>
      <c r="C26" s="82"/>
      <c r="D26" s="82"/>
      <c r="E26" s="82"/>
      <c r="F26" s="82"/>
      <c r="G26" s="82"/>
      <c r="H26" s="100"/>
      <c r="I26" s="100"/>
      <c r="J26" s="100"/>
      <c r="K26" s="83"/>
    </row>
    <row r="27" spans="2:15" ht="16.5" thickBot="1" x14ac:dyDescent="0.3">
      <c r="B27" s="35" t="s">
        <v>53</v>
      </c>
      <c r="C27" s="5">
        <f t="shared" ref="C27:C30" si="15">(D27+E27)/2</f>
        <v>14</v>
      </c>
      <c r="D27" s="5">
        <v>14</v>
      </c>
      <c r="E27" s="5">
        <v>14</v>
      </c>
      <c r="F27" s="6">
        <v>1</v>
      </c>
      <c r="G27" s="7">
        <f t="shared" ref="G27:G30" si="16">C27*F27</f>
        <v>14</v>
      </c>
      <c r="H27" s="76">
        <f>+AMAN!I28</f>
        <v>0</v>
      </c>
      <c r="I27" s="77"/>
      <c r="J27" s="8"/>
      <c r="K27" s="8" t="str">
        <f t="shared" ref="K27:K30" si="17">IF(C27&lt;11,"NA",IF(C27&lt;15,"ECA",IF(C27&lt;18,"A",IF(C27&lt;20,"A+"))))</f>
        <v>ECA</v>
      </c>
      <c r="N27" s="8">
        <f t="shared" ref="N27:N30" si="18">D27*F27</f>
        <v>14</v>
      </c>
      <c r="O27" s="8">
        <f t="shared" ref="O27:O30" si="19">E27*F27</f>
        <v>14</v>
      </c>
    </row>
    <row r="28" spans="2:15" ht="16.5" thickBot="1" x14ac:dyDescent="0.3">
      <c r="B28" s="35" t="s">
        <v>48</v>
      </c>
      <c r="C28" s="5">
        <f t="shared" si="15"/>
        <v>14.75</v>
      </c>
      <c r="D28" s="5">
        <v>15.5</v>
      </c>
      <c r="E28" s="5">
        <v>14</v>
      </c>
      <c r="F28" s="6">
        <v>2</v>
      </c>
      <c r="G28" s="7">
        <f t="shared" si="16"/>
        <v>29.5</v>
      </c>
      <c r="H28" s="76">
        <f>+AMAN!I29</f>
        <v>0</v>
      </c>
      <c r="I28" s="77"/>
      <c r="J28" s="8"/>
      <c r="K28" s="8" t="str">
        <f t="shared" si="17"/>
        <v>ECA</v>
      </c>
      <c r="N28" s="8">
        <f t="shared" si="18"/>
        <v>31</v>
      </c>
      <c r="O28" s="8">
        <f t="shared" si="19"/>
        <v>28</v>
      </c>
    </row>
    <row r="29" spans="2:15" ht="16.5" thickBot="1" x14ac:dyDescent="0.3">
      <c r="B29" s="35" t="s">
        <v>49</v>
      </c>
      <c r="C29" s="5">
        <f t="shared" si="15"/>
        <v>13.5</v>
      </c>
      <c r="D29" s="5">
        <v>15</v>
      </c>
      <c r="E29" s="5">
        <v>12</v>
      </c>
      <c r="F29" s="6">
        <v>1</v>
      </c>
      <c r="G29" s="7">
        <f t="shared" si="16"/>
        <v>13.5</v>
      </c>
      <c r="H29" s="76">
        <f>+AMAN!I30</f>
        <v>0</v>
      </c>
      <c r="I29" s="77"/>
      <c r="J29" s="8"/>
      <c r="K29" s="8" t="str">
        <f t="shared" si="17"/>
        <v>ECA</v>
      </c>
      <c r="N29" s="8">
        <f t="shared" si="18"/>
        <v>15</v>
      </c>
      <c r="O29" s="8">
        <f t="shared" si="19"/>
        <v>12</v>
      </c>
    </row>
    <row r="30" spans="2:15" ht="16.5" thickBot="1" x14ac:dyDescent="0.3">
      <c r="B30" s="35" t="s">
        <v>18</v>
      </c>
      <c r="C30" s="5">
        <f t="shared" si="15"/>
        <v>14.5</v>
      </c>
      <c r="D30" s="5">
        <v>13</v>
      </c>
      <c r="E30" s="5">
        <v>16</v>
      </c>
      <c r="F30" s="6">
        <v>1</v>
      </c>
      <c r="G30" s="7">
        <f t="shared" si="16"/>
        <v>14.5</v>
      </c>
      <c r="H30" s="76">
        <f>+AMAN!I31</f>
        <v>0</v>
      </c>
      <c r="I30" s="77"/>
      <c r="J30" s="8"/>
      <c r="K30" s="8" t="str">
        <f t="shared" si="17"/>
        <v>ECA</v>
      </c>
      <c r="N30" s="8">
        <f t="shared" si="18"/>
        <v>13</v>
      </c>
      <c r="O30" s="8">
        <f t="shared" si="19"/>
        <v>16</v>
      </c>
    </row>
    <row r="31" spans="2:15" ht="16.5" thickBot="1" x14ac:dyDescent="0.3">
      <c r="B31" s="35" t="s">
        <v>57</v>
      </c>
      <c r="C31" s="36"/>
      <c r="D31" s="36"/>
      <c r="E31" s="36"/>
      <c r="F31" s="36"/>
      <c r="G31" s="36"/>
      <c r="H31" s="36"/>
      <c r="I31" s="36"/>
      <c r="J31" s="36"/>
      <c r="K31" s="37"/>
      <c r="N31" s="1">
        <f>SUM(N5:N30)</f>
        <v>298.815</v>
      </c>
      <c r="O31" s="1">
        <f>SUM(O5:O30)</f>
        <v>271.78000000000003</v>
      </c>
    </row>
    <row r="32" spans="2:15" ht="16.5" thickBot="1" x14ac:dyDescent="0.3">
      <c r="B32" s="9" t="s">
        <v>16</v>
      </c>
      <c r="C32" s="86">
        <f>(SUM(G27:G30)/SUM(F27:F30))</f>
        <v>14.3</v>
      </c>
      <c r="D32" s="86"/>
      <c r="E32" s="86"/>
      <c r="F32" s="87" t="s">
        <v>13</v>
      </c>
      <c r="G32" s="87"/>
      <c r="H32" s="34"/>
      <c r="I32" s="88"/>
      <c r="J32" s="88"/>
      <c r="K32" s="89"/>
      <c r="N32" s="1">
        <v>29</v>
      </c>
      <c r="O32" s="1">
        <v>29</v>
      </c>
    </row>
    <row r="33" spans="2:15" ht="16.5" thickBot="1" x14ac:dyDescent="0.3">
      <c r="B33" s="81"/>
      <c r="C33" s="82"/>
      <c r="D33" s="82"/>
      <c r="E33" s="82"/>
      <c r="F33" s="82"/>
      <c r="G33" s="82"/>
      <c r="H33" s="82"/>
      <c r="I33" s="82"/>
      <c r="J33" s="82"/>
      <c r="K33" s="83"/>
      <c r="N33" s="1">
        <f>N31/N32</f>
        <v>10.303965517241378</v>
      </c>
      <c r="O33" s="1">
        <f>O31/O32</f>
        <v>9.3717241379310359</v>
      </c>
    </row>
    <row r="34" spans="2:15" s="17" customFormat="1" ht="48" thickBot="1" x14ac:dyDescent="0.3">
      <c r="B34" s="35" t="s">
        <v>19</v>
      </c>
      <c r="C34" s="49" t="s">
        <v>20</v>
      </c>
      <c r="D34" s="48">
        <v>8.59</v>
      </c>
      <c r="E34" s="50" t="s">
        <v>21</v>
      </c>
      <c r="F34" s="88">
        <v>10.41</v>
      </c>
      <c r="G34" s="88"/>
      <c r="H34" s="50" t="s">
        <v>22</v>
      </c>
      <c r="I34" s="88">
        <v>7.21</v>
      </c>
      <c r="J34" s="88"/>
      <c r="K34" s="39"/>
    </row>
    <row r="35" spans="2:15" x14ac:dyDescent="0.25">
      <c r="B35" s="18"/>
      <c r="C35" s="19" t="s">
        <v>2</v>
      </c>
      <c r="D35" s="19" t="s">
        <v>3</v>
      </c>
      <c r="E35" s="20"/>
      <c r="F35" s="20"/>
      <c r="G35" s="21"/>
      <c r="H35" s="101"/>
      <c r="I35" s="100"/>
      <c r="J35" s="100"/>
      <c r="K35" s="102"/>
    </row>
    <row r="36" spans="2:15" x14ac:dyDescent="0.25">
      <c r="B36" s="22" t="s">
        <v>23</v>
      </c>
      <c r="C36" s="23">
        <f>N33</f>
        <v>10.303965517241378</v>
      </c>
      <c r="D36" s="23">
        <f>O33</f>
        <v>9.3717241379310359</v>
      </c>
      <c r="E36" s="32" t="s">
        <v>24</v>
      </c>
      <c r="F36" s="25">
        <f>(G5+G6+G7+G8+G9+G13+G14+G15+G20+G16+G21+G22+G23+G27+G28+G29+G30)/29</f>
        <v>9.837844827586208</v>
      </c>
      <c r="G36" s="24" t="s">
        <v>25</v>
      </c>
      <c r="H36" s="103" t="s">
        <v>26</v>
      </c>
      <c r="I36" s="104"/>
      <c r="J36" s="26"/>
      <c r="K36" s="27" t="s">
        <v>25</v>
      </c>
    </row>
    <row r="37" spans="2:15" ht="16.5" thickBot="1" x14ac:dyDescent="0.3">
      <c r="B37" s="95"/>
      <c r="C37" s="96"/>
      <c r="D37" s="96"/>
      <c r="E37" s="96"/>
      <c r="F37" s="96"/>
      <c r="G37" s="96"/>
      <c r="H37" s="97"/>
      <c r="I37" s="98"/>
      <c r="J37" s="98"/>
      <c r="K37" s="99"/>
    </row>
    <row r="38" spans="2:15" ht="16.5" thickBot="1" x14ac:dyDescent="0.3">
      <c r="B38" s="105" t="s">
        <v>27</v>
      </c>
      <c r="C38" s="106"/>
      <c r="D38" s="106"/>
      <c r="E38" s="106"/>
      <c r="F38" s="106"/>
      <c r="G38" s="106"/>
      <c r="H38" s="106"/>
      <c r="I38" s="106"/>
      <c r="J38" s="106"/>
      <c r="K38" s="107"/>
    </row>
    <row r="39" spans="2:15" ht="16.5" thickBot="1" x14ac:dyDescent="0.3">
      <c r="B39" s="108" t="s">
        <v>28</v>
      </c>
      <c r="C39" s="88"/>
      <c r="D39" s="88"/>
      <c r="E39" s="88"/>
      <c r="F39" s="88"/>
      <c r="G39" s="88"/>
      <c r="H39" s="88"/>
      <c r="I39" s="88"/>
      <c r="J39" s="88"/>
      <c r="K39" s="89"/>
    </row>
    <row r="40" spans="2:15" ht="16.5" thickBot="1" x14ac:dyDescent="0.3">
      <c r="B40" s="35" t="s">
        <v>29</v>
      </c>
      <c r="C40" s="81" t="s">
        <v>30</v>
      </c>
      <c r="D40" s="82"/>
      <c r="E40" s="83"/>
      <c r="F40" s="109" t="s">
        <v>31</v>
      </c>
      <c r="G40" s="110"/>
      <c r="H40" s="110"/>
      <c r="I40" s="110"/>
      <c r="J40" s="110"/>
      <c r="K40" s="111"/>
    </row>
    <row r="41" spans="2:15" ht="16.5" thickBot="1" x14ac:dyDescent="0.3">
      <c r="B41" s="42" t="s">
        <v>32</v>
      </c>
      <c r="C41" s="110" t="str">
        <f>IF(F36&lt;11,"NA",IF(F36&lt;15,"ECA",IF(F36&lt;18,"A",IF(F36&lt;20,"A+"))))</f>
        <v>NA</v>
      </c>
      <c r="D41" s="110" t="e">
        <f>IF(#REF!&lt;11,"NA",IF(#REF!&lt;15,"ECA",IF(#REF!&lt;18,"A",IF(#REF!&lt;20,"A+"))))</f>
        <v>#REF!</v>
      </c>
      <c r="E41" s="111" t="e">
        <f>IF(#REF!&lt;11,"NA",IF(#REF!&lt;15,"ECA",IF(#REF!&lt;18,"A",IF(#REF!&lt;20,"A+"))))</f>
        <v>#REF!</v>
      </c>
      <c r="F41" s="112"/>
      <c r="G41" s="113"/>
      <c r="H41" s="113"/>
      <c r="I41" s="113"/>
      <c r="J41" s="113"/>
      <c r="K41" s="114"/>
    </row>
    <row r="42" spans="2:15" ht="16.5" thickBot="1" x14ac:dyDescent="0.3">
      <c r="B42" s="43" t="s">
        <v>33</v>
      </c>
      <c r="C42" s="115" t="e">
        <f>IF(#REF!&lt;11,"NA",IF(#REF!&lt;15,"ECA",IF(#REF!&lt;18,"A",IF(#REF!&lt;20,"A+"))))</f>
        <v>#REF!</v>
      </c>
      <c r="D42" s="116" t="e">
        <f>IF(#REF!&lt;11,"NA",IF(#REF!&lt;15,"ECA",IF(#REF!&lt;18,"A",IF(#REF!&lt;20,"A+"))))</f>
        <v>#REF!</v>
      </c>
      <c r="E42" s="117" t="e">
        <f>IF(#REF!&lt;11,"NA",IF(#REF!&lt;15,"ECA",IF(#REF!&lt;18,"A",IF(#REF!&lt;20,"A+"))))</f>
        <v>#REF!</v>
      </c>
      <c r="F42" s="108" t="s">
        <v>34</v>
      </c>
      <c r="G42" s="88"/>
      <c r="H42" s="88"/>
      <c r="I42" s="89"/>
      <c r="J42" s="109" t="s">
        <v>35</v>
      </c>
      <c r="K42" s="111"/>
    </row>
    <row r="43" spans="2:15" ht="16.5" thickBot="1" x14ac:dyDescent="0.3">
      <c r="B43" s="29" t="s">
        <v>36</v>
      </c>
      <c r="C43" s="112" t="e">
        <f>IF(#REF!&lt;11,"NA",IF(#REF!&lt;15,"ECA",IF(#REF!&lt;18,"A",IF(#REF!&lt;20,"A+"))))</f>
        <v>#REF!</v>
      </c>
      <c r="D43" s="113" t="e">
        <f>IF(#REF!&lt;11,"NA",IF(#REF!&lt;15,"ECA",IF(#REF!&lt;18,"A",IF(#REF!&lt;20,"A+"))))</f>
        <v>#REF!</v>
      </c>
      <c r="E43" s="114" t="e">
        <f>IF(#REF!&lt;11,"NA",IF(#REF!&lt;15,"ECA",IF(#REF!&lt;18,"A",IF(#REF!&lt;20,"A+"))))</f>
        <v>#REF!</v>
      </c>
      <c r="F43" s="108" t="s">
        <v>37</v>
      </c>
      <c r="G43" s="88"/>
      <c r="H43" s="88"/>
      <c r="I43" s="89"/>
      <c r="J43" s="118" t="s">
        <v>38</v>
      </c>
      <c r="K43" s="119"/>
    </row>
    <row r="44" spans="2:15" ht="16.5" thickBot="1" x14ac:dyDescent="0.3">
      <c r="B44" s="38" t="s">
        <v>39</v>
      </c>
      <c r="C44" s="109" t="s">
        <v>40</v>
      </c>
      <c r="D44" s="110"/>
      <c r="E44" s="111"/>
      <c r="F44" s="108" t="s">
        <v>41</v>
      </c>
      <c r="G44" s="88"/>
      <c r="H44" s="88"/>
      <c r="I44" s="89"/>
      <c r="J44" s="118"/>
      <c r="K44" s="119"/>
    </row>
    <row r="45" spans="2:15" ht="16.5" thickBot="1" x14ac:dyDescent="0.3">
      <c r="B45" s="38" t="s">
        <v>42</v>
      </c>
      <c r="C45" s="112"/>
      <c r="D45" s="113"/>
      <c r="E45" s="114"/>
      <c r="F45" s="108" t="s">
        <v>43</v>
      </c>
      <c r="G45" s="88"/>
      <c r="H45" s="88"/>
      <c r="I45" s="89"/>
      <c r="J45" s="120" t="s">
        <v>44</v>
      </c>
      <c r="K45" s="121"/>
    </row>
    <row r="46" spans="2:15" ht="31.5" x14ac:dyDescent="0.25">
      <c r="B46" s="35" t="s">
        <v>45</v>
      </c>
      <c r="C46" s="101"/>
      <c r="D46" s="100"/>
      <c r="E46" s="102"/>
      <c r="F46" s="101"/>
      <c r="G46" s="100"/>
      <c r="H46" s="100"/>
      <c r="I46" s="102"/>
      <c r="J46" s="120" t="s">
        <v>46</v>
      </c>
      <c r="K46" s="121"/>
    </row>
    <row r="47" spans="2:15" x14ac:dyDescent="0.25">
      <c r="B47" s="28"/>
      <c r="C47" s="122"/>
      <c r="D47" s="123"/>
      <c r="E47" s="124"/>
      <c r="F47" s="122"/>
      <c r="G47" s="123"/>
      <c r="H47" s="123"/>
      <c r="I47" s="124"/>
      <c r="J47" s="128"/>
      <c r="K47" s="129"/>
    </row>
    <row r="48" spans="2:15" x14ac:dyDescent="0.25">
      <c r="B48" s="28"/>
      <c r="C48" s="122"/>
      <c r="D48" s="123"/>
      <c r="E48" s="124"/>
      <c r="F48" s="122"/>
      <c r="G48" s="123"/>
      <c r="H48" s="123"/>
      <c r="I48" s="124"/>
      <c r="J48" s="128"/>
      <c r="K48" s="129"/>
    </row>
    <row r="49" spans="2:11" ht="16.5" thickBot="1" x14ac:dyDescent="0.3">
      <c r="B49" s="29"/>
      <c r="C49" s="125"/>
      <c r="D49" s="126"/>
      <c r="E49" s="127"/>
      <c r="F49" s="125"/>
      <c r="G49" s="126"/>
      <c r="H49" s="126"/>
      <c r="I49" s="127"/>
      <c r="J49" s="97"/>
      <c r="K49" s="99"/>
    </row>
  </sheetData>
  <mergeCells count="63">
    <mergeCell ref="J49:K49"/>
    <mergeCell ref="C44:E45"/>
    <mergeCell ref="F44:I44"/>
    <mergeCell ref="J44:K44"/>
    <mergeCell ref="F45:I45"/>
    <mergeCell ref="J45:K45"/>
    <mergeCell ref="C46:E49"/>
    <mergeCell ref="F46:I49"/>
    <mergeCell ref="J46:K46"/>
    <mergeCell ref="J47:K47"/>
    <mergeCell ref="J48:K48"/>
    <mergeCell ref="B38:K38"/>
    <mergeCell ref="B39:K39"/>
    <mergeCell ref="C40:E40"/>
    <mergeCell ref="F40:K41"/>
    <mergeCell ref="C41:E43"/>
    <mergeCell ref="F42:I42"/>
    <mergeCell ref="J42:K42"/>
    <mergeCell ref="F43:I43"/>
    <mergeCell ref="J43:K43"/>
    <mergeCell ref="F34:G34"/>
    <mergeCell ref="I34:J34"/>
    <mergeCell ref="H35:K35"/>
    <mergeCell ref="H36:I36"/>
    <mergeCell ref="B37:G37"/>
    <mergeCell ref="H37:K37"/>
    <mergeCell ref="B33:K33"/>
    <mergeCell ref="C25:E25"/>
    <mergeCell ref="F25:G25"/>
    <mergeCell ref="I25:K25"/>
    <mergeCell ref="B26:K26"/>
    <mergeCell ref="H27:I27"/>
    <mergeCell ref="H28:I28"/>
    <mergeCell ref="H29:I29"/>
    <mergeCell ref="H30:I30"/>
    <mergeCell ref="C32:E32"/>
    <mergeCell ref="F32:G32"/>
    <mergeCell ref="I32:K32"/>
    <mergeCell ref="B24:K24"/>
    <mergeCell ref="H14:I14"/>
    <mergeCell ref="H15:I15"/>
    <mergeCell ref="H16:I16"/>
    <mergeCell ref="B17:K17"/>
    <mergeCell ref="C18:E18"/>
    <mergeCell ref="F18:G18"/>
    <mergeCell ref="I18:K18"/>
    <mergeCell ref="B19:K19"/>
    <mergeCell ref="H20:I20"/>
    <mergeCell ref="H21:I21"/>
    <mergeCell ref="H22:I22"/>
    <mergeCell ref="H23:I23"/>
    <mergeCell ref="H13:I13"/>
    <mergeCell ref="H4:I4"/>
    <mergeCell ref="H5:I5"/>
    <mergeCell ref="H6:I6"/>
    <mergeCell ref="H7:I7"/>
    <mergeCell ref="H8:I8"/>
    <mergeCell ref="H9:I9"/>
    <mergeCell ref="B10:K10"/>
    <mergeCell ref="C11:E11"/>
    <mergeCell ref="F11:G11"/>
    <mergeCell ref="I11:K11"/>
    <mergeCell ref="B12:K1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C50"/>
  <sheetViews>
    <sheetView tabSelected="1" topLeftCell="A30" zoomScale="60" zoomScaleNormal="60" workbookViewId="0">
      <selection activeCell="B4" sqref="B4:L50"/>
    </sheetView>
  </sheetViews>
  <sheetFormatPr baseColWidth="10" defaultColWidth="11.42578125" defaultRowHeight="15.75" x14ac:dyDescent="0.25"/>
  <cols>
    <col min="1" max="1" width="11.42578125" style="1"/>
    <col min="2" max="2" width="44.140625" style="1" customWidth="1"/>
    <col min="3" max="3" width="12.140625" style="1" customWidth="1"/>
    <col min="4" max="5" width="11.42578125" style="1"/>
    <col min="6" max="6" width="15.5703125" style="1" customWidth="1"/>
    <col min="7" max="7" width="11.42578125" style="1"/>
    <col min="8" max="8" width="12.42578125" style="1" customWidth="1"/>
    <col min="9" max="11" width="11.42578125" style="1"/>
    <col min="12" max="12" width="18.28515625" style="1" bestFit="1" customWidth="1"/>
    <col min="13" max="16384" width="11.42578125" style="1"/>
  </cols>
  <sheetData>
    <row r="3" spans="2:29" ht="16.5" thickBot="1" x14ac:dyDescent="0.3"/>
    <row r="4" spans="2:29" ht="30.75" customHeight="1" thickBot="1" x14ac:dyDescent="0.3">
      <c r="B4" s="59" t="s">
        <v>0</v>
      </c>
      <c r="C4" s="68" t="s">
        <v>68</v>
      </c>
      <c r="D4" s="68" t="s">
        <v>1</v>
      </c>
      <c r="E4" s="68" t="s">
        <v>63</v>
      </c>
      <c r="F4" s="68" t="s">
        <v>64</v>
      </c>
      <c r="G4" s="68" t="s">
        <v>4</v>
      </c>
      <c r="H4" s="67" t="s">
        <v>5</v>
      </c>
      <c r="I4" s="84" t="s">
        <v>6</v>
      </c>
      <c r="J4" s="85"/>
      <c r="K4" s="68" t="s">
        <v>7</v>
      </c>
      <c r="L4" s="68" t="s">
        <v>8</v>
      </c>
    </row>
    <row r="5" spans="2:29" ht="18" customHeight="1" thickBot="1" x14ac:dyDescent="0.3">
      <c r="B5" s="60" t="s">
        <v>85</v>
      </c>
      <c r="C5" s="5">
        <f>F5</f>
        <v>13.74</v>
      </c>
      <c r="D5" s="73">
        <v>14</v>
      </c>
      <c r="E5" s="73">
        <v>15.5</v>
      </c>
      <c r="F5" s="5">
        <v>13.74</v>
      </c>
      <c r="G5" s="61">
        <v>1</v>
      </c>
      <c r="H5" s="7">
        <f>C5*G5</f>
        <v>13.74</v>
      </c>
      <c r="I5" s="67"/>
      <c r="J5" s="68"/>
      <c r="K5" s="58"/>
      <c r="L5" s="8" t="str">
        <f>IF(C5&lt;11,"NA",IF(C5&lt;15,"ECA",IF(C5&lt;18,"A",IF(C5&lt;20,"A+"))))</f>
        <v>ECA</v>
      </c>
      <c r="O5" s="8">
        <f>D5*G5</f>
        <v>14</v>
      </c>
      <c r="P5" s="8">
        <f>E5*G5</f>
        <v>15.5</v>
      </c>
      <c r="Q5" s="8">
        <f>G5*F5</f>
        <v>13.74</v>
      </c>
    </row>
    <row r="6" spans="2:29" ht="16.5" thickBot="1" x14ac:dyDescent="0.3">
      <c r="B6" s="64" t="s">
        <v>17</v>
      </c>
      <c r="C6" s="5">
        <f t="shared" ref="C6:C10" si="0">(D6+F6+E6)/3</f>
        <v>12.299999999999999</v>
      </c>
      <c r="D6" s="5">
        <v>13.7</v>
      </c>
      <c r="E6" s="5">
        <v>10.4</v>
      </c>
      <c r="F6" s="5">
        <v>12.8</v>
      </c>
      <c r="G6" s="6">
        <v>3</v>
      </c>
      <c r="H6" s="7">
        <f>C6*G6</f>
        <v>36.9</v>
      </c>
      <c r="I6" s="76"/>
      <c r="J6" s="77"/>
      <c r="K6" s="8"/>
      <c r="L6" s="8" t="str">
        <f>IF(C6&lt;11,"NA",IF(C6&lt;15,"ECA",IF(C6&lt;18,"A",IF(C6&lt;20,"A+"))))</f>
        <v>ECA</v>
      </c>
      <c r="O6" s="8">
        <f>D6*G6</f>
        <v>41.099999999999994</v>
      </c>
      <c r="P6" s="8">
        <f t="shared" ref="P6:P10" si="1">E6*G6</f>
        <v>31.200000000000003</v>
      </c>
      <c r="Q6" s="8">
        <f t="shared" ref="Q6:Q10" si="2">G6*F6</f>
        <v>38.400000000000006</v>
      </c>
    </row>
    <row r="7" spans="2:29" ht="16.5" thickBot="1" x14ac:dyDescent="0.3">
      <c r="B7" s="64" t="s">
        <v>54</v>
      </c>
      <c r="C7" s="5">
        <f t="shared" si="0"/>
        <v>10.766666666666666</v>
      </c>
      <c r="D7" s="5">
        <v>14.7</v>
      </c>
      <c r="E7" s="5">
        <v>11.3</v>
      </c>
      <c r="F7" s="5">
        <v>6.3</v>
      </c>
      <c r="G7" s="6">
        <v>1</v>
      </c>
      <c r="H7" s="7">
        <f t="shared" ref="H7:H10" si="3">C7*G7</f>
        <v>10.766666666666666</v>
      </c>
      <c r="I7" s="76"/>
      <c r="J7" s="77"/>
      <c r="K7" s="8"/>
      <c r="L7" s="8" t="str">
        <f t="shared" ref="L7:L10" si="4">IF(C7&lt;11,"NA",IF(C7&lt;15,"ECA",IF(C7&lt;18,"A",IF(C7&lt;20,"A+"))))</f>
        <v>NA</v>
      </c>
      <c r="O7" s="8">
        <f t="shared" ref="O7:O10" si="5">D7*G7</f>
        <v>14.7</v>
      </c>
      <c r="P7" s="8">
        <f t="shared" si="1"/>
        <v>11.3</v>
      </c>
      <c r="Q7" s="8">
        <f t="shared" si="2"/>
        <v>6.3</v>
      </c>
    </row>
    <row r="8" spans="2:29" ht="16.5" thickBot="1" x14ac:dyDescent="0.3">
      <c r="B8" s="64" t="s">
        <v>62</v>
      </c>
      <c r="C8" s="5">
        <f>F8</f>
        <v>14.5</v>
      </c>
      <c r="D8" s="5"/>
      <c r="E8" s="5"/>
      <c r="F8" s="5">
        <v>14.5</v>
      </c>
      <c r="G8" s="6">
        <v>2</v>
      </c>
      <c r="H8" s="7">
        <f t="shared" si="3"/>
        <v>29</v>
      </c>
      <c r="I8" s="62"/>
      <c r="J8" s="63"/>
      <c r="K8" s="8"/>
      <c r="L8" s="8" t="str">
        <f t="shared" si="4"/>
        <v>ECA</v>
      </c>
      <c r="O8" s="8">
        <f t="shared" si="5"/>
        <v>0</v>
      </c>
      <c r="P8" s="8">
        <f t="shared" si="1"/>
        <v>0</v>
      </c>
      <c r="Q8" s="8">
        <f t="shared" si="2"/>
        <v>29</v>
      </c>
    </row>
    <row r="9" spans="2:29" ht="16.5" thickBot="1" x14ac:dyDescent="0.3">
      <c r="B9" s="64" t="s">
        <v>50</v>
      </c>
      <c r="C9" s="5">
        <f t="shared" si="0"/>
        <v>11.979999999999999</v>
      </c>
      <c r="D9" s="5">
        <v>10.55</v>
      </c>
      <c r="E9" s="5">
        <v>11.79</v>
      </c>
      <c r="F9" s="5">
        <v>13.6</v>
      </c>
      <c r="G9" s="6">
        <v>2</v>
      </c>
      <c r="H9" s="7">
        <f t="shared" si="3"/>
        <v>23.959999999999997</v>
      </c>
      <c r="I9" s="90"/>
      <c r="J9" s="91"/>
      <c r="K9" s="8"/>
      <c r="L9" s="8" t="str">
        <f t="shared" si="4"/>
        <v>ECA</v>
      </c>
      <c r="O9" s="8">
        <f t="shared" si="5"/>
        <v>21.1</v>
      </c>
      <c r="P9" s="8">
        <f t="shared" si="1"/>
        <v>23.58</v>
      </c>
      <c r="Q9" s="8">
        <f t="shared" si="2"/>
        <v>27.2</v>
      </c>
    </row>
    <row r="10" spans="2:29" ht="16.5" thickBot="1" x14ac:dyDescent="0.3">
      <c r="B10" s="64" t="s">
        <v>51</v>
      </c>
      <c r="C10" s="5">
        <f t="shared" si="0"/>
        <v>12.206666666666669</v>
      </c>
      <c r="D10" s="5">
        <v>13.7</v>
      </c>
      <c r="E10" s="5">
        <v>11.95</v>
      </c>
      <c r="F10" s="5">
        <v>10.97</v>
      </c>
      <c r="G10" s="6">
        <v>1</v>
      </c>
      <c r="H10" s="7">
        <f t="shared" si="3"/>
        <v>12.206666666666669</v>
      </c>
      <c r="I10" s="76"/>
      <c r="J10" s="77"/>
      <c r="K10" s="8"/>
      <c r="L10" s="8" t="str">
        <f t="shared" si="4"/>
        <v>ECA</v>
      </c>
      <c r="O10" s="8">
        <f t="shared" si="5"/>
        <v>13.7</v>
      </c>
      <c r="P10" s="8">
        <f t="shared" si="1"/>
        <v>11.95</v>
      </c>
      <c r="Q10" s="8">
        <f t="shared" si="2"/>
        <v>10.97</v>
      </c>
    </row>
    <row r="11" spans="2:29" ht="16.5" thickBot="1" x14ac:dyDescent="0.3">
      <c r="B11" s="78" t="s">
        <v>58</v>
      </c>
      <c r="C11" s="79"/>
      <c r="D11" s="79"/>
      <c r="E11" s="79"/>
      <c r="F11" s="79"/>
      <c r="G11" s="79"/>
      <c r="H11" s="79"/>
      <c r="I11" s="79"/>
      <c r="J11" s="79"/>
      <c r="K11" s="79"/>
      <c r="L11" s="80"/>
    </row>
    <row r="12" spans="2:29" ht="16.5" thickBot="1" x14ac:dyDescent="0.3">
      <c r="B12" s="9" t="s">
        <v>12</v>
      </c>
      <c r="C12" s="86">
        <f>(SUM(H5:H10)/SUM(G5:G10))</f>
        <v>12.657333333333332</v>
      </c>
      <c r="D12" s="86"/>
      <c r="E12" s="86"/>
      <c r="F12" s="86"/>
      <c r="G12" s="87" t="s">
        <v>13</v>
      </c>
      <c r="H12" s="87"/>
      <c r="I12" s="69"/>
      <c r="J12" s="88"/>
      <c r="K12" s="88"/>
      <c r="L12" s="89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spans="2:29" ht="16.5" thickBot="1" x14ac:dyDescent="0.3">
      <c r="B13" s="81"/>
      <c r="C13" s="82"/>
      <c r="D13" s="82"/>
      <c r="E13" s="82"/>
      <c r="F13" s="82"/>
      <c r="G13" s="82"/>
      <c r="H13" s="82"/>
      <c r="I13" s="82"/>
      <c r="J13" s="82"/>
      <c r="K13" s="82"/>
      <c r="L13" s="83"/>
    </row>
    <row r="14" spans="2:29" ht="16.5" thickBot="1" x14ac:dyDescent="0.3">
      <c r="B14" s="64" t="s">
        <v>47</v>
      </c>
      <c r="C14" s="5">
        <f>(D14+F14+E14)/3</f>
        <v>14.549999999999999</v>
      </c>
      <c r="D14" s="5">
        <v>14.2</v>
      </c>
      <c r="E14" s="5">
        <v>13.95</v>
      </c>
      <c r="F14" s="5">
        <v>15.5</v>
      </c>
      <c r="G14" s="6">
        <v>2</v>
      </c>
      <c r="H14" s="7">
        <f t="shared" ref="H14:H17" si="6">C14*G14</f>
        <v>29.099999999999998</v>
      </c>
      <c r="I14" s="76"/>
      <c r="J14" s="77"/>
      <c r="K14" s="8"/>
      <c r="L14" s="8" t="str">
        <f>IF(C14&lt;11,"NA",IF(C14&lt;15,"ECA",IF(C14&lt;18,"A",IF(C14&lt;20,"A+"))))</f>
        <v>ECA</v>
      </c>
      <c r="O14" s="8">
        <f t="shared" ref="O14:O17" si="7">D14*G14</f>
        <v>28.4</v>
      </c>
      <c r="P14" s="8">
        <f>E14*G14</f>
        <v>27.9</v>
      </c>
      <c r="Q14" s="8">
        <f>G14*F14</f>
        <v>31</v>
      </c>
    </row>
    <row r="15" spans="2:29" ht="16.5" thickBot="1" x14ac:dyDescent="0.3">
      <c r="B15" s="64" t="s">
        <v>14</v>
      </c>
      <c r="C15" s="5">
        <f t="shared" ref="C15:C17" si="8">(D15+F15+E15)/3</f>
        <v>13.503333333333332</v>
      </c>
      <c r="D15" s="5">
        <v>15.38</v>
      </c>
      <c r="E15" s="5">
        <v>12.15</v>
      </c>
      <c r="F15" s="5">
        <v>12.98</v>
      </c>
      <c r="G15" s="6">
        <v>1.5</v>
      </c>
      <c r="H15" s="7">
        <f t="shared" si="6"/>
        <v>20.254999999999999</v>
      </c>
      <c r="I15" s="76"/>
      <c r="J15" s="77"/>
      <c r="K15" s="8"/>
      <c r="L15" s="8" t="str">
        <f t="shared" ref="L15:L17" si="9">IF(C15&lt;11,"NA",IF(C15&lt;15,"ECA",IF(C15&lt;18,"A",IF(C15&lt;20,"A+"))))</f>
        <v>ECA</v>
      </c>
      <c r="O15" s="8">
        <f t="shared" si="7"/>
        <v>23.07</v>
      </c>
      <c r="P15" s="8">
        <f t="shared" ref="P15:P17" si="10">E15*G15</f>
        <v>18.225000000000001</v>
      </c>
      <c r="Q15" s="8">
        <f t="shared" ref="Q15:Q17" si="11">G15*F15</f>
        <v>19.47</v>
      </c>
    </row>
    <row r="16" spans="2:29" ht="16.5" thickBot="1" x14ac:dyDescent="0.3">
      <c r="B16" s="64" t="s">
        <v>15</v>
      </c>
      <c r="C16" s="5">
        <f t="shared" si="8"/>
        <v>12.893333333333333</v>
      </c>
      <c r="D16" s="5">
        <v>12.63</v>
      </c>
      <c r="E16" s="5">
        <v>13.85</v>
      </c>
      <c r="F16" s="5">
        <v>12.2</v>
      </c>
      <c r="G16" s="6">
        <v>1.5</v>
      </c>
      <c r="H16" s="7">
        <f t="shared" si="6"/>
        <v>19.34</v>
      </c>
      <c r="I16" s="76"/>
      <c r="J16" s="77"/>
      <c r="K16" s="8"/>
      <c r="L16" s="8" t="str">
        <f t="shared" si="9"/>
        <v>ECA</v>
      </c>
      <c r="O16" s="8">
        <f t="shared" si="7"/>
        <v>18.945</v>
      </c>
      <c r="P16" s="8">
        <f t="shared" si="10"/>
        <v>20.774999999999999</v>
      </c>
      <c r="Q16" s="8">
        <f t="shared" si="11"/>
        <v>18.299999999999997</v>
      </c>
    </row>
    <row r="17" spans="2:17" ht="16.5" thickBot="1" x14ac:dyDescent="0.3">
      <c r="B17" s="64" t="s">
        <v>52</v>
      </c>
      <c r="C17" s="5">
        <f t="shared" si="8"/>
        <v>15.200000000000001</v>
      </c>
      <c r="D17" s="5">
        <v>14.35</v>
      </c>
      <c r="E17" s="5">
        <v>15.75</v>
      </c>
      <c r="F17" s="5">
        <v>15.5</v>
      </c>
      <c r="G17" s="6">
        <v>1</v>
      </c>
      <c r="H17" s="7">
        <f t="shared" si="6"/>
        <v>15.200000000000001</v>
      </c>
      <c r="I17" s="76"/>
      <c r="J17" s="77"/>
      <c r="K17" s="8"/>
      <c r="L17" s="8" t="str">
        <f t="shared" si="9"/>
        <v>A</v>
      </c>
      <c r="O17" s="8">
        <f t="shared" si="7"/>
        <v>14.35</v>
      </c>
      <c r="P17" s="8">
        <f t="shared" si="10"/>
        <v>15.75</v>
      </c>
      <c r="Q17" s="8">
        <f t="shared" si="11"/>
        <v>15.5</v>
      </c>
    </row>
    <row r="18" spans="2:17" ht="16.149999999999999" customHeight="1" thickBot="1" x14ac:dyDescent="0.3">
      <c r="B18" s="78" t="s">
        <v>59</v>
      </c>
      <c r="C18" s="79"/>
      <c r="D18" s="79"/>
      <c r="E18" s="79"/>
      <c r="F18" s="79"/>
      <c r="G18" s="79"/>
      <c r="H18" s="79"/>
      <c r="I18" s="79"/>
      <c r="J18" s="79"/>
      <c r="K18" s="79"/>
      <c r="L18" s="80"/>
    </row>
    <row r="19" spans="2:17" ht="16.149999999999999" customHeight="1" thickBot="1" x14ac:dyDescent="0.3">
      <c r="B19" s="9" t="s">
        <v>16</v>
      </c>
      <c r="C19" s="86">
        <f>(SUM(H14:H17)/SUM(G14:G17))</f>
        <v>13.9825</v>
      </c>
      <c r="D19" s="86"/>
      <c r="E19" s="86"/>
      <c r="F19" s="86"/>
      <c r="G19" s="87" t="s">
        <v>13</v>
      </c>
      <c r="H19" s="87"/>
      <c r="I19" s="69"/>
      <c r="J19" s="88"/>
      <c r="K19" s="88"/>
      <c r="L19" s="89"/>
    </row>
    <row r="20" spans="2:17" ht="16.5" thickBot="1" x14ac:dyDescent="0.3">
      <c r="B20" s="92"/>
      <c r="C20" s="93"/>
      <c r="D20" s="93"/>
      <c r="E20" s="93"/>
      <c r="F20" s="93"/>
      <c r="G20" s="93"/>
      <c r="H20" s="93"/>
      <c r="I20" s="93"/>
      <c r="J20" s="93"/>
      <c r="K20" s="93"/>
      <c r="L20" s="94"/>
    </row>
    <row r="21" spans="2:17" ht="16.5" thickBot="1" x14ac:dyDescent="0.3">
      <c r="B21" s="64" t="s">
        <v>9</v>
      </c>
      <c r="C21" s="5">
        <f>(D21+F21+E21)/3</f>
        <v>13.159999999999998</v>
      </c>
      <c r="D21" s="5">
        <v>14.05</v>
      </c>
      <c r="E21" s="5">
        <v>13.33</v>
      </c>
      <c r="F21" s="8">
        <v>12.1</v>
      </c>
      <c r="G21" s="6">
        <v>2</v>
      </c>
      <c r="H21" s="7">
        <f t="shared" ref="H21:H24" si="12">C21*G21</f>
        <v>26.319999999999997</v>
      </c>
      <c r="I21" s="76"/>
      <c r="J21" s="77"/>
      <c r="K21" s="8"/>
      <c r="L21" s="8" t="str">
        <f t="shared" ref="L21:L24" si="13">IF(C21&lt;11,"NA",IF(C21&lt;15,"ECA",IF(C21&lt;18,"A",IF(C21&lt;20,"A+"))))</f>
        <v>ECA</v>
      </c>
      <c r="O21" s="8">
        <f t="shared" ref="O21:O24" si="14">D21*G21</f>
        <v>28.1</v>
      </c>
      <c r="P21" s="8">
        <f>E21*G21</f>
        <v>26.66</v>
      </c>
      <c r="Q21" s="8">
        <f>G21*F21</f>
        <v>24.2</v>
      </c>
    </row>
    <row r="22" spans="2:17" ht="16.5" thickBot="1" x14ac:dyDescent="0.3">
      <c r="B22" s="64" t="s">
        <v>10</v>
      </c>
      <c r="C22" s="5">
        <f t="shared" ref="C22:C24" si="15">(D22+F22+E22)/3</f>
        <v>13.063333333333333</v>
      </c>
      <c r="D22" s="5">
        <v>12.25</v>
      </c>
      <c r="E22" s="5">
        <v>12.34</v>
      </c>
      <c r="F22" s="8">
        <v>14.6</v>
      </c>
      <c r="G22" s="6">
        <v>4</v>
      </c>
      <c r="H22" s="7">
        <f t="shared" si="12"/>
        <v>52.25333333333333</v>
      </c>
      <c r="I22" s="76"/>
      <c r="J22" s="77"/>
      <c r="K22" s="8"/>
      <c r="L22" s="8" t="str">
        <f t="shared" si="13"/>
        <v>ECA</v>
      </c>
      <c r="O22" s="8">
        <f t="shared" si="14"/>
        <v>49</v>
      </c>
      <c r="P22" s="8">
        <f t="shared" ref="P22:P24" si="16">E22*G22</f>
        <v>49.36</v>
      </c>
      <c r="Q22" s="8">
        <f t="shared" ref="Q22:Q24" si="17">G22*F22</f>
        <v>58.4</v>
      </c>
    </row>
    <row r="23" spans="2:17" ht="16.5" thickBot="1" x14ac:dyDescent="0.3">
      <c r="B23" s="64" t="s">
        <v>56</v>
      </c>
      <c r="C23" s="5">
        <f>F23</f>
        <v>13</v>
      </c>
      <c r="D23" s="5"/>
      <c r="E23" s="5"/>
      <c r="F23" s="8">
        <v>13</v>
      </c>
      <c r="G23" s="6">
        <v>2</v>
      </c>
      <c r="H23" s="7">
        <f t="shared" si="12"/>
        <v>26</v>
      </c>
      <c r="I23" s="76"/>
      <c r="J23" s="77"/>
      <c r="K23" s="8"/>
      <c r="L23" s="8" t="str">
        <f t="shared" si="13"/>
        <v>ECA</v>
      </c>
      <c r="O23" s="8">
        <f t="shared" si="14"/>
        <v>0</v>
      </c>
      <c r="P23" s="8">
        <f t="shared" si="16"/>
        <v>0</v>
      </c>
      <c r="Q23" s="8">
        <f t="shared" si="17"/>
        <v>26</v>
      </c>
    </row>
    <row r="24" spans="2:17" ht="16.5" thickBot="1" x14ac:dyDescent="0.3">
      <c r="B24" s="64" t="s">
        <v>11</v>
      </c>
      <c r="C24" s="5">
        <f t="shared" si="15"/>
        <v>12.326666666666668</v>
      </c>
      <c r="D24" s="5">
        <v>13.8</v>
      </c>
      <c r="E24" s="5">
        <v>11.8</v>
      </c>
      <c r="F24" s="8">
        <v>11.38</v>
      </c>
      <c r="G24" s="6">
        <v>2</v>
      </c>
      <c r="H24" s="7">
        <f t="shared" si="12"/>
        <v>24.653333333333336</v>
      </c>
      <c r="I24" s="76"/>
      <c r="J24" s="77"/>
      <c r="K24" s="8"/>
      <c r="L24" s="8" t="str">
        <f t="shared" si="13"/>
        <v>ECA</v>
      </c>
      <c r="O24" s="8">
        <f t="shared" si="14"/>
        <v>27.6</v>
      </c>
      <c r="P24" s="8">
        <f t="shared" si="16"/>
        <v>23.6</v>
      </c>
      <c r="Q24" s="8">
        <f t="shared" si="17"/>
        <v>22.76</v>
      </c>
    </row>
    <row r="25" spans="2:17" ht="16.149999999999999" customHeight="1" thickBot="1" x14ac:dyDescent="0.3">
      <c r="B25" s="78" t="s">
        <v>60</v>
      </c>
      <c r="C25" s="79"/>
      <c r="D25" s="79"/>
      <c r="E25" s="79"/>
      <c r="F25" s="79"/>
      <c r="G25" s="79"/>
      <c r="H25" s="79"/>
      <c r="I25" s="79"/>
      <c r="J25" s="79"/>
      <c r="K25" s="79"/>
      <c r="L25" s="80"/>
    </row>
    <row r="26" spans="2:17" ht="16.149999999999999" customHeight="1" thickBot="1" x14ac:dyDescent="0.3">
      <c r="B26" s="9" t="s">
        <v>12</v>
      </c>
      <c r="C26" s="86">
        <f>(SUM(H21:H24)/SUM(G21:G24))</f>
        <v>12.922666666666666</v>
      </c>
      <c r="D26" s="86"/>
      <c r="E26" s="86"/>
      <c r="F26" s="86"/>
      <c r="G26" s="87" t="s">
        <v>13</v>
      </c>
      <c r="H26" s="87"/>
      <c r="I26" s="69"/>
      <c r="J26" s="88"/>
      <c r="K26" s="88"/>
      <c r="L26" s="89"/>
    </row>
    <row r="27" spans="2:17" ht="16.5" thickBot="1" x14ac:dyDescent="0.3">
      <c r="B27" s="81"/>
      <c r="C27" s="82"/>
      <c r="D27" s="82"/>
      <c r="E27" s="82"/>
      <c r="F27" s="82"/>
      <c r="G27" s="82"/>
      <c r="H27" s="82"/>
      <c r="I27" s="100"/>
      <c r="J27" s="100"/>
      <c r="K27" s="100"/>
      <c r="L27" s="83"/>
    </row>
    <row r="28" spans="2:17" ht="16.5" thickBot="1" x14ac:dyDescent="0.3">
      <c r="B28" s="64" t="s">
        <v>53</v>
      </c>
      <c r="C28" s="5">
        <f>(D28+F28+E28)/3</f>
        <v>13.833333333333334</v>
      </c>
      <c r="D28" s="8">
        <v>13</v>
      </c>
      <c r="E28" s="8">
        <v>14.5</v>
      </c>
      <c r="F28" s="8">
        <v>14</v>
      </c>
      <c r="G28" s="6">
        <v>1</v>
      </c>
      <c r="H28" s="7">
        <f t="shared" ref="H28:H31" si="18">C28*G28</f>
        <v>13.833333333333334</v>
      </c>
      <c r="I28" s="76"/>
      <c r="J28" s="77"/>
      <c r="K28" s="8"/>
      <c r="L28" s="8" t="str">
        <f t="shared" ref="L28:L31" si="19">IF(C28&lt;11,"NA",IF(C28&lt;15,"ECA",IF(C28&lt;18,"A",IF(C28&lt;20,"A+"))))</f>
        <v>ECA</v>
      </c>
      <c r="O28" s="8">
        <f t="shared" ref="O28:O31" si="20">D28*G28</f>
        <v>13</v>
      </c>
      <c r="P28" s="8">
        <f>E28*G28</f>
        <v>14.5</v>
      </c>
      <c r="Q28" s="8">
        <f>G28*F28</f>
        <v>14</v>
      </c>
    </row>
    <row r="29" spans="2:17" ht="16.5" thickBot="1" x14ac:dyDescent="0.3">
      <c r="B29" s="64" t="s">
        <v>48</v>
      </c>
      <c r="C29" s="5">
        <f t="shared" ref="C29:C31" si="21">(D29+F29+E29)/3</f>
        <v>15.466666666666667</v>
      </c>
      <c r="D29" s="8">
        <v>15.6</v>
      </c>
      <c r="E29" s="8">
        <v>15.6</v>
      </c>
      <c r="F29" s="8">
        <v>15.2</v>
      </c>
      <c r="G29" s="6">
        <v>2</v>
      </c>
      <c r="H29" s="7">
        <f t="shared" si="18"/>
        <v>30.933333333333334</v>
      </c>
      <c r="I29" s="76"/>
      <c r="J29" s="77"/>
      <c r="K29" s="8"/>
      <c r="L29" s="8" t="str">
        <f t="shared" si="19"/>
        <v>A</v>
      </c>
      <c r="O29" s="8">
        <f t="shared" si="20"/>
        <v>31.2</v>
      </c>
      <c r="P29" s="8">
        <f t="shared" ref="P29:P31" si="22">E29*G29</f>
        <v>31.2</v>
      </c>
      <c r="Q29" s="8">
        <f t="shared" ref="Q29:Q31" si="23">G29*F29</f>
        <v>30.4</v>
      </c>
    </row>
    <row r="30" spans="2:17" ht="16.5" thickBot="1" x14ac:dyDescent="0.3">
      <c r="B30" s="64" t="s">
        <v>49</v>
      </c>
      <c r="C30" s="5">
        <f t="shared" si="21"/>
        <v>12.166666666666666</v>
      </c>
      <c r="D30" s="8">
        <v>14</v>
      </c>
      <c r="E30" s="8">
        <v>10.6</v>
      </c>
      <c r="F30" s="8">
        <v>11.9</v>
      </c>
      <c r="G30" s="6">
        <v>1</v>
      </c>
      <c r="H30" s="7">
        <f t="shared" si="18"/>
        <v>12.166666666666666</v>
      </c>
      <c r="I30" s="76"/>
      <c r="J30" s="77"/>
      <c r="K30" s="8"/>
      <c r="L30" s="8" t="str">
        <f t="shared" si="19"/>
        <v>ECA</v>
      </c>
      <c r="O30" s="8">
        <f t="shared" si="20"/>
        <v>14</v>
      </c>
      <c r="P30" s="8">
        <f t="shared" si="22"/>
        <v>10.6</v>
      </c>
      <c r="Q30" s="8">
        <f t="shared" si="23"/>
        <v>11.9</v>
      </c>
    </row>
    <row r="31" spans="2:17" ht="16.5" thickBot="1" x14ac:dyDescent="0.3">
      <c r="B31" s="64" t="s">
        <v>18</v>
      </c>
      <c r="C31" s="5">
        <f t="shared" si="21"/>
        <v>16.333333333333332</v>
      </c>
      <c r="D31" s="8">
        <v>15</v>
      </c>
      <c r="E31" s="8">
        <v>17</v>
      </c>
      <c r="F31" s="8">
        <v>17</v>
      </c>
      <c r="G31" s="6">
        <v>1</v>
      </c>
      <c r="H31" s="7">
        <f t="shared" si="18"/>
        <v>16.333333333333332</v>
      </c>
      <c r="I31" s="76"/>
      <c r="J31" s="77"/>
      <c r="K31" s="8"/>
      <c r="L31" s="8" t="str">
        <f t="shared" si="19"/>
        <v>A</v>
      </c>
      <c r="O31" s="8">
        <f t="shared" si="20"/>
        <v>15</v>
      </c>
      <c r="P31" s="8">
        <f t="shared" si="22"/>
        <v>17</v>
      </c>
      <c r="Q31" s="8">
        <f t="shared" si="23"/>
        <v>17</v>
      </c>
    </row>
    <row r="32" spans="2:17" ht="16.149999999999999" customHeight="1" thickBot="1" x14ac:dyDescent="0.3">
      <c r="B32" s="64" t="s">
        <v>57</v>
      </c>
      <c r="C32" s="65"/>
      <c r="D32" s="65"/>
      <c r="E32" s="65"/>
      <c r="F32" s="65"/>
      <c r="G32" s="65"/>
      <c r="H32" s="65"/>
      <c r="I32" s="65"/>
      <c r="J32" s="65"/>
      <c r="K32" s="65"/>
      <c r="L32" s="66"/>
      <c r="O32" s="1">
        <f>SUM(O6:O31)</f>
        <v>353.26499999999999</v>
      </c>
      <c r="P32" s="1">
        <f>SUM(P6:P31)</f>
        <v>333.6</v>
      </c>
      <c r="Q32" s="1">
        <f>SUM(Q5:Q31)</f>
        <v>414.53999999999991</v>
      </c>
    </row>
    <row r="33" spans="2:17" ht="16.149999999999999" customHeight="1" thickBot="1" x14ac:dyDescent="0.3">
      <c r="B33" s="9" t="s">
        <v>16</v>
      </c>
      <c r="C33" s="86">
        <f>(SUM(H28:H31)/SUM(G28:G31))</f>
        <v>14.653333333333332</v>
      </c>
      <c r="D33" s="86"/>
      <c r="E33" s="86"/>
      <c r="F33" s="86"/>
      <c r="G33" s="87" t="s">
        <v>13</v>
      </c>
      <c r="H33" s="87"/>
      <c r="I33" s="69"/>
      <c r="J33" s="88"/>
      <c r="K33" s="88"/>
      <c r="L33" s="89"/>
      <c r="O33" s="1">
        <v>26</v>
      </c>
      <c r="P33" s="1">
        <v>26</v>
      </c>
      <c r="Q33" s="1">
        <v>32</v>
      </c>
    </row>
    <row r="34" spans="2:17" ht="16.5" thickBot="1" x14ac:dyDescent="0.3">
      <c r="B34" s="81"/>
      <c r="C34" s="82"/>
      <c r="D34" s="82"/>
      <c r="E34" s="82"/>
      <c r="F34" s="82"/>
      <c r="G34" s="82"/>
      <c r="H34" s="82"/>
      <c r="I34" s="82"/>
      <c r="J34" s="82"/>
      <c r="K34" s="82"/>
      <c r="L34" s="83"/>
      <c r="O34" s="1">
        <f>O32/O33</f>
        <v>13.587115384615384</v>
      </c>
      <c r="P34" s="1">
        <f>P32/P33</f>
        <v>12.830769230769231</v>
      </c>
      <c r="Q34" s="1">
        <f>Q32/Q33</f>
        <v>12.954374999999997</v>
      </c>
    </row>
    <row r="35" spans="2:17" s="17" customFormat="1" ht="48" thickBot="1" x14ac:dyDescent="0.3">
      <c r="B35" s="64" t="s">
        <v>19</v>
      </c>
      <c r="C35" s="70" t="s">
        <v>20</v>
      </c>
      <c r="D35" s="69">
        <v>11.13</v>
      </c>
      <c r="E35" s="69"/>
      <c r="F35" s="71" t="s">
        <v>21</v>
      </c>
      <c r="G35" s="88">
        <v>14.98</v>
      </c>
      <c r="H35" s="88"/>
      <c r="I35" s="71" t="s">
        <v>22</v>
      </c>
      <c r="J35" s="88">
        <v>8.98</v>
      </c>
      <c r="K35" s="88"/>
      <c r="L35" s="72"/>
    </row>
    <row r="36" spans="2:17" x14ac:dyDescent="0.25">
      <c r="B36" s="18"/>
      <c r="C36" s="19" t="s">
        <v>1</v>
      </c>
      <c r="D36" s="19" t="s">
        <v>63</v>
      </c>
      <c r="E36" s="19" t="s">
        <v>65</v>
      </c>
      <c r="F36" s="20"/>
      <c r="G36" s="20"/>
      <c r="H36" s="21"/>
      <c r="I36" s="101"/>
      <c r="J36" s="100"/>
      <c r="K36" s="100"/>
      <c r="L36" s="102"/>
    </row>
    <row r="37" spans="2:17" x14ac:dyDescent="0.25">
      <c r="B37" s="22" t="s">
        <v>23</v>
      </c>
      <c r="C37" s="23">
        <f>O34</f>
        <v>13.587115384615384</v>
      </c>
      <c r="D37" s="23">
        <v>12.89</v>
      </c>
      <c r="E37" s="23">
        <v>13.23</v>
      </c>
      <c r="F37" s="32" t="s">
        <v>66</v>
      </c>
      <c r="G37" s="25">
        <v>13.24</v>
      </c>
      <c r="H37" s="24" t="s">
        <v>25</v>
      </c>
      <c r="I37" s="103" t="s">
        <v>26</v>
      </c>
      <c r="J37" s="104"/>
      <c r="K37" s="26" t="s">
        <v>86</v>
      </c>
      <c r="L37" s="27" t="s">
        <v>87</v>
      </c>
    </row>
    <row r="38" spans="2:17" ht="16.149999999999999" customHeight="1" thickBot="1" x14ac:dyDescent="0.3">
      <c r="B38" s="95"/>
      <c r="C38" s="96"/>
      <c r="D38" s="96"/>
      <c r="E38" s="96"/>
      <c r="F38" s="96"/>
      <c r="G38" s="96"/>
      <c r="H38" s="96"/>
      <c r="I38" s="97"/>
      <c r="J38" s="98"/>
      <c r="K38" s="98"/>
      <c r="L38" s="99"/>
    </row>
    <row r="39" spans="2:17" ht="16.149999999999999" customHeight="1" thickBot="1" x14ac:dyDescent="0.3">
      <c r="B39" s="105" t="s">
        <v>67</v>
      </c>
      <c r="C39" s="106"/>
      <c r="D39" s="106"/>
      <c r="E39" s="106"/>
      <c r="F39" s="106"/>
      <c r="G39" s="106"/>
      <c r="H39" s="106"/>
      <c r="I39" s="106"/>
      <c r="J39" s="106"/>
      <c r="K39" s="106"/>
      <c r="L39" s="107"/>
    </row>
    <row r="40" spans="2:17" ht="16.149999999999999" customHeight="1" thickBot="1" x14ac:dyDescent="0.3">
      <c r="B40" s="108" t="s">
        <v>28</v>
      </c>
      <c r="C40" s="88"/>
      <c r="D40" s="88"/>
      <c r="E40" s="88"/>
      <c r="F40" s="88"/>
      <c r="G40" s="88"/>
      <c r="H40" s="88"/>
      <c r="I40" s="88"/>
      <c r="J40" s="88"/>
      <c r="K40" s="88"/>
      <c r="L40" s="89"/>
    </row>
    <row r="41" spans="2:17" ht="16.149999999999999" customHeight="1" thickBot="1" x14ac:dyDescent="0.3">
      <c r="B41" s="64" t="s">
        <v>29</v>
      </c>
      <c r="C41" s="81" t="s">
        <v>30</v>
      </c>
      <c r="D41" s="82"/>
      <c r="E41" s="82"/>
      <c r="F41" s="83"/>
      <c r="G41" s="109" t="s">
        <v>31</v>
      </c>
      <c r="H41" s="110"/>
      <c r="I41" s="110"/>
      <c r="J41" s="110"/>
      <c r="K41" s="110"/>
      <c r="L41" s="111"/>
    </row>
    <row r="42" spans="2:17" ht="16.149999999999999" customHeight="1" thickBot="1" x14ac:dyDescent="0.3">
      <c r="B42" s="42" t="s">
        <v>32</v>
      </c>
      <c r="C42" s="110" t="str">
        <f>IF(G37&lt;11,"NA",IF(G37&lt;15,"ECA",IF(G37&lt;18,"A",IF(G37&lt;20,"A+"))))</f>
        <v>ECA</v>
      </c>
      <c r="D42" s="110" t="e">
        <f>IF(#REF!&lt;11,"NA",IF(#REF!&lt;15,"ECA",IF(#REF!&lt;18,"A",IF(#REF!&lt;20,"A+"))))</f>
        <v>#REF!</v>
      </c>
      <c r="E42" s="110"/>
      <c r="F42" s="111" t="e">
        <f>IF(#REF!&lt;11,"NA",IF(#REF!&lt;15,"ECA",IF(#REF!&lt;18,"A",IF(#REF!&lt;20,"A+"))))</f>
        <v>#REF!</v>
      </c>
      <c r="G42" s="112"/>
      <c r="H42" s="113"/>
      <c r="I42" s="113"/>
      <c r="J42" s="113"/>
      <c r="K42" s="113"/>
      <c r="L42" s="114"/>
    </row>
    <row r="43" spans="2:17" ht="16.149999999999999" customHeight="1" thickBot="1" x14ac:dyDescent="0.3">
      <c r="B43" s="43" t="s">
        <v>33</v>
      </c>
      <c r="C43" s="115" t="e">
        <f>IF(#REF!&lt;11,"NA",IF(#REF!&lt;15,"ECA",IF(#REF!&lt;18,"A",IF(#REF!&lt;20,"A+"))))</f>
        <v>#REF!</v>
      </c>
      <c r="D43" s="116" t="e">
        <f>IF(#REF!&lt;11,"NA",IF(#REF!&lt;15,"ECA",IF(#REF!&lt;18,"A",IF(#REF!&lt;20,"A+"))))</f>
        <v>#REF!</v>
      </c>
      <c r="E43" s="116"/>
      <c r="F43" s="117" t="e">
        <f>IF(#REF!&lt;11,"NA",IF(#REF!&lt;15,"ECA",IF(#REF!&lt;18,"A",IF(#REF!&lt;20,"A+"))))</f>
        <v>#REF!</v>
      </c>
      <c r="G43" s="108" t="s">
        <v>34</v>
      </c>
      <c r="H43" s="88"/>
      <c r="I43" s="88"/>
      <c r="J43" s="89"/>
      <c r="K43" s="109" t="s">
        <v>35</v>
      </c>
      <c r="L43" s="111"/>
    </row>
    <row r="44" spans="2:17" ht="16.149999999999999" customHeight="1" thickBot="1" x14ac:dyDescent="0.3">
      <c r="B44" s="29" t="s">
        <v>36</v>
      </c>
      <c r="C44" s="112" t="e">
        <f>IF(#REF!&lt;11,"NA",IF(#REF!&lt;15,"ECA",IF(#REF!&lt;18,"A",IF(#REF!&lt;20,"A+"))))</f>
        <v>#REF!</v>
      </c>
      <c r="D44" s="113" t="e">
        <f>IF(#REF!&lt;11,"NA",IF(#REF!&lt;15,"ECA",IF(#REF!&lt;18,"A",IF(#REF!&lt;20,"A+"))))</f>
        <v>#REF!</v>
      </c>
      <c r="E44" s="113"/>
      <c r="F44" s="114" t="e">
        <f>IF(#REF!&lt;11,"NA",IF(#REF!&lt;15,"ECA",IF(#REF!&lt;18,"A",IF(#REF!&lt;20,"A+"))))</f>
        <v>#REF!</v>
      </c>
      <c r="G44" s="108" t="s">
        <v>37</v>
      </c>
      <c r="H44" s="88"/>
      <c r="I44" s="88"/>
      <c r="J44" s="89"/>
      <c r="K44" s="118" t="s">
        <v>38</v>
      </c>
      <c r="L44" s="119"/>
    </row>
    <row r="45" spans="2:17" ht="16.149999999999999" customHeight="1" thickBot="1" x14ac:dyDescent="0.3">
      <c r="B45" s="70" t="s">
        <v>39</v>
      </c>
      <c r="C45" s="109" t="s">
        <v>40</v>
      </c>
      <c r="D45" s="110"/>
      <c r="E45" s="110"/>
      <c r="F45" s="111"/>
      <c r="G45" s="108" t="s">
        <v>41</v>
      </c>
      <c r="H45" s="88"/>
      <c r="I45" s="88"/>
      <c r="J45" s="89"/>
      <c r="K45" s="118"/>
      <c r="L45" s="119"/>
    </row>
    <row r="46" spans="2:17" ht="16.149999999999999" customHeight="1" thickBot="1" x14ac:dyDescent="0.3">
      <c r="B46" s="70" t="s">
        <v>42</v>
      </c>
      <c r="C46" s="112"/>
      <c r="D46" s="113"/>
      <c r="E46" s="113"/>
      <c r="F46" s="114"/>
      <c r="G46" s="108" t="s">
        <v>43</v>
      </c>
      <c r="H46" s="88"/>
      <c r="I46" s="88"/>
      <c r="J46" s="89"/>
      <c r="K46" s="120" t="s">
        <v>44</v>
      </c>
      <c r="L46" s="121"/>
    </row>
    <row r="47" spans="2:17" ht="31.5" x14ac:dyDescent="0.25">
      <c r="B47" s="64" t="s">
        <v>45</v>
      </c>
      <c r="C47" s="101"/>
      <c r="D47" s="100"/>
      <c r="E47" s="100"/>
      <c r="F47" s="102"/>
      <c r="G47" s="101"/>
      <c r="H47" s="100"/>
      <c r="I47" s="100"/>
      <c r="J47" s="102"/>
      <c r="K47" s="120" t="s">
        <v>46</v>
      </c>
      <c r="L47" s="121"/>
    </row>
    <row r="48" spans="2:17" x14ac:dyDescent="0.25">
      <c r="B48" s="28"/>
      <c r="C48" s="122"/>
      <c r="D48" s="123"/>
      <c r="E48" s="123"/>
      <c r="F48" s="124"/>
      <c r="G48" s="122"/>
      <c r="H48" s="123"/>
      <c r="I48" s="123"/>
      <c r="J48" s="124"/>
      <c r="K48" s="128"/>
      <c r="L48" s="129"/>
    </row>
    <row r="49" spans="2:12" x14ac:dyDescent="0.25">
      <c r="B49" s="28"/>
      <c r="C49" s="122"/>
      <c r="D49" s="123"/>
      <c r="E49" s="123"/>
      <c r="F49" s="124"/>
      <c r="G49" s="122"/>
      <c r="H49" s="123"/>
      <c r="I49" s="123"/>
      <c r="J49" s="124"/>
      <c r="K49" s="128"/>
      <c r="L49" s="129"/>
    </row>
    <row r="50" spans="2:12" ht="16.5" thickBot="1" x14ac:dyDescent="0.3">
      <c r="B50" s="29"/>
      <c r="C50" s="125"/>
      <c r="D50" s="126"/>
      <c r="E50" s="126"/>
      <c r="F50" s="127"/>
      <c r="G50" s="125"/>
      <c r="H50" s="126"/>
      <c r="I50" s="126"/>
      <c r="J50" s="127"/>
      <c r="K50" s="97"/>
      <c r="L50" s="99"/>
    </row>
  </sheetData>
  <mergeCells count="62">
    <mergeCell ref="C45:F46"/>
    <mergeCell ref="G45:J45"/>
    <mergeCell ref="K45:L45"/>
    <mergeCell ref="G46:J46"/>
    <mergeCell ref="K46:L46"/>
    <mergeCell ref="C47:F50"/>
    <mergeCell ref="G47:J50"/>
    <mergeCell ref="K47:L47"/>
    <mergeCell ref="K48:L48"/>
    <mergeCell ref="K49:L49"/>
    <mergeCell ref="K50:L50"/>
    <mergeCell ref="B38:H38"/>
    <mergeCell ref="I38:L38"/>
    <mergeCell ref="B39:L39"/>
    <mergeCell ref="B40:L40"/>
    <mergeCell ref="C41:F41"/>
    <mergeCell ref="G41:L42"/>
    <mergeCell ref="C42:F44"/>
    <mergeCell ref="G43:J43"/>
    <mergeCell ref="G33:H33"/>
    <mergeCell ref="J33:L33"/>
    <mergeCell ref="B34:L34"/>
    <mergeCell ref="I36:L36"/>
    <mergeCell ref="I37:J37"/>
    <mergeCell ref="I4:J4"/>
    <mergeCell ref="I6:J6"/>
    <mergeCell ref="I7:J7"/>
    <mergeCell ref="I9:J9"/>
    <mergeCell ref="B18:L18"/>
    <mergeCell ref="I10:J10"/>
    <mergeCell ref="B11:L11"/>
    <mergeCell ref="C12:F12"/>
    <mergeCell ref="G12:H12"/>
    <mergeCell ref="J12:L12"/>
    <mergeCell ref="B13:L13"/>
    <mergeCell ref="I14:J14"/>
    <mergeCell ref="I15:J15"/>
    <mergeCell ref="I16:J16"/>
    <mergeCell ref="I17:J17"/>
    <mergeCell ref="J19:L19"/>
    <mergeCell ref="B20:L20"/>
    <mergeCell ref="I21:J21"/>
    <mergeCell ref="I22:J22"/>
    <mergeCell ref="I23:J23"/>
    <mergeCell ref="C19:F19"/>
    <mergeCell ref="G19:H19"/>
    <mergeCell ref="K43:L43"/>
    <mergeCell ref="G44:J44"/>
    <mergeCell ref="K44:L44"/>
    <mergeCell ref="I24:J24"/>
    <mergeCell ref="B25:L25"/>
    <mergeCell ref="C26:F26"/>
    <mergeCell ref="G26:H26"/>
    <mergeCell ref="J26:L26"/>
    <mergeCell ref="B27:L27"/>
    <mergeCell ref="I28:J28"/>
    <mergeCell ref="I29:J29"/>
    <mergeCell ref="I30:J30"/>
    <mergeCell ref="G35:H35"/>
    <mergeCell ref="J35:K35"/>
    <mergeCell ref="I31:J31"/>
    <mergeCell ref="C33:F33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C50"/>
  <sheetViews>
    <sheetView zoomScale="60" zoomScaleNormal="60" workbookViewId="0">
      <selection activeCell="D9" sqref="D9"/>
    </sheetView>
  </sheetViews>
  <sheetFormatPr baseColWidth="10" defaultColWidth="11.42578125" defaultRowHeight="15.75" x14ac:dyDescent="0.25"/>
  <cols>
    <col min="1" max="1" width="11.42578125" style="1"/>
    <col min="2" max="2" width="44.140625" style="1" customWidth="1"/>
    <col min="3" max="3" width="12.140625" style="1" customWidth="1"/>
    <col min="4" max="5" width="11.42578125" style="1"/>
    <col min="6" max="6" width="15.5703125" style="1" customWidth="1"/>
    <col min="7" max="7" width="11.42578125" style="1"/>
    <col min="8" max="8" width="12.42578125" style="1" customWidth="1"/>
    <col min="9" max="11" width="11.42578125" style="1"/>
    <col min="12" max="12" width="18.28515625" style="1" bestFit="1" customWidth="1"/>
    <col min="13" max="16384" width="11.42578125" style="1"/>
  </cols>
  <sheetData>
    <row r="3" spans="2:29" ht="16.5" thickBot="1" x14ac:dyDescent="0.3"/>
    <row r="4" spans="2:29" ht="30.75" customHeight="1" thickBot="1" x14ac:dyDescent="0.3">
      <c r="B4" s="59" t="s">
        <v>0</v>
      </c>
      <c r="C4" s="68" t="s">
        <v>68</v>
      </c>
      <c r="D4" s="68" t="s">
        <v>1</v>
      </c>
      <c r="E4" s="68" t="s">
        <v>63</v>
      </c>
      <c r="F4" s="68" t="s">
        <v>64</v>
      </c>
      <c r="G4" s="68" t="s">
        <v>4</v>
      </c>
      <c r="H4" s="67" t="s">
        <v>5</v>
      </c>
      <c r="I4" s="84" t="s">
        <v>6</v>
      </c>
      <c r="J4" s="85"/>
      <c r="K4" s="68" t="s">
        <v>7</v>
      </c>
      <c r="L4" s="68" t="s">
        <v>8</v>
      </c>
    </row>
    <row r="5" spans="2:29" ht="18" customHeight="1" thickBot="1" x14ac:dyDescent="0.3">
      <c r="B5" s="60" t="s">
        <v>61</v>
      </c>
      <c r="C5" s="5">
        <f>F5</f>
        <v>5</v>
      </c>
      <c r="D5" s="58"/>
      <c r="E5" s="58"/>
      <c r="F5" s="5">
        <v>5</v>
      </c>
      <c r="G5" s="61">
        <v>2</v>
      </c>
      <c r="H5" s="7">
        <f>C5*G5</f>
        <v>10</v>
      </c>
      <c r="I5" s="67"/>
      <c r="J5" s="68"/>
      <c r="K5" s="58"/>
      <c r="L5" s="8" t="str">
        <f>IF(C5&lt;11,"NA",IF(C5&lt;15,"ECA",IF(C5&lt;18,"A",IF(C5&lt;20,"A+"))))</f>
        <v>NA</v>
      </c>
      <c r="O5" s="8">
        <f>D5*G5</f>
        <v>0</v>
      </c>
      <c r="P5" s="8">
        <f>E5*G5</f>
        <v>0</v>
      </c>
      <c r="Q5" s="8">
        <f>G5*F5</f>
        <v>10</v>
      </c>
    </row>
    <row r="6" spans="2:29" ht="16.5" thickBot="1" x14ac:dyDescent="0.3">
      <c r="B6" s="64" t="s">
        <v>17</v>
      </c>
      <c r="C6" s="5">
        <f t="shared" ref="C6:C10" si="0">(D6+F6+E6)/3</f>
        <v>7.6916666666666673</v>
      </c>
      <c r="D6" s="5">
        <v>5.9</v>
      </c>
      <c r="E6" s="5">
        <v>8.8000000000000007</v>
      </c>
      <c r="F6" s="5">
        <v>8.375</v>
      </c>
      <c r="G6" s="6">
        <v>3</v>
      </c>
      <c r="H6" s="7">
        <f>C6*G6</f>
        <v>23.075000000000003</v>
      </c>
      <c r="I6" s="76"/>
      <c r="J6" s="77"/>
      <c r="K6" s="8"/>
      <c r="L6" s="8" t="str">
        <f>IF(C6&lt;11,"NA",IF(C6&lt;15,"ECA",IF(C6&lt;18,"A",IF(C6&lt;20,"A+"))))</f>
        <v>NA</v>
      </c>
      <c r="O6" s="8">
        <f>D6*G6</f>
        <v>17.700000000000003</v>
      </c>
      <c r="P6" s="8">
        <f t="shared" ref="P6:P10" si="1">E6*G6</f>
        <v>26.400000000000002</v>
      </c>
      <c r="Q6" s="8">
        <f t="shared" ref="Q6:Q10" si="2">G6*F6</f>
        <v>25.125</v>
      </c>
    </row>
    <row r="7" spans="2:29" ht="16.5" thickBot="1" x14ac:dyDescent="0.3">
      <c r="B7" s="64" t="s">
        <v>54</v>
      </c>
      <c r="C7" s="5">
        <f t="shared" si="0"/>
        <v>4.4083333333333341</v>
      </c>
      <c r="D7" s="5">
        <v>4.6500000000000004</v>
      </c>
      <c r="E7" s="5">
        <v>4.45</v>
      </c>
      <c r="F7" s="5">
        <v>4.125</v>
      </c>
      <c r="G7" s="6">
        <v>1</v>
      </c>
      <c r="H7" s="7">
        <f t="shared" ref="H7:H10" si="3">C7*G7</f>
        <v>4.4083333333333341</v>
      </c>
      <c r="I7" s="76"/>
      <c r="J7" s="77"/>
      <c r="K7" s="8"/>
      <c r="L7" s="8" t="str">
        <f t="shared" ref="L7:L10" si="4">IF(C7&lt;11,"NA",IF(C7&lt;15,"ECA",IF(C7&lt;18,"A",IF(C7&lt;20,"A+"))))</f>
        <v>NA</v>
      </c>
      <c r="O7" s="8">
        <f t="shared" ref="O7:O10" si="5">D7*G7</f>
        <v>4.6500000000000004</v>
      </c>
      <c r="P7" s="8">
        <f t="shared" si="1"/>
        <v>4.45</v>
      </c>
      <c r="Q7" s="8">
        <f t="shared" si="2"/>
        <v>4.125</v>
      </c>
    </row>
    <row r="8" spans="2:29" ht="16.5" thickBot="1" x14ac:dyDescent="0.3">
      <c r="B8" s="64" t="s">
        <v>62</v>
      </c>
      <c r="C8" s="5">
        <f>F8</f>
        <v>14.5</v>
      </c>
      <c r="D8" s="5"/>
      <c r="E8" s="5"/>
      <c r="F8" s="5">
        <v>14.5</v>
      </c>
      <c r="G8" s="6">
        <v>2</v>
      </c>
      <c r="H8" s="7">
        <f t="shared" si="3"/>
        <v>29</v>
      </c>
      <c r="I8" s="62"/>
      <c r="J8" s="63"/>
      <c r="K8" s="8"/>
      <c r="L8" s="8" t="str">
        <f t="shared" si="4"/>
        <v>ECA</v>
      </c>
      <c r="O8" s="8">
        <f t="shared" si="5"/>
        <v>0</v>
      </c>
      <c r="P8" s="8">
        <f t="shared" si="1"/>
        <v>0</v>
      </c>
      <c r="Q8" s="8">
        <f t="shared" si="2"/>
        <v>29</v>
      </c>
    </row>
    <row r="9" spans="2:29" ht="16.5" thickBot="1" x14ac:dyDescent="0.3">
      <c r="B9" s="64" t="s">
        <v>50</v>
      </c>
      <c r="C9" s="5">
        <f t="shared" si="0"/>
        <v>6.6500000000000012</v>
      </c>
      <c r="D9" s="5">
        <v>7.05</v>
      </c>
      <c r="E9" s="5">
        <v>7.15</v>
      </c>
      <c r="F9" s="5">
        <v>5.75</v>
      </c>
      <c r="G9" s="6">
        <v>2</v>
      </c>
      <c r="H9" s="7">
        <f t="shared" si="3"/>
        <v>13.300000000000002</v>
      </c>
      <c r="I9" s="90"/>
      <c r="J9" s="91"/>
      <c r="K9" s="8"/>
      <c r="L9" s="8" t="str">
        <f t="shared" si="4"/>
        <v>NA</v>
      </c>
      <c r="O9" s="8">
        <f t="shared" si="5"/>
        <v>14.1</v>
      </c>
      <c r="P9" s="8">
        <f t="shared" si="1"/>
        <v>14.3</v>
      </c>
      <c r="Q9" s="8">
        <f t="shared" si="2"/>
        <v>11.5</v>
      </c>
    </row>
    <row r="10" spans="2:29" ht="16.5" thickBot="1" x14ac:dyDescent="0.3">
      <c r="B10" s="64" t="s">
        <v>51</v>
      </c>
      <c r="C10" s="5">
        <f t="shared" si="0"/>
        <v>8.9233333333333338</v>
      </c>
      <c r="D10" s="5">
        <v>7.35</v>
      </c>
      <c r="E10" s="5">
        <v>11.67</v>
      </c>
      <c r="F10" s="5">
        <v>7.75</v>
      </c>
      <c r="G10" s="6">
        <v>1</v>
      </c>
      <c r="H10" s="7">
        <f t="shared" si="3"/>
        <v>8.9233333333333338</v>
      </c>
      <c r="I10" s="76"/>
      <c r="J10" s="77"/>
      <c r="K10" s="8"/>
      <c r="L10" s="8" t="str">
        <f t="shared" si="4"/>
        <v>NA</v>
      </c>
      <c r="O10" s="8">
        <f t="shared" si="5"/>
        <v>7.35</v>
      </c>
      <c r="P10" s="8">
        <f t="shared" si="1"/>
        <v>11.67</v>
      </c>
      <c r="Q10" s="8">
        <f t="shared" si="2"/>
        <v>7.75</v>
      </c>
    </row>
    <row r="11" spans="2:29" ht="16.5" thickBot="1" x14ac:dyDescent="0.3">
      <c r="B11" s="78" t="s">
        <v>58</v>
      </c>
      <c r="C11" s="79"/>
      <c r="D11" s="79"/>
      <c r="E11" s="79"/>
      <c r="F11" s="79"/>
      <c r="G11" s="79"/>
      <c r="H11" s="79"/>
      <c r="I11" s="79"/>
      <c r="J11" s="79"/>
      <c r="K11" s="79"/>
      <c r="L11" s="80"/>
    </row>
    <row r="12" spans="2:29" ht="16.5" thickBot="1" x14ac:dyDescent="0.3">
      <c r="B12" s="9" t="s">
        <v>12</v>
      </c>
      <c r="C12" s="86">
        <f>(SUM(H5:H10)/SUM(G5:G10))</f>
        <v>8.0642424242424244</v>
      </c>
      <c r="D12" s="86"/>
      <c r="E12" s="86"/>
      <c r="F12" s="86"/>
      <c r="G12" s="87" t="s">
        <v>13</v>
      </c>
      <c r="H12" s="87"/>
      <c r="I12" s="69"/>
      <c r="J12" s="88"/>
      <c r="K12" s="88"/>
      <c r="L12" s="89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spans="2:29" ht="16.5" thickBot="1" x14ac:dyDescent="0.3">
      <c r="B13" s="81"/>
      <c r="C13" s="82"/>
      <c r="D13" s="82"/>
      <c r="E13" s="82"/>
      <c r="F13" s="82"/>
      <c r="G13" s="82"/>
      <c r="H13" s="82"/>
      <c r="I13" s="82"/>
      <c r="J13" s="82"/>
      <c r="K13" s="82"/>
      <c r="L13" s="83"/>
    </row>
    <row r="14" spans="2:29" ht="16.5" thickBot="1" x14ac:dyDescent="0.3">
      <c r="B14" s="64" t="s">
        <v>47</v>
      </c>
      <c r="C14" s="5">
        <f>(D14+F14+E14)/3</f>
        <v>13.216666666666667</v>
      </c>
      <c r="D14" s="5">
        <v>12.95</v>
      </c>
      <c r="E14" s="5">
        <v>13.7</v>
      </c>
      <c r="F14" s="5">
        <v>13</v>
      </c>
      <c r="G14" s="6">
        <v>2</v>
      </c>
      <c r="H14" s="7">
        <f t="shared" ref="H14:H17" si="6">C14*G14</f>
        <v>26.433333333333334</v>
      </c>
      <c r="I14" s="76"/>
      <c r="J14" s="77"/>
      <c r="K14" s="8"/>
      <c r="L14" s="8" t="str">
        <f>IF(C14&lt;11,"NA",IF(C14&lt;15,"ECA",IF(C14&lt;18,"A",IF(C14&lt;20,"A+"))))</f>
        <v>ECA</v>
      </c>
      <c r="O14" s="8">
        <f t="shared" ref="O14:O17" si="7">D14*G14</f>
        <v>25.9</v>
      </c>
      <c r="P14" s="8">
        <f>E14*G14</f>
        <v>27.4</v>
      </c>
      <c r="Q14" s="8">
        <f>G14*F14</f>
        <v>26</v>
      </c>
    </row>
    <row r="15" spans="2:29" ht="16.5" thickBot="1" x14ac:dyDescent="0.3">
      <c r="B15" s="64" t="s">
        <v>14</v>
      </c>
      <c r="C15" s="5">
        <f t="shared" ref="C15:C17" si="8">(D15+F15+E15)/3</f>
        <v>12.083333333333334</v>
      </c>
      <c r="D15" s="5">
        <v>11.375</v>
      </c>
      <c r="E15" s="5">
        <v>11.85</v>
      </c>
      <c r="F15" s="5">
        <v>13.025</v>
      </c>
      <c r="G15" s="6">
        <v>1.5</v>
      </c>
      <c r="H15" s="7">
        <f t="shared" si="6"/>
        <v>18.125</v>
      </c>
      <c r="I15" s="76"/>
      <c r="J15" s="77"/>
      <c r="K15" s="8"/>
      <c r="L15" s="8" t="str">
        <f t="shared" ref="L15:L17" si="9">IF(C15&lt;11,"NA",IF(C15&lt;15,"ECA",IF(C15&lt;18,"A",IF(C15&lt;20,"A+"))))</f>
        <v>ECA</v>
      </c>
      <c r="O15" s="8">
        <f t="shared" si="7"/>
        <v>17.0625</v>
      </c>
      <c r="P15" s="8">
        <f t="shared" ref="P15:P17" si="10">E15*G15</f>
        <v>17.774999999999999</v>
      </c>
      <c r="Q15" s="8">
        <f t="shared" ref="Q15:Q17" si="11">G15*F15</f>
        <v>19.537500000000001</v>
      </c>
    </row>
    <row r="16" spans="2:29" ht="16.5" thickBot="1" x14ac:dyDescent="0.3">
      <c r="B16" s="64" t="s">
        <v>15</v>
      </c>
      <c r="C16" s="5">
        <f t="shared" si="8"/>
        <v>10.025</v>
      </c>
      <c r="D16" s="5">
        <v>8.2749999999999986</v>
      </c>
      <c r="E16" s="5">
        <v>11.425000000000001</v>
      </c>
      <c r="F16" s="5">
        <v>10.375</v>
      </c>
      <c r="G16" s="6">
        <v>1.5</v>
      </c>
      <c r="H16" s="7">
        <f t="shared" si="6"/>
        <v>15.037500000000001</v>
      </c>
      <c r="I16" s="76"/>
      <c r="J16" s="77"/>
      <c r="K16" s="8"/>
      <c r="L16" s="8" t="str">
        <f t="shared" si="9"/>
        <v>NA</v>
      </c>
      <c r="O16" s="8">
        <f t="shared" si="7"/>
        <v>12.412499999999998</v>
      </c>
      <c r="P16" s="8">
        <f t="shared" si="10"/>
        <v>17.137500000000003</v>
      </c>
      <c r="Q16" s="8">
        <f t="shared" si="11"/>
        <v>15.5625</v>
      </c>
    </row>
    <row r="17" spans="2:17" ht="16.5" thickBot="1" x14ac:dyDescent="0.3">
      <c r="B17" s="64" t="s">
        <v>52</v>
      </c>
      <c r="C17" s="5">
        <f t="shared" si="8"/>
        <v>9.7166666666666668</v>
      </c>
      <c r="D17" s="5">
        <v>10.65</v>
      </c>
      <c r="E17" s="5">
        <v>9.5</v>
      </c>
      <c r="F17" s="5">
        <v>9</v>
      </c>
      <c r="G17" s="6">
        <v>1</v>
      </c>
      <c r="H17" s="7">
        <f t="shared" si="6"/>
        <v>9.7166666666666668</v>
      </c>
      <c r="I17" s="76"/>
      <c r="J17" s="77"/>
      <c r="K17" s="8"/>
      <c r="L17" s="8" t="str">
        <f t="shared" si="9"/>
        <v>NA</v>
      </c>
      <c r="O17" s="8">
        <f t="shared" si="7"/>
        <v>10.65</v>
      </c>
      <c r="P17" s="8">
        <f t="shared" si="10"/>
        <v>9.5</v>
      </c>
      <c r="Q17" s="8">
        <f t="shared" si="11"/>
        <v>9</v>
      </c>
    </row>
    <row r="18" spans="2:17" ht="16.149999999999999" customHeight="1" thickBot="1" x14ac:dyDescent="0.3">
      <c r="B18" s="78" t="s">
        <v>59</v>
      </c>
      <c r="C18" s="79"/>
      <c r="D18" s="79"/>
      <c r="E18" s="79"/>
      <c r="F18" s="79"/>
      <c r="G18" s="79"/>
      <c r="H18" s="79"/>
      <c r="I18" s="79"/>
      <c r="J18" s="79"/>
      <c r="K18" s="79"/>
      <c r="L18" s="80"/>
    </row>
    <row r="19" spans="2:17" ht="16.149999999999999" customHeight="1" thickBot="1" x14ac:dyDescent="0.3">
      <c r="B19" s="9" t="s">
        <v>16</v>
      </c>
      <c r="C19" s="86">
        <f>(SUM(H14:H17)/SUM(G14:G17))</f>
        <v>11.552083333333334</v>
      </c>
      <c r="D19" s="86"/>
      <c r="E19" s="86"/>
      <c r="F19" s="86"/>
      <c r="G19" s="87" t="s">
        <v>13</v>
      </c>
      <c r="H19" s="87"/>
      <c r="I19" s="69"/>
      <c r="J19" s="88"/>
      <c r="K19" s="88"/>
      <c r="L19" s="89"/>
    </row>
    <row r="20" spans="2:17" ht="16.5" thickBot="1" x14ac:dyDescent="0.3">
      <c r="B20" s="92"/>
      <c r="C20" s="93"/>
      <c r="D20" s="93"/>
      <c r="E20" s="93"/>
      <c r="F20" s="93"/>
      <c r="G20" s="93"/>
      <c r="H20" s="93"/>
      <c r="I20" s="93"/>
      <c r="J20" s="93"/>
      <c r="K20" s="93"/>
      <c r="L20" s="94"/>
    </row>
    <row r="21" spans="2:17" ht="16.5" thickBot="1" x14ac:dyDescent="0.3">
      <c r="B21" s="64" t="s">
        <v>9</v>
      </c>
      <c r="C21" s="5">
        <f>(D21+F21+E21)/3</f>
        <v>7.5250000000000012</v>
      </c>
      <c r="D21" s="5">
        <v>9.0749999999999993</v>
      </c>
      <c r="E21" s="5">
        <v>6.1</v>
      </c>
      <c r="F21" s="8">
        <v>7.4</v>
      </c>
      <c r="G21" s="6">
        <v>2</v>
      </c>
      <c r="H21" s="7">
        <f t="shared" ref="H21:H24" si="12">C21*G21</f>
        <v>15.050000000000002</v>
      </c>
      <c r="I21" s="76"/>
      <c r="J21" s="77"/>
      <c r="K21" s="8"/>
      <c r="L21" s="8" t="str">
        <f t="shared" ref="L21:L24" si="13">IF(C21&lt;11,"NA",IF(C21&lt;15,"ECA",IF(C21&lt;18,"A",IF(C21&lt;20,"A+"))))</f>
        <v>NA</v>
      </c>
      <c r="O21" s="8">
        <f t="shared" ref="O21:O24" si="14">D21*G21</f>
        <v>18.149999999999999</v>
      </c>
      <c r="P21" s="8">
        <f>E21*G21</f>
        <v>12.2</v>
      </c>
      <c r="Q21" s="8">
        <f>G21*F21</f>
        <v>14.8</v>
      </c>
    </row>
    <row r="22" spans="2:17" ht="16.5" thickBot="1" x14ac:dyDescent="0.3">
      <c r="B22" s="64" t="s">
        <v>10</v>
      </c>
      <c r="C22" s="5">
        <f t="shared" ref="C22:C24" si="15">(D22+F22+E22)/3</f>
        <v>9.9266666666666676</v>
      </c>
      <c r="D22" s="5">
        <v>8.4</v>
      </c>
      <c r="E22" s="5">
        <v>8.7799999999999994</v>
      </c>
      <c r="F22" s="8">
        <v>12.6</v>
      </c>
      <c r="G22" s="6">
        <v>4</v>
      </c>
      <c r="H22" s="7">
        <f t="shared" si="12"/>
        <v>39.706666666666671</v>
      </c>
      <c r="I22" s="76"/>
      <c r="J22" s="77"/>
      <c r="K22" s="8"/>
      <c r="L22" s="8" t="str">
        <f t="shared" si="13"/>
        <v>NA</v>
      </c>
      <c r="O22" s="8">
        <f t="shared" si="14"/>
        <v>33.6</v>
      </c>
      <c r="P22" s="8">
        <f t="shared" ref="P22:P24" si="16">E22*G22</f>
        <v>35.119999999999997</v>
      </c>
      <c r="Q22" s="8">
        <f t="shared" ref="Q22:Q24" si="17">G22*F22</f>
        <v>50.4</v>
      </c>
    </row>
    <row r="23" spans="2:17" ht="16.5" thickBot="1" x14ac:dyDescent="0.3">
      <c r="B23" s="64" t="s">
        <v>56</v>
      </c>
      <c r="C23" s="5">
        <f>F23</f>
        <v>8</v>
      </c>
      <c r="D23" s="5"/>
      <c r="E23" s="5"/>
      <c r="F23" s="8">
        <v>8</v>
      </c>
      <c r="G23" s="6">
        <v>2</v>
      </c>
      <c r="H23" s="7">
        <f t="shared" si="12"/>
        <v>16</v>
      </c>
      <c r="I23" s="76"/>
      <c r="J23" s="77"/>
      <c r="K23" s="8"/>
      <c r="L23" s="8" t="str">
        <f t="shared" si="13"/>
        <v>NA</v>
      </c>
      <c r="O23" s="8">
        <f t="shared" si="14"/>
        <v>0</v>
      </c>
      <c r="P23" s="8">
        <f t="shared" si="16"/>
        <v>0</v>
      </c>
      <c r="Q23" s="8">
        <f t="shared" si="17"/>
        <v>16</v>
      </c>
    </row>
    <row r="24" spans="2:17" ht="16.5" thickBot="1" x14ac:dyDescent="0.3">
      <c r="B24" s="64" t="s">
        <v>11</v>
      </c>
      <c r="C24" s="5">
        <f t="shared" si="15"/>
        <v>9.3833333333333329</v>
      </c>
      <c r="D24" s="5">
        <v>9.5500000000000007</v>
      </c>
      <c r="E24" s="5">
        <v>6.6</v>
      </c>
      <c r="F24" s="8">
        <v>12</v>
      </c>
      <c r="G24" s="6">
        <v>2</v>
      </c>
      <c r="H24" s="7">
        <f t="shared" si="12"/>
        <v>18.766666666666666</v>
      </c>
      <c r="I24" s="76"/>
      <c r="J24" s="77"/>
      <c r="K24" s="8"/>
      <c r="L24" s="8" t="str">
        <f t="shared" si="13"/>
        <v>NA</v>
      </c>
      <c r="O24" s="8">
        <f t="shared" si="14"/>
        <v>19.100000000000001</v>
      </c>
      <c r="P24" s="8">
        <f t="shared" si="16"/>
        <v>13.2</v>
      </c>
      <c r="Q24" s="8">
        <f t="shared" si="17"/>
        <v>24</v>
      </c>
    </row>
    <row r="25" spans="2:17" ht="16.149999999999999" customHeight="1" thickBot="1" x14ac:dyDescent="0.3">
      <c r="B25" s="78" t="s">
        <v>60</v>
      </c>
      <c r="C25" s="79"/>
      <c r="D25" s="79"/>
      <c r="E25" s="79"/>
      <c r="F25" s="79"/>
      <c r="G25" s="79"/>
      <c r="H25" s="79"/>
      <c r="I25" s="79"/>
      <c r="J25" s="79"/>
      <c r="K25" s="79"/>
      <c r="L25" s="80"/>
    </row>
    <row r="26" spans="2:17" ht="16.149999999999999" customHeight="1" thickBot="1" x14ac:dyDescent="0.3">
      <c r="B26" s="9" t="s">
        <v>12</v>
      </c>
      <c r="C26" s="86">
        <f>(SUM(H21:H24)/SUM(G21:G24))</f>
        <v>8.9523333333333337</v>
      </c>
      <c r="D26" s="86"/>
      <c r="E26" s="86"/>
      <c r="F26" s="86"/>
      <c r="G26" s="87" t="s">
        <v>13</v>
      </c>
      <c r="H26" s="87"/>
      <c r="I26" s="69"/>
      <c r="J26" s="88"/>
      <c r="K26" s="88"/>
      <c r="L26" s="89"/>
    </row>
    <row r="27" spans="2:17" ht="16.5" thickBot="1" x14ac:dyDescent="0.3">
      <c r="B27" s="81"/>
      <c r="C27" s="82"/>
      <c r="D27" s="82"/>
      <c r="E27" s="82"/>
      <c r="F27" s="82"/>
      <c r="G27" s="82"/>
      <c r="H27" s="82"/>
      <c r="I27" s="100"/>
      <c r="J27" s="100"/>
      <c r="K27" s="100"/>
      <c r="L27" s="83"/>
    </row>
    <row r="28" spans="2:17" ht="16.5" thickBot="1" x14ac:dyDescent="0.3">
      <c r="B28" s="64" t="s">
        <v>53</v>
      </c>
      <c r="C28" s="5">
        <f>(D28+F28+E28)/3</f>
        <v>14.833333333333334</v>
      </c>
      <c r="D28" s="8">
        <v>15.5</v>
      </c>
      <c r="E28" s="8">
        <v>15</v>
      </c>
      <c r="F28" s="8">
        <v>14</v>
      </c>
      <c r="G28" s="6">
        <v>1</v>
      </c>
      <c r="H28" s="7">
        <f t="shared" ref="H28:H31" si="18">C28*G28</f>
        <v>14.833333333333334</v>
      </c>
      <c r="I28" s="76"/>
      <c r="J28" s="77"/>
      <c r="K28" s="8"/>
      <c r="L28" s="8" t="str">
        <f t="shared" ref="L28:L31" si="19">IF(C28&lt;11,"NA",IF(C28&lt;15,"ECA",IF(C28&lt;18,"A",IF(C28&lt;20,"A+"))))</f>
        <v>ECA</v>
      </c>
      <c r="O28" s="8">
        <f t="shared" ref="O28:O31" si="20">D28*G28</f>
        <v>15.5</v>
      </c>
      <c r="P28" s="8">
        <f>E28*G28</f>
        <v>15</v>
      </c>
      <c r="Q28" s="8">
        <f>G28*F28</f>
        <v>14</v>
      </c>
    </row>
    <row r="29" spans="2:17" ht="16.5" thickBot="1" x14ac:dyDescent="0.3">
      <c r="B29" s="64" t="s">
        <v>48</v>
      </c>
      <c r="C29" s="5">
        <f t="shared" ref="C29:C31" si="21">(D29+F29+E29)/3</f>
        <v>13.116666666666667</v>
      </c>
      <c r="D29" s="8">
        <v>12.2</v>
      </c>
      <c r="E29" s="8">
        <v>14.65</v>
      </c>
      <c r="F29" s="8">
        <v>12.5</v>
      </c>
      <c r="G29" s="6">
        <v>2</v>
      </c>
      <c r="H29" s="7">
        <f t="shared" si="18"/>
        <v>26.233333333333334</v>
      </c>
      <c r="I29" s="76"/>
      <c r="J29" s="77"/>
      <c r="K29" s="8"/>
      <c r="L29" s="8" t="str">
        <f t="shared" si="19"/>
        <v>ECA</v>
      </c>
      <c r="O29" s="8">
        <f t="shared" si="20"/>
        <v>24.4</v>
      </c>
      <c r="P29" s="8">
        <f t="shared" ref="P29:P31" si="22">E29*G29</f>
        <v>29.3</v>
      </c>
      <c r="Q29" s="8">
        <f t="shared" ref="Q29:Q31" si="23">G29*F29</f>
        <v>25</v>
      </c>
    </row>
    <row r="30" spans="2:17" ht="16.5" thickBot="1" x14ac:dyDescent="0.3">
      <c r="B30" s="64" t="s">
        <v>49</v>
      </c>
      <c r="C30" s="5">
        <f t="shared" si="21"/>
        <v>12.533333333333333</v>
      </c>
      <c r="D30" s="8">
        <v>12.5</v>
      </c>
      <c r="E30" s="8">
        <v>11.1</v>
      </c>
      <c r="F30" s="8">
        <v>14</v>
      </c>
      <c r="G30" s="6">
        <v>1</v>
      </c>
      <c r="H30" s="7">
        <f t="shared" si="18"/>
        <v>12.533333333333333</v>
      </c>
      <c r="I30" s="76"/>
      <c r="J30" s="77"/>
      <c r="K30" s="8"/>
      <c r="L30" s="8" t="str">
        <f t="shared" si="19"/>
        <v>ECA</v>
      </c>
      <c r="O30" s="8">
        <f t="shared" si="20"/>
        <v>12.5</v>
      </c>
      <c r="P30" s="8">
        <f t="shared" si="22"/>
        <v>11.1</v>
      </c>
      <c r="Q30" s="8">
        <f t="shared" si="23"/>
        <v>14</v>
      </c>
    </row>
    <row r="31" spans="2:17" ht="16.5" thickBot="1" x14ac:dyDescent="0.3">
      <c r="B31" s="64" t="s">
        <v>18</v>
      </c>
      <c r="C31" s="5">
        <f t="shared" si="21"/>
        <v>14.833333333333334</v>
      </c>
      <c r="D31" s="8">
        <v>13.5</v>
      </c>
      <c r="E31" s="8">
        <v>16</v>
      </c>
      <c r="F31" s="8">
        <v>15</v>
      </c>
      <c r="G31" s="6">
        <v>1</v>
      </c>
      <c r="H31" s="7">
        <f t="shared" si="18"/>
        <v>14.833333333333334</v>
      </c>
      <c r="I31" s="76"/>
      <c r="J31" s="77"/>
      <c r="K31" s="8"/>
      <c r="L31" s="8" t="str">
        <f t="shared" si="19"/>
        <v>ECA</v>
      </c>
      <c r="O31" s="8">
        <f t="shared" si="20"/>
        <v>13.5</v>
      </c>
      <c r="P31" s="8">
        <f t="shared" si="22"/>
        <v>16</v>
      </c>
      <c r="Q31" s="8">
        <f t="shared" si="23"/>
        <v>15</v>
      </c>
    </row>
    <row r="32" spans="2:17" ht="16.149999999999999" customHeight="1" thickBot="1" x14ac:dyDescent="0.3">
      <c r="B32" s="64" t="s">
        <v>57</v>
      </c>
      <c r="C32" s="65"/>
      <c r="D32" s="65"/>
      <c r="E32" s="65"/>
      <c r="F32" s="65"/>
      <c r="G32" s="65"/>
      <c r="H32" s="65"/>
      <c r="I32" s="65"/>
      <c r="J32" s="65"/>
      <c r="K32" s="65"/>
      <c r="L32" s="66"/>
      <c r="O32" s="1">
        <f>SUM(O6:O31)</f>
        <v>246.57499999999999</v>
      </c>
      <c r="P32" s="1">
        <f>SUM(P6:P31)</f>
        <v>260.55250000000001</v>
      </c>
      <c r="Q32" s="1">
        <f>SUM(Q5:Q31)</f>
        <v>330.8</v>
      </c>
    </row>
    <row r="33" spans="2:17" ht="16.149999999999999" customHeight="1" thickBot="1" x14ac:dyDescent="0.3">
      <c r="B33" s="9" t="s">
        <v>16</v>
      </c>
      <c r="C33" s="86">
        <f>(SUM(H28:H31)/SUM(G28:G31))</f>
        <v>13.686666666666667</v>
      </c>
      <c r="D33" s="86"/>
      <c r="E33" s="86"/>
      <c r="F33" s="86"/>
      <c r="G33" s="87" t="s">
        <v>13</v>
      </c>
      <c r="H33" s="87"/>
      <c r="I33" s="69"/>
      <c r="J33" s="88"/>
      <c r="K33" s="88"/>
      <c r="L33" s="89"/>
      <c r="O33" s="1">
        <v>26</v>
      </c>
      <c r="P33" s="1">
        <v>26</v>
      </c>
      <c r="Q33" s="1">
        <v>32</v>
      </c>
    </row>
    <row r="34" spans="2:17" ht="16.5" thickBot="1" x14ac:dyDescent="0.3">
      <c r="B34" s="81"/>
      <c r="C34" s="82"/>
      <c r="D34" s="82"/>
      <c r="E34" s="82"/>
      <c r="F34" s="82"/>
      <c r="G34" s="82"/>
      <c r="H34" s="82"/>
      <c r="I34" s="82"/>
      <c r="J34" s="82"/>
      <c r="K34" s="82"/>
      <c r="L34" s="83"/>
      <c r="O34" s="1">
        <f>O32/O33</f>
        <v>9.483653846153846</v>
      </c>
      <c r="P34" s="1">
        <f>P32/P33</f>
        <v>10.02125</v>
      </c>
      <c r="Q34" s="1">
        <f>Q32/Q33</f>
        <v>10.3375</v>
      </c>
    </row>
    <row r="35" spans="2:17" s="17" customFormat="1" ht="48" thickBot="1" x14ac:dyDescent="0.3">
      <c r="B35" s="64" t="s">
        <v>19</v>
      </c>
      <c r="C35" s="70" t="s">
        <v>20</v>
      </c>
      <c r="D35" s="69"/>
      <c r="E35" s="69"/>
      <c r="F35" s="71" t="s">
        <v>21</v>
      </c>
      <c r="G35" s="88"/>
      <c r="H35" s="88"/>
      <c r="I35" s="71" t="s">
        <v>22</v>
      </c>
      <c r="J35" s="88"/>
      <c r="K35" s="88"/>
      <c r="L35" s="72"/>
    </row>
    <row r="36" spans="2:17" x14ac:dyDescent="0.25">
      <c r="B36" s="18"/>
      <c r="C36" s="19" t="s">
        <v>1</v>
      </c>
      <c r="D36" s="19" t="s">
        <v>63</v>
      </c>
      <c r="E36" s="19" t="s">
        <v>65</v>
      </c>
      <c r="F36" s="20"/>
      <c r="G36" s="20"/>
      <c r="H36" s="21"/>
      <c r="I36" s="101"/>
      <c r="J36" s="100"/>
      <c r="K36" s="100"/>
      <c r="L36" s="102"/>
    </row>
    <row r="37" spans="2:17" x14ac:dyDescent="0.25">
      <c r="B37" s="22" t="s">
        <v>23</v>
      </c>
      <c r="C37" s="23">
        <f>O34</f>
        <v>9.483653846153846</v>
      </c>
      <c r="D37" s="23">
        <f>P34</f>
        <v>10.02125</v>
      </c>
      <c r="E37" s="23">
        <f>Q34</f>
        <v>10.3375</v>
      </c>
      <c r="F37" s="32" t="s">
        <v>66</v>
      </c>
      <c r="G37" s="25">
        <f>(H5+H6+H7+H8+H9+H10+H14+H15+H16+H17+H21+H22+H23+H24+H28+H29+H30+H31)/32</f>
        <v>9.8742447916666674</v>
      </c>
      <c r="H37" s="24" t="s">
        <v>25</v>
      </c>
      <c r="I37" s="103" t="s">
        <v>26</v>
      </c>
      <c r="J37" s="104"/>
      <c r="K37" s="26"/>
      <c r="L37" s="27" t="s">
        <v>25</v>
      </c>
    </row>
    <row r="38" spans="2:17" ht="16.149999999999999" customHeight="1" thickBot="1" x14ac:dyDescent="0.3">
      <c r="B38" s="95"/>
      <c r="C38" s="96"/>
      <c r="D38" s="96"/>
      <c r="E38" s="96"/>
      <c r="F38" s="96"/>
      <c r="G38" s="96"/>
      <c r="H38" s="96"/>
      <c r="I38" s="97"/>
      <c r="J38" s="98"/>
      <c r="K38" s="98"/>
      <c r="L38" s="99"/>
    </row>
    <row r="39" spans="2:17" ht="16.149999999999999" customHeight="1" thickBot="1" x14ac:dyDescent="0.3">
      <c r="B39" s="105" t="s">
        <v>67</v>
      </c>
      <c r="C39" s="106"/>
      <c r="D39" s="106"/>
      <c r="E39" s="106"/>
      <c r="F39" s="106"/>
      <c r="G39" s="106"/>
      <c r="H39" s="106"/>
      <c r="I39" s="106"/>
      <c r="J39" s="106"/>
      <c r="K39" s="106"/>
      <c r="L39" s="107"/>
    </row>
    <row r="40" spans="2:17" ht="16.149999999999999" customHeight="1" thickBot="1" x14ac:dyDescent="0.3">
      <c r="B40" s="108" t="s">
        <v>28</v>
      </c>
      <c r="C40" s="88"/>
      <c r="D40" s="88"/>
      <c r="E40" s="88"/>
      <c r="F40" s="88"/>
      <c r="G40" s="88"/>
      <c r="H40" s="88"/>
      <c r="I40" s="88"/>
      <c r="J40" s="88"/>
      <c r="K40" s="88"/>
      <c r="L40" s="89"/>
    </row>
    <row r="41" spans="2:17" ht="16.149999999999999" customHeight="1" thickBot="1" x14ac:dyDescent="0.3">
      <c r="B41" s="64" t="s">
        <v>29</v>
      </c>
      <c r="C41" s="81" t="s">
        <v>30</v>
      </c>
      <c r="D41" s="82"/>
      <c r="E41" s="82"/>
      <c r="F41" s="83"/>
      <c r="G41" s="109" t="s">
        <v>31</v>
      </c>
      <c r="H41" s="110"/>
      <c r="I41" s="110"/>
      <c r="J41" s="110"/>
      <c r="K41" s="110"/>
      <c r="L41" s="111"/>
    </row>
    <row r="42" spans="2:17" ht="16.149999999999999" customHeight="1" thickBot="1" x14ac:dyDescent="0.3">
      <c r="B42" s="42" t="s">
        <v>32</v>
      </c>
      <c r="C42" s="110" t="str">
        <f>IF(G37&lt;11,"NA",IF(G37&lt;15,"ECA",IF(G37&lt;18,"A",IF(G37&lt;20,"A+"))))</f>
        <v>NA</v>
      </c>
      <c r="D42" s="110" t="e">
        <f>IF(#REF!&lt;11,"NA",IF(#REF!&lt;15,"ECA",IF(#REF!&lt;18,"A",IF(#REF!&lt;20,"A+"))))</f>
        <v>#REF!</v>
      </c>
      <c r="E42" s="110"/>
      <c r="F42" s="111" t="e">
        <f>IF(#REF!&lt;11,"NA",IF(#REF!&lt;15,"ECA",IF(#REF!&lt;18,"A",IF(#REF!&lt;20,"A+"))))</f>
        <v>#REF!</v>
      </c>
      <c r="G42" s="112"/>
      <c r="H42" s="113"/>
      <c r="I42" s="113"/>
      <c r="J42" s="113"/>
      <c r="K42" s="113"/>
      <c r="L42" s="114"/>
    </row>
    <row r="43" spans="2:17" ht="16.149999999999999" customHeight="1" thickBot="1" x14ac:dyDescent="0.3">
      <c r="B43" s="43" t="s">
        <v>33</v>
      </c>
      <c r="C43" s="115" t="e">
        <f>IF(#REF!&lt;11,"NA",IF(#REF!&lt;15,"ECA",IF(#REF!&lt;18,"A",IF(#REF!&lt;20,"A+"))))</f>
        <v>#REF!</v>
      </c>
      <c r="D43" s="116" t="e">
        <f>IF(#REF!&lt;11,"NA",IF(#REF!&lt;15,"ECA",IF(#REF!&lt;18,"A",IF(#REF!&lt;20,"A+"))))</f>
        <v>#REF!</v>
      </c>
      <c r="E43" s="116"/>
      <c r="F43" s="117" t="e">
        <f>IF(#REF!&lt;11,"NA",IF(#REF!&lt;15,"ECA",IF(#REF!&lt;18,"A",IF(#REF!&lt;20,"A+"))))</f>
        <v>#REF!</v>
      </c>
      <c r="G43" s="108" t="s">
        <v>34</v>
      </c>
      <c r="H43" s="88"/>
      <c r="I43" s="88"/>
      <c r="J43" s="89"/>
      <c r="K43" s="109" t="s">
        <v>35</v>
      </c>
      <c r="L43" s="111"/>
    </row>
    <row r="44" spans="2:17" ht="16.149999999999999" customHeight="1" thickBot="1" x14ac:dyDescent="0.3">
      <c r="B44" s="29" t="s">
        <v>36</v>
      </c>
      <c r="C44" s="112" t="e">
        <f>IF(#REF!&lt;11,"NA",IF(#REF!&lt;15,"ECA",IF(#REF!&lt;18,"A",IF(#REF!&lt;20,"A+"))))</f>
        <v>#REF!</v>
      </c>
      <c r="D44" s="113" t="e">
        <f>IF(#REF!&lt;11,"NA",IF(#REF!&lt;15,"ECA",IF(#REF!&lt;18,"A",IF(#REF!&lt;20,"A+"))))</f>
        <v>#REF!</v>
      </c>
      <c r="E44" s="113"/>
      <c r="F44" s="114" t="e">
        <f>IF(#REF!&lt;11,"NA",IF(#REF!&lt;15,"ECA",IF(#REF!&lt;18,"A",IF(#REF!&lt;20,"A+"))))</f>
        <v>#REF!</v>
      </c>
      <c r="G44" s="108" t="s">
        <v>37</v>
      </c>
      <c r="H44" s="88"/>
      <c r="I44" s="88"/>
      <c r="J44" s="89"/>
      <c r="K44" s="118" t="s">
        <v>38</v>
      </c>
      <c r="L44" s="119"/>
    </row>
    <row r="45" spans="2:17" ht="16.149999999999999" customHeight="1" thickBot="1" x14ac:dyDescent="0.3">
      <c r="B45" s="70" t="s">
        <v>39</v>
      </c>
      <c r="C45" s="109" t="s">
        <v>40</v>
      </c>
      <c r="D45" s="110"/>
      <c r="E45" s="110"/>
      <c r="F45" s="111"/>
      <c r="G45" s="108" t="s">
        <v>41</v>
      </c>
      <c r="H45" s="88"/>
      <c r="I45" s="88"/>
      <c r="J45" s="89"/>
      <c r="K45" s="118"/>
      <c r="L45" s="119"/>
    </row>
    <row r="46" spans="2:17" ht="16.149999999999999" customHeight="1" thickBot="1" x14ac:dyDescent="0.3">
      <c r="B46" s="70" t="s">
        <v>42</v>
      </c>
      <c r="C46" s="112"/>
      <c r="D46" s="113"/>
      <c r="E46" s="113"/>
      <c r="F46" s="114"/>
      <c r="G46" s="108" t="s">
        <v>43</v>
      </c>
      <c r="H46" s="88"/>
      <c r="I46" s="88"/>
      <c r="J46" s="89"/>
      <c r="K46" s="120" t="s">
        <v>44</v>
      </c>
      <c r="L46" s="121"/>
    </row>
    <row r="47" spans="2:17" ht="31.5" x14ac:dyDescent="0.25">
      <c r="B47" s="64" t="s">
        <v>45</v>
      </c>
      <c r="C47" s="101"/>
      <c r="D47" s="100"/>
      <c r="E47" s="100"/>
      <c r="F47" s="102"/>
      <c r="G47" s="101"/>
      <c r="H47" s="100"/>
      <c r="I47" s="100"/>
      <c r="J47" s="102"/>
      <c r="K47" s="120" t="s">
        <v>46</v>
      </c>
      <c r="L47" s="121"/>
    </row>
    <row r="48" spans="2:17" x14ac:dyDescent="0.25">
      <c r="B48" s="28"/>
      <c r="C48" s="122"/>
      <c r="D48" s="123"/>
      <c r="E48" s="123"/>
      <c r="F48" s="124"/>
      <c r="G48" s="122"/>
      <c r="H48" s="123"/>
      <c r="I48" s="123"/>
      <c r="J48" s="124"/>
      <c r="K48" s="128"/>
      <c r="L48" s="129"/>
    </row>
    <row r="49" spans="2:12" x14ac:dyDescent="0.25">
      <c r="B49" s="28"/>
      <c r="C49" s="122"/>
      <c r="D49" s="123"/>
      <c r="E49" s="123"/>
      <c r="F49" s="124"/>
      <c r="G49" s="122"/>
      <c r="H49" s="123"/>
      <c r="I49" s="123"/>
      <c r="J49" s="124"/>
      <c r="K49" s="128"/>
      <c r="L49" s="129"/>
    </row>
    <row r="50" spans="2:12" ht="16.5" thickBot="1" x14ac:dyDescent="0.3">
      <c r="B50" s="29"/>
      <c r="C50" s="125"/>
      <c r="D50" s="126"/>
      <c r="E50" s="126"/>
      <c r="F50" s="127"/>
      <c r="G50" s="125"/>
      <c r="H50" s="126"/>
      <c r="I50" s="126"/>
      <c r="J50" s="127"/>
      <c r="K50" s="97"/>
      <c r="L50" s="99"/>
    </row>
  </sheetData>
  <mergeCells count="62">
    <mergeCell ref="C45:F46"/>
    <mergeCell ref="G45:J45"/>
    <mergeCell ref="K45:L45"/>
    <mergeCell ref="G46:J46"/>
    <mergeCell ref="K46:L46"/>
    <mergeCell ref="C47:F50"/>
    <mergeCell ref="G47:J50"/>
    <mergeCell ref="K47:L47"/>
    <mergeCell ref="K48:L48"/>
    <mergeCell ref="K49:L49"/>
    <mergeCell ref="K50:L50"/>
    <mergeCell ref="B38:H38"/>
    <mergeCell ref="I38:L38"/>
    <mergeCell ref="B39:L39"/>
    <mergeCell ref="B40:L40"/>
    <mergeCell ref="C41:F41"/>
    <mergeCell ref="G41:L42"/>
    <mergeCell ref="C42:F44"/>
    <mergeCell ref="G43:J43"/>
    <mergeCell ref="G33:H33"/>
    <mergeCell ref="J33:L33"/>
    <mergeCell ref="B34:L34"/>
    <mergeCell ref="I36:L36"/>
    <mergeCell ref="I37:J37"/>
    <mergeCell ref="I4:J4"/>
    <mergeCell ref="I6:J6"/>
    <mergeCell ref="I7:J7"/>
    <mergeCell ref="I9:J9"/>
    <mergeCell ref="B18:L18"/>
    <mergeCell ref="I10:J10"/>
    <mergeCell ref="B11:L11"/>
    <mergeCell ref="C12:F12"/>
    <mergeCell ref="G12:H12"/>
    <mergeCell ref="J12:L12"/>
    <mergeCell ref="B13:L13"/>
    <mergeCell ref="I14:J14"/>
    <mergeCell ref="I15:J15"/>
    <mergeCell ref="I16:J16"/>
    <mergeCell ref="I17:J17"/>
    <mergeCell ref="J19:L19"/>
    <mergeCell ref="B20:L20"/>
    <mergeCell ref="I21:J21"/>
    <mergeCell ref="I22:J22"/>
    <mergeCell ref="I23:J23"/>
    <mergeCell ref="C19:F19"/>
    <mergeCell ref="G19:H19"/>
    <mergeCell ref="K43:L43"/>
    <mergeCell ref="G44:J44"/>
    <mergeCell ref="K44:L44"/>
    <mergeCell ref="I24:J24"/>
    <mergeCell ref="B25:L25"/>
    <mergeCell ref="C26:F26"/>
    <mergeCell ref="G26:H26"/>
    <mergeCell ref="J26:L26"/>
    <mergeCell ref="B27:L27"/>
    <mergeCell ref="I28:J28"/>
    <mergeCell ref="I29:J29"/>
    <mergeCell ref="I30:J30"/>
    <mergeCell ref="G35:H35"/>
    <mergeCell ref="J35:K35"/>
    <mergeCell ref="I31:J31"/>
    <mergeCell ref="C33:F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C50"/>
  <sheetViews>
    <sheetView zoomScale="60" zoomScaleNormal="60" workbookViewId="0">
      <selection activeCell="F21" sqref="F21"/>
    </sheetView>
  </sheetViews>
  <sheetFormatPr baseColWidth="10" defaultColWidth="11.42578125" defaultRowHeight="15.75" x14ac:dyDescent="0.25"/>
  <cols>
    <col min="1" max="1" width="11.42578125" style="1"/>
    <col min="2" max="2" width="44.140625" style="1" customWidth="1"/>
    <col min="3" max="3" width="12.140625" style="1" customWidth="1"/>
    <col min="4" max="5" width="11.42578125" style="1"/>
    <col min="6" max="6" width="15.5703125" style="1" customWidth="1"/>
    <col min="7" max="7" width="11.42578125" style="1"/>
    <col min="8" max="8" width="12.42578125" style="1" customWidth="1"/>
    <col min="9" max="11" width="11.42578125" style="1"/>
    <col min="12" max="12" width="18.28515625" style="1" bestFit="1" customWidth="1"/>
    <col min="13" max="16384" width="11.42578125" style="1"/>
  </cols>
  <sheetData>
    <row r="3" spans="2:29" ht="16.5" thickBot="1" x14ac:dyDescent="0.3"/>
    <row r="4" spans="2:29" ht="30.75" customHeight="1" thickBot="1" x14ac:dyDescent="0.3">
      <c r="B4" s="59" t="s">
        <v>0</v>
      </c>
      <c r="C4" s="68" t="s">
        <v>68</v>
      </c>
      <c r="D4" s="68" t="s">
        <v>1</v>
      </c>
      <c r="E4" s="68" t="s">
        <v>63</v>
      </c>
      <c r="F4" s="68" t="s">
        <v>64</v>
      </c>
      <c r="G4" s="68" t="s">
        <v>4</v>
      </c>
      <c r="H4" s="67" t="s">
        <v>5</v>
      </c>
      <c r="I4" s="84" t="s">
        <v>6</v>
      </c>
      <c r="J4" s="85"/>
      <c r="K4" s="68" t="s">
        <v>7</v>
      </c>
      <c r="L4" s="68" t="s">
        <v>8</v>
      </c>
    </row>
    <row r="5" spans="2:29" ht="18" customHeight="1" thickBot="1" x14ac:dyDescent="0.3">
      <c r="B5" s="60" t="s">
        <v>61</v>
      </c>
      <c r="C5" s="5">
        <f>F5</f>
        <v>12</v>
      </c>
      <c r="D5" s="58"/>
      <c r="E5" s="58"/>
      <c r="F5" s="5">
        <v>12</v>
      </c>
      <c r="G5" s="61">
        <v>2</v>
      </c>
      <c r="H5" s="7">
        <f>C5*G5</f>
        <v>24</v>
      </c>
      <c r="I5" s="67"/>
      <c r="J5" s="68"/>
      <c r="K5" s="58"/>
      <c r="L5" s="8" t="str">
        <f>IF(C5&lt;11,"NA",IF(C5&lt;15,"ECA",IF(C5&lt;18,"A",IF(C5&lt;20,"A+"))))</f>
        <v>ECA</v>
      </c>
      <c r="O5" s="8">
        <f>D5*G5</f>
        <v>0</v>
      </c>
      <c r="P5" s="8">
        <f>E5*G5</f>
        <v>0</v>
      </c>
      <c r="Q5" s="8">
        <f>G5*F5</f>
        <v>24</v>
      </c>
    </row>
    <row r="6" spans="2:29" ht="16.5" thickBot="1" x14ac:dyDescent="0.3">
      <c r="B6" s="64" t="s">
        <v>17</v>
      </c>
      <c r="C6" s="5">
        <f t="shared" ref="C6:C10" si="0">(D6+F6+E6)/3</f>
        <v>9.4583333333333339</v>
      </c>
      <c r="D6" s="5">
        <v>9.1999999999999993</v>
      </c>
      <c r="E6" s="5">
        <v>8.9749999999999996</v>
      </c>
      <c r="F6" s="5">
        <v>10.199999999999999</v>
      </c>
      <c r="G6" s="6">
        <v>3</v>
      </c>
      <c r="H6" s="7">
        <f>C6*G6</f>
        <v>28.375</v>
      </c>
      <c r="I6" s="76"/>
      <c r="J6" s="77"/>
      <c r="K6" s="8"/>
      <c r="L6" s="8" t="str">
        <f>IF(C6&lt;11,"NA",IF(C6&lt;15,"ECA",IF(C6&lt;18,"A",IF(C6&lt;20,"A+"))))</f>
        <v>NA</v>
      </c>
      <c r="O6" s="8">
        <f>D6*G6</f>
        <v>27.599999999999998</v>
      </c>
      <c r="P6" s="8">
        <f t="shared" ref="P6:P10" si="1">E6*G6</f>
        <v>26.924999999999997</v>
      </c>
      <c r="Q6" s="8">
        <f t="shared" ref="Q6:Q10" si="2">G6*F6</f>
        <v>30.599999999999998</v>
      </c>
    </row>
    <row r="7" spans="2:29" ht="16.5" thickBot="1" x14ac:dyDescent="0.3">
      <c r="B7" s="64" t="s">
        <v>54</v>
      </c>
      <c r="C7" s="5">
        <f t="shared" si="0"/>
        <v>8.9333333333333318</v>
      </c>
      <c r="D7" s="5">
        <v>9.9</v>
      </c>
      <c r="E7" s="5">
        <v>7.9</v>
      </c>
      <c r="F7" s="5">
        <v>9</v>
      </c>
      <c r="G7" s="6">
        <v>1</v>
      </c>
      <c r="H7" s="7">
        <f t="shared" ref="H7:H10" si="3">C7*G7</f>
        <v>8.9333333333333318</v>
      </c>
      <c r="I7" s="76"/>
      <c r="J7" s="77"/>
      <c r="K7" s="8"/>
      <c r="L7" s="8" t="str">
        <f t="shared" ref="L7:L10" si="4">IF(C7&lt;11,"NA",IF(C7&lt;15,"ECA",IF(C7&lt;18,"A",IF(C7&lt;20,"A+"))))</f>
        <v>NA</v>
      </c>
      <c r="O7" s="8">
        <f t="shared" ref="O7:O10" si="5">D7*G7</f>
        <v>9.9</v>
      </c>
      <c r="P7" s="8">
        <f t="shared" si="1"/>
        <v>7.9</v>
      </c>
      <c r="Q7" s="8">
        <f t="shared" si="2"/>
        <v>9</v>
      </c>
    </row>
    <row r="8" spans="2:29" ht="16.5" thickBot="1" x14ac:dyDescent="0.3">
      <c r="B8" s="64" t="s">
        <v>62</v>
      </c>
      <c r="C8" s="5">
        <f>F8</f>
        <v>13</v>
      </c>
      <c r="D8" s="5"/>
      <c r="E8" s="5"/>
      <c r="F8" s="5">
        <v>13</v>
      </c>
      <c r="G8" s="6">
        <v>2</v>
      </c>
      <c r="H8" s="7">
        <f t="shared" si="3"/>
        <v>26</v>
      </c>
      <c r="I8" s="62"/>
      <c r="J8" s="63"/>
      <c r="K8" s="8"/>
      <c r="L8" s="8" t="str">
        <f t="shared" si="4"/>
        <v>ECA</v>
      </c>
      <c r="O8" s="8">
        <f t="shared" si="5"/>
        <v>0</v>
      </c>
      <c r="P8" s="8">
        <f t="shared" si="1"/>
        <v>0</v>
      </c>
      <c r="Q8" s="8">
        <f t="shared" si="2"/>
        <v>26</v>
      </c>
    </row>
    <row r="9" spans="2:29" ht="16.5" thickBot="1" x14ac:dyDescent="0.3">
      <c r="B9" s="64" t="s">
        <v>50</v>
      </c>
      <c r="C9" s="5">
        <f t="shared" si="0"/>
        <v>9.8000000000000007</v>
      </c>
      <c r="D9" s="5">
        <v>9.4499999999999993</v>
      </c>
      <c r="E9" s="5">
        <v>8.3000000000000007</v>
      </c>
      <c r="F9" s="5">
        <v>11.65</v>
      </c>
      <c r="G9" s="6">
        <v>2</v>
      </c>
      <c r="H9" s="7">
        <f t="shared" si="3"/>
        <v>19.600000000000001</v>
      </c>
      <c r="I9" s="90"/>
      <c r="J9" s="91"/>
      <c r="K9" s="8"/>
      <c r="L9" s="8" t="str">
        <f t="shared" si="4"/>
        <v>NA</v>
      </c>
      <c r="O9" s="8">
        <f t="shared" si="5"/>
        <v>18.899999999999999</v>
      </c>
      <c r="P9" s="8">
        <f t="shared" si="1"/>
        <v>16.600000000000001</v>
      </c>
      <c r="Q9" s="8">
        <f t="shared" si="2"/>
        <v>23.3</v>
      </c>
    </row>
    <row r="10" spans="2:29" ht="16.5" thickBot="1" x14ac:dyDescent="0.3">
      <c r="B10" s="64" t="s">
        <v>51</v>
      </c>
      <c r="C10" s="5">
        <f t="shared" si="0"/>
        <v>9.4066666666666663</v>
      </c>
      <c r="D10" s="5">
        <v>8.3000000000000007</v>
      </c>
      <c r="E10" s="5">
        <v>9.2200000000000006</v>
      </c>
      <c r="F10" s="5">
        <v>10.7</v>
      </c>
      <c r="G10" s="6">
        <v>1</v>
      </c>
      <c r="H10" s="7">
        <f t="shared" si="3"/>
        <v>9.4066666666666663</v>
      </c>
      <c r="I10" s="76"/>
      <c r="J10" s="77"/>
      <c r="K10" s="8"/>
      <c r="L10" s="8" t="str">
        <f t="shared" si="4"/>
        <v>NA</v>
      </c>
      <c r="O10" s="8">
        <f t="shared" si="5"/>
        <v>8.3000000000000007</v>
      </c>
      <c r="P10" s="8">
        <f t="shared" si="1"/>
        <v>9.2200000000000006</v>
      </c>
      <c r="Q10" s="8">
        <f t="shared" si="2"/>
        <v>10.7</v>
      </c>
    </row>
    <row r="11" spans="2:29" ht="16.5" thickBot="1" x14ac:dyDescent="0.3">
      <c r="B11" s="78" t="s">
        <v>58</v>
      </c>
      <c r="C11" s="79"/>
      <c r="D11" s="79"/>
      <c r="E11" s="79"/>
      <c r="F11" s="79"/>
      <c r="G11" s="79"/>
      <c r="H11" s="79"/>
      <c r="I11" s="79"/>
      <c r="J11" s="79"/>
      <c r="K11" s="79"/>
      <c r="L11" s="80"/>
    </row>
    <row r="12" spans="2:29" ht="16.5" thickBot="1" x14ac:dyDescent="0.3">
      <c r="B12" s="9" t="s">
        <v>12</v>
      </c>
      <c r="C12" s="86">
        <f>(SUM(H5:H10)/SUM(G5:G10))</f>
        <v>10.574090909090909</v>
      </c>
      <c r="D12" s="86"/>
      <c r="E12" s="86"/>
      <c r="F12" s="86"/>
      <c r="G12" s="87" t="s">
        <v>13</v>
      </c>
      <c r="H12" s="87"/>
      <c r="I12" s="69"/>
      <c r="J12" s="88"/>
      <c r="K12" s="88"/>
      <c r="L12" s="89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spans="2:29" ht="16.5" thickBot="1" x14ac:dyDescent="0.3">
      <c r="B13" s="81"/>
      <c r="C13" s="82"/>
      <c r="D13" s="82"/>
      <c r="E13" s="82"/>
      <c r="F13" s="82"/>
      <c r="G13" s="82"/>
      <c r="H13" s="82"/>
      <c r="I13" s="82"/>
      <c r="J13" s="82"/>
      <c r="K13" s="82"/>
      <c r="L13" s="83"/>
    </row>
    <row r="14" spans="2:29" ht="16.5" thickBot="1" x14ac:dyDescent="0.3">
      <c r="B14" s="64" t="s">
        <v>47</v>
      </c>
      <c r="C14" s="5">
        <f>(D14+F14+E14)/3</f>
        <v>14.266666666666666</v>
      </c>
      <c r="D14" s="5">
        <v>14.6</v>
      </c>
      <c r="E14" s="5">
        <v>14.7</v>
      </c>
      <c r="F14" s="5">
        <v>13.5</v>
      </c>
      <c r="G14" s="6">
        <v>2</v>
      </c>
      <c r="H14" s="7">
        <f t="shared" ref="H14:H17" si="6">C14*G14</f>
        <v>28.533333333333331</v>
      </c>
      <c r="I14" s="76"/>
      <c r="J14" s="77"/>
      <c r="K14" s="8"/>
      <c r="L14" s="8" t="str">
        <f>IF(C14&lt;11,"NA",IF(C14&lt;15,"ECA",IF(C14&lt;18,"A",IF(C14&lt;20,"A+"))))</f>
        <v>ECA</v>
      </c>
      <c r="O14" s="8">
        <f t="shared" ref="O14:O17" si="7">D14*G14</f>
        <v>29.2</v>
      </c>
      <c r="P14" s="8">
        <f>E14*G14</f>
        <v>29.4</v>
      </c>
      <c r="Q14" s="8">
        <f>G14*F14</f>
        <v>27</v>
      </c>
    </row>
    <row r="15" spans="2:29" ht="16.5" thickBot="1" x14ac:dyDescent="0.3">
      <c r="B15" s="64" t="s">
        <v>14</v>
      </c>
      <c r="C15" s="5">
        <f t="shared" ref="C15:C17" si="8">(D15+F15+E15)/3</f>
        <v>12.266666666666666</v>
      </c>
      <c r="D15" s="5">
        <v>9.5</v>
      </c>
      <c r="E15" s="5">
        <v>15.1</v>
      </c>
      <c r="F15" s="5">
        <v>12.2</v>
      </c>
      <c r="G15" s="6">
        <v>1.5</v>
      </c>
      <c r="H15" s="7">
        <f t="shared" si="6"/>
        <v>18.399999999999999</v>
      </c>
      <c r="I15" s="76"/>
      <c r="J15" s="77"/>
      <c r="K15" s="8"/>
      <c r="L15" s="8" t="str">
        <f t="shared" ref="L15:L17" si="9">IF(C15&lt;11,"NA",IF(C15&lt;15,"ECA",IF(C15&lt;18,"A",IF(C15&lt;20,"A+"))))</f>
        <v>ECA</v>
      </c>
      <c r="O15" s="8">
        <f t="shared" si="7"/>
        <v>14.25</v>
      </c>
      <c r="P15" s="8">
        <f t="shared" ref="P15:P17" si="10">E15*G15</f>
        <v>22.65</v>
      </c>
      <c r="Q15" s="8">
        <f t="shared" ref="Q15:Q17" si="11">G15*F15</f>
        <v>18.299999999999997</v>
      </c>
    </row>
    <row r="16" spans="2:29" ht="16.5" thickBot="1" x14ac:dyDescent="0.3">
      <c r="B16" s="64" t="s">
        <v>15</v>
      </c>
      <c r="C16" s="5">
        <f t="shared" si="8"/>
        <v>9.9583333333333339</v>
      </c>
      <c r="D16" s="5">
        <v>9.5</v>
      </c>
      <c r="E16" s="5">
        <v>9.5</v>
      </c>
      <c r="F16" s="5">
        <v>10.875</v>
      </c>
      <c r="G16" s="6">
        <v>1.5</v>
      </c>
      <c r="H16" s="7">
        <f t="shared" si="6"/>
        <v>14.9375</v>
      </c>
      <c r="I16" s="76"/>
      <c r="J16" s="77"/>
      <c r="K16" s="8"/>
      <c r="L16" s="8" t="str">
        <f t="shared" si="9"/>
        <v>NA</v>
      </c>
      <c r="O16" s="8">
        <f t="shared" si="7"/>
        <v>14.25</v>
      </c>
      <c r="P16" s="8">
        <f t="shared" si="10"/>
        <v>14.25</v>
      </c>
      <c r="Q16" s="8">
        <f t="shared" si="11"/>
        <v>16.3125</v>
      </c>
    </row>
    <row r="17" spans="2:17" ht="16.5" thickBot="1" x14ac:dyDescent="0.3">
      <c r="B17" s="64" t="s">
        <v>52</v>
      </c>
      <c r="C17" s="5">
        <f t="shared" si="8"/>
        <v>11.808333333333332</v>
      </c>
      <c r="D17" s="5">
        <v>10.3</v>
      </c>
      <c r="E17" s="5">
        <v>12.5</v>
      </c>
      <c r="F17" s="5">
        <v>12.625</v>
      </c>
      <c r="G17" s="6">
        <v>1</v>
      </c>
      <c r="H17" s="7">
        <f t="shared" si="6"/>
        <v>11.808333333333332</v>
      </c>
      <c r="I17" s="76"/>
      <c r="J17" s="77"/>
      <c r="K17" s="8"/>
      <c r="L17" s="8" t="str">
        <f t="shared" si="9"/>
        <v>ECA</v>
      </c>
      <c r="O17" s="8">
        <f t="shared" si="7"/>
        <v>10.3</v>
      </c>
      <c r="P17" s="8">
        <f t="shared" si="10"/>
        <v>12.5</v>
      </c>
      <c r="Q17" s="8">
        <f t="shared" si="11"/>
        <v>12.625</v>
      </c>
    </row>
    <row r="18" spans="2:17" ht="16.149999999999999" customHeight="1" thickBot="1" x14ac:dyDescent="0.3">
      <c r="B18" s="78" t="s">
        <v>59</v>
      </c>
      <c r="C18" s="79"/>
      <c r="D18" s="79"/>
      <c r="E18" s="79"/>
      <c r="F18" s="79"/>
      <c r="G18" s="79"/>
      <c r="H18" s="79"/>
      <c r="I18" s="79"/>
      <c r="J18" s="79"/>
      <c r="K18" s="79"/>
      <c r="L18" s="80"/>
    </row>
    <row r="19" spans="2:17" ht="16.149999999999999" customHeight="1" thickBot="1" x14ac:dyDescent="0.3">
      <c r="B19" s="9" t="s">
        <v>16</v>
      </c>
      <c r="C19" s="86">
        <f>(SUM(H14:H17)/SUM(G14:G17))</f>
        <v>12.27986111111111</v>
      </c>
      <c r="D19" s="86"/>
      <c r="E19" s="86"/>
      <c r="F19" s="86"/>
      <c r="G19" s="87" t="s">
        <v>13</v>
      </c>
      <c r="H19" s="87"/>
      <c r="I19" s="69"/>
      <c r="J19" s="88"/>
      <c r="K19" s="88"/>
      <c r="L19" s="89"/>
    </row>
    <row r="20" spans="2:17" ht="16.5" thickBot="1" x14ac:dyDescent="0.3">
      <c r="B20" s="92"/>
      <c r="C20" s="93"/>
      <c r="D20" s="93"/>
      <c r="E20" s="93"/>
      <c r="F20" s="93"/>
      <c r="G20" s="93"/>
      <c r="H20" s="93"/>
      <c r="I20" s="93"/>
      <c r="J20" s="93"/>
      <c r="K20" s="93"/>
      <c r="L20" s="94"/>
    </row>
    <row r="21" spans="2:17" ht="16.5" thickBot="1" x14ac:dyDescent="0.3">
      <c r="B21" s="64" t="s">
        <v>9</v>
      </c>
      <c r="C21" s="5">
        <f>(D21+F21+E21)/3</f>
        <v>8.1916666666666682</v>
      </c>
      <c r="D21" s="5">
        <v>11.475</v>
      </c>
      <c r="E21" s="5">
        <v>8.1000000000000014</v>
      </c>
      <c r="F21" s="8">
        <v>5</v>
      </c>
      <c r="G21" s="6">
        <v>2</v>
      </c>
      <c r="H21" s="7">
        <f t="shared" ref="H21:H24" si="12">C21*G21</f>
        <v>16.383333333333336</v>
      </c>
      <c r="I21" s="76"/>
      <c r="J21" s="77"/>
      <c r="K21" s="8"/>
      <c r="L21" s="8" t="str">
        <f t="shared" ref="L21:L24" si="13">IF(C21&lt;11,"NA",IF(C21&lt;15,"ECA",IF(C21&lt;18,"A",IF(C21&lt;20,"A+"))))</f>
        <v>NA</v>
      </c>
      <c r="O21" s="8">
        <f t="shared" ref="O21:O24" si="14">D21*G21</f>
        <v>22.95</v>
      </c>
      <c r="P21" s="8">
        <f>E21*G21</f>
        <v>16.200000000000003</v>
      </c>
      <c r="Q21" s="8">
        <f>G21*F21</f>
        <v>10</v>
      </c>
    </row>
    <row r="22" spans="2:17" ht="16.5" thickBot="1" x14ac:dyDescent="0.3">
      <c r="B22" s="64" t="s">
        <v>10</v>
      </c>
      <c r="C22" s="5">
        <f t="shared" ref="C22:C24" si="15">(D22+F22+E22)/3</f>
        <v>10.573333333333332</v>
      </c>
      <c r="D22" s="5">
        <v>10.75</v>
      </c>
      <c r="E22" s="5">
        <v>10.17</v>
      </c>
      <c r="F22" s="8">
        <v>10.8</v>
      </c>
      <c r="G22" s="6">
        <v>4</v>
      </c>
      <c r="H22" s="7">
        <f t="shared" si="12"/>
        <v>42.293333333333329</v>
      </c>
      <c r="I22" s="76"/>
      <c r="J22" s="77"/>
      <c r="K22" s="8"/>
      <c r="L22" s="8" t="str">
        <f t="shared" si="13"/>
        <v>NA</v>
      </c>
      <c r="O22" s="8">
        <f t="shared" si="14"/>
        <v>43</v>
      </c>
      <c r="P22" s="8">
        <f t="shared" ref="P22:P24" si="16">E22*G22</f>
        <v>40.68</v>
      </c>
      <c r="Q22" s="8">
        <f t="shared" ref="Q22:Q24" si="17">G22*F22</f>
        <v>43.2</v>
      </c>
    </row>
    <row r="23" spans="2:17" ht="16.5" thickBot="1" x14ac:dyDescent="0.3">
      <c r="B23" s="64" t="s">
        <v>56</v>
      </c>
      <c r="C23" s="5">
        <f>F23</f>
        <v>15</v>
      </c>
      <c r="D23" s="5"/>
      <c r="E23" s="5"/>
      <c r="F23" s="8">
        <v>15</v>
      </c>
      <c r="G23" s="6">
        <v>2</v>
      </c>
      <c r="H23" s="7">
        <f t="shared" si="12"/>
        <v>30</v>
      </c>
      <c r="I23" s="76"/>
      <c r="J23" s="77"/>
      <c r="K23" s="8"/>
      <c r="L23" s="8" t="str">
        <f t="shared" si="13"/>
        <v>A</v>
      </c>
      <c r="O23" s="8">
        <f t="shared" si="14"/>
        <v>0</v>
      </c>
      <c r="P23" s="8">
        <f t="shared" si="16"/>
        <v>0</v>
      </c>
      <c r="Q23" s="8">
        <f t="shared" si="17"/>
        <v>30</v>
      </c>
    </row>
    <row r="24" spans="2:17" ht="16.5" thickBot="1" x14ac:dyDescent="0.3">
      <c r="B24" s="64" t="s">
        <v>11</v>
      </c>
      <c r="C24" s="5">
        <f t="shared" si="15"/>
        <v>11.243333333333332</v>
      </c>
      <c r="D24" s="5">
        <v>10.85</v>
      </c>
      <c r="E24" s="5">
        <v>9.33</v>
      </c>
      <c r="F24" s="8">
        <v>13.55</v>
      </c>
      <c r="G24" s="6">
        <v>2</v>
      </c>
      <c r="H24" s="7">
        <f t="shared" si="12"/>
        <v>22.486666666666665</v>
      </c>
      <c r="I24" s="76"/>
      <c r="J24" s="77"/>
      <c r="K24" s="8"/>
      <c r="L24" s="8" t="str">
        <f t="shared" si="13"/>
        <v>ECA</v>
      </c>
      <c r="O24" s="8">
        <f t="shared" si="14"/>
        <v>21.7</v>
      </c>
      <c r="P24" s="8">
        <f t="shared" si="16"/>
        <v>18.66</v>
      </c>
      <c r="Q24" s="8">
        <f t="shared" si="17"/>
        <v>27.1</v>
      </c>
    </row>
    <row r="25" spans="2:17" ht="16.149999999999999" customHeight="1" thickBot="1" x14ac:dyDescent="0.3">
      <c r="B25" s="78" t="s">
        <v>60</v>
      </c>
      <c r="C25" s="79"/>
      <c r="D25" s="79"/>
      <c r="E25" s="79"/>
      <c r="F25" s="79"/>
      <c r="G25" s="79"/>
      <c r="H25" s="79"/>
      <c r="I25" s="79"/>
      <c r="J25" s="79"/>
      <c r="K25" s="79"/>
      <c r="L25" s="80"/>
    </row>
    <row r="26" spans="2:17" ht="16.149999999999999" customHeight="1" thickBot="1" x14ac:dyDescent="0.3">
      <c r="B26" s="9" t="s">
        <v>12</v>
      </c>
      <c r="C26" s="86">
        <f>(SUM(H21:H24)/SUM(G21:G24))</f>
        <v>11.116333333333333</v>
      </c>
      <c r="D26" s="86"/>
      <c r="E26" s="86"/>
      <c r="F26" s="86"/>
      <c r="G26" s="87" t="s">
        <v>13</v>
      </c>
      <c r="H26" s="87"/>
      <c r="I26" s="69"/>
      <c r="J26" s="88"/>
      <c r="K26" s="88"/>
      <c r="L26" s="89"/>
    </row>
    <row r="27" spans="2:17" ht="16.5" thickBot="1" x14ac:dyDescent="0.3">
      <c r="B27" s="81"/>
      <c r="C27" s="82"/>
      <c r="D27" s="82"/>
      <c r="E27" s="82"/>
      <c r="F27" s="82"/>
      <c r="G27" s="82"/>
      <c r="H27" s="82"/>
      <c r="I27" s="100"/>
      <c r="J27" s="100"/>
      <c r="K27" s="100"/>
      <c r="L27" s="83"/>
    </row>
    <row r="28" spans="2:17" ht="16.5" thickBot="1" x14ac:dyDescent="0.3">
      <c r="B28" s="64" t="s">
        <v>53</v>
      </c>
      <c r="C28" s="5">
        <f>(D28+F28+E28)/3</f>
        <v>14.166666666666666</v>
      </c>
      <c r="D28" s="8">
        <v>16</v>
      </c>
      <c r="E28" s="8">
        <v>13.5</v>
      </c>
      <c r="F28" s="8">
        <v>13</v>
      </c>
      <c r="G28" s="6">
        <v>1</v>
      </c>
      <c r="H28" s="7">
        <f t="shared" ref="H28:H31" si="18">C28*G28</f>
        <v>14.166666666666666</v>
      </c>
      <c r="I28" s="76"/>
      <c r="J28" s="77"/>
      <c r="K28" s="8"/>
      <c r="L28" s="8" t="str">
        <f t="shared" ref="L28:L31" si="19">IF(C28&lt;11,"NA",IF(C28&lt;15,"ECA",IF(C28&lt;18,"A",IF(C28&lt;20,"A+"))))</f>
        <v>ECA</v>
      </c>
      <c r="O28" s="8">
        <f t="shared" ref="O28:O31" si="20">D28*G28</f>
        <v>16</v>
      </c>
      <c r="P28" s="8">
        <f>E28*G28</f>
        <v>13.5</v>
      </c>
      <c r="Q28" s="8">
        <f>G28*F28</f>
        <v>13</v>
      </c>
    </row>
    <row r="29" spans="2:17" ht="16.5" thickBot="1" x14ac:dyDescent="0.3">
      <c r="B29" s="64" t="s">
        <v>48</v>
      </c>
      <c r="C29" s="5">
        <f t="shared" ref="C29:C31" si="21">(D29+F29+E29)/3</f>
        <v>14.200000000000001</v>
      </c>
      <c r="D29" s="8">
        <v>14.05</v>
      </c>
      <c r="E29" s="8">
        <v>15.35</v>
      </c>
      <c r="F29" s="8">
        <v>13.2</v>
      </c>
      <c r="G29" s="6">
        <v>2</v>
      </c>
      <c r="H29" s="7">
        <f t="shared" si="18"/>
        <v>28.400000000000002</v>
      </c>
      <c r="I29" s="76"/>
      <c r="J29" s="77"/>
      <c r="K29" s="8"/>
      <c r="L29" s="8" t="str">
        <f t="shared" si="19"/>
        <v>ECA</v>
      </c>
      <c r="O29" s="8">
        <f t="shared" si="20"/>
        <v>28.1</v>
      </c>
      <c r="P29" s="8">
        <f t="shared" ref="P29:P31" si="22">E29*G29</f>
        <v>30.7</v>
      </c>
      <c r="Q29" s="8">
        <f t="shared" ref="Q29:Q31" si="23">G29*F29</f>
        <v>26.4</v>
      </c>
    </row>
    <row r="30" spans="2:17" ht="16.5" thickBot="1" x14ac:dyDescent="0.3">
      <c r="B30" s="64" t="s">
        <v>49</v>
      </c>
      <c r="C30" s="5">
        <f t="shared" si="21"/>
        <v>13.299999999999999</v>
      </c>
      <c r="D30" s="8">
        <v>11.5</v>
      </c>
      <c r="E30" s="8">
        <v>14.4</v>
      </c>
      <c r="F30" s="8">
        <v>14</v>
      </c>
      <c r="G30" s="6">
        <v>1</v>
      </c>
      <c r="H30" s="7">
        <f t="shared" si="18"/>
        <v>13.299999999999999</v>
      </c>
      <c r="I30" s="76"/>
      <c r="J30" s="77"/>
      <c r="K30" s="8"/>
      <c r="L30" s="8" t="str">
        <f t="shared" si="19"/>
        <v>ECA</v>
      </c>
      <c r="O30" s="8">
        <f t="shared" si="20"/>
        <v>11.5</v>
      </c>
      <c r="P30" s="8">
        <f t="shared" si="22"/>
        <v>14.4</v>
      </c>
      <c r="Q30" s="8">
        <f t="shared" si="23"/>
        <v>14</v>
      </c>
    </row>
    <row r="31" spans="2:17" ht="16.5" thickBot="1" x14ac:dyDescent="0.3">
      <c r="B31" s="64" t="s">
        <v>18</v>
      </c>
      <c r="C31" s="5">
        <f t="shared" si="21"/>
        <v>15.333333333333334</v>
      </c>
      <c r="D31" s="8">
        <v>15</v>
      </c>
      <c r="E31" s="8">
        <v>16</v>
      </c>
      <c r="F31" s="8">
        <v>15</v>
      </c>
      <c r="G31" s="6">
        <v>1</v>
      </c>
      <c r="H31" s="7">
        <f t="shared" si="18"/>
        <v>15.333333333333334</v>
      </c>
      <c r="I31" s="76"/>
      <c r="J31" s="77"/>
      <c r="K31" s="8"/>
      <c r="L31" s="8" t="str">
        <f t="shared" si="19"/>
        <v>A</v>
      </c>
      <c r="O31" s="8">
        <f t="shared" si="20"/>
        <v>15</v>
      </c>
      <c r="P31" s="8">
        <f t="shared" si="22"/>
        <v>16</v>
      </c>
      <c r="Q31" s="8">
        <f t="shared" si="23"/>
        <v>15</v>
      </c>
    </row>
    <row r="32" spans="2:17" ht="16.149999999999999" customHeight="1" thickBot="1" x14ac:dyDescent="0.3">
      <c r="B32" s="64" t="s">
        <v>57</v>
      </c>
      <c r="C32" s="65"/>
      <c r="D32" s="65"/>
      <c r="E32" s="65"/>
      <c r="F32" s="65"/>
      <c r="G32" s="65"/>
      <c r="H32" s="65"/>
      <c r="I32" s="65"/>
      <c r="J32" s="65"/>
      <c r="K32" s="65"/>
      <c r="L32" s="66"/>
      <c r="O32" s="1">
        <f>SUM(O6:O31)</f>
        <v>290.95</v>
      </c>
      <c r="P32" s="1">
        <f>SUM(P6:P31)</f>
        <v>289.58499999999998</v>
      </c>
      <c r="Q32" s="1">
        <f>SUM(Q5:Q31)</f>
        <v>376.53749999999997</v>
      </c>
    </row>
    <row r="33" spans="2:17" ht="16.149999999999999" customHeight="1" thickBot="1" x14ac:dyDescent="0.3">
      <c r="B33" s="9" t="s">
        <v>16</v>
      </c>
      <c r="C33" s="86">
        <f>(SUM(H28:H31)/SUM(G28:G31))</f>
        <v>14.24</v>
      </c>
      <c r="D33" s="86"/>
      <c r="E33" s="86"/>
      <c r="F33" s="86"/>
      <c r="G33" s="87" t="s">
        <v>13</v>
      </c>
      <c r="H33" s="87"/>
      <c r="I33" s="69"/>
      <c r="J33" s="88"/>
      <c r="K33" s="88"/>
      <c r="L33" s="89"/>
      <c r="O33" s="1">
        <v>26</v>
      </c>
      <c r="P33" s="1">
        <v>26</v>
      </c>
      <c r="Q33" s="1">
        <v>32</v>
      </c>
    </row>
    <row r="34" spans="2:17" ht="16.5" thickBot="1" x14ac:dyDescent="0.3">
      <c r="B34" s="81"/>
      <c r="C34" s="82"/>
      <c r="D34" s="82"/>
      <c r="E34" s="82"/>
      <c r="F34" s="82"/>
      <c r="G34" s="82"/>
      <c r="H34" s="82"/>
      <c r="I34" s="82"/>
      <c r="J34" s="82"/>
      <c r="K34" s="82"/>
      <c r="L34" s="83"/>
      <c r="O34" s="1">
        <f>O32/O33</f>
        <v>11.190384615384614</v>
      </c>
      <c r="P34" s="1">
        <f>P32/P33</f>
        <v>11.137884615384614</v>
      </c>
      <c r="Q34" s="1">
        <f>Q32/Q33</f>
        <v>11.766796874999999</v>
      </c>
    </row>
    <row r="35" spans="2:17" s="17" customFormat="1" ht="48" thickBot="1" x14ac:dyDescent="0.3">
      <c r="B35" s="64" t="s">
        <v>19</v>
      </c>
      <c r="C35" s="70" t="s">
        <v>20</v>
      </c>
      <c r="D35" s="69"/>
      <c r="E35" s="69"/>
      <c r="F35" s="71" t="s">
        <v>21</v>
      </c>
      <c r="G35" s="88"/>
      <c r="H35" s="88"/>
      <c r="I35" s="71" t="s">
        <v>22</v>
      </c>
      <c r="J35" s="88"/>
      <c r="K35" s="88"/>
      <c r="L35" s="72"/>
    </row>
    <row r="36" spans="2:17" x14ac:dyDescent="0.25">
      <c r="B36" s="18"/>
      <c r="C36" s="19" t="s">
        <v>1</v>
      </c>
      <c r="D36" s="19" t="s">
        <v>63</v>
      </c>
      <c r="E36" s="19" t="s">
        <v>65</v>
      </c>
      <c r="F36" s="20"/>
      <c r="G36" s="20"/>
      <c r="H36" s="21"/>
      <c r="I36" s="101"/>
      <c r="J36" s="100"/>
      <c r="K36" s="100"/>
      <c r="L36" s="102"/>
    </row>
    <row r="37" spans="2:17" x14ac:dyDescent="0.25">
      <c r="B37" s="22" t="s">
        <v>23</v>
      </c>
      <c r="C37" s="23">
        <f>O34</f>
        <v>11.190384615384614</v>
      </c>
      <c r="D37" s="23">
        <f>P34</f>
        <v>11.137884615384614</v>
      </c>
      <c r="E37" s="23">
        <f>Q34</f>
        <v>11.766796874999999</v>
      </c>
      <c r="F37" s="32" t="s">
        <v>66</v>
      </c>
      <c r="G37" s="25">
        <f>(H5+H6+H7+H8+H9+H10+H14+H15+H16+H17+H21+H22+H23+H24+H28+H29+H30+H31)/32</f>
        <v>11.636171875</v>
      </c>
      <c r="H37" s="24" t="s">
        <v>25</v>
      </c>
      <c r="I37" s="103" t="s">
        <v>26</v>
      </c>
      <c r="J37" s="104"/>
      <c r="K37" s="26"/>
      <c r="L37" s="27" t="s">
        <v>25</v>
      </c>
    </row>
    <row r="38" spans="2:17" ht="16.149999999999999" customHeight="1" thickBot="1" x14ac:dyDescent="0.3">
      <c r="B38" s="95"/>
      <c r="C38" s="96"/>
      <c r="D38" s="96"/>
      <c r="E38" s="96"/>
      <c r="F38" s="96"/>
      <c r="G38" s="96"/>
      <c r="H38" s="96"/>
      <c r="I38" s="97"/>
      <c r="J38" s="98"/>
      <c r="K38" s="98"/>
      <c r="L38" s="99"/>
    </row>
    <row r="39" spans="2:17" ht="16.149999999999999" customHeight="1" thickBot="1" x14ac:dyDescent="0.3">
      <c r="B39" s="105" t="s">
        <v>67</v>
      </c>
      <c r="C39" s="106"/>
      <c r="D39" s="106"/>
      <c r="E39" s="106"/>
      <c r="F39" s="106"/>
      <c r="G39" s="106"/>
      <c r="H39" s="106"/>
      <c r="I39" s="106"/>
      <c r="J39" s="106"/>
      <c r="K39" s="106"/>
      <c r="L39" s="107"/>
    </row>
    <row r="40" spans="2:17" ht="16.149999999999999" customHeight="1" thickBot="1" x14ac:dyDescent="0.3">
      <c r="B40" s="108" t="s">
        <v>28</v>
      </c>
      <c r="C40" s="88"/>
      <c r="D40" s="88"/>
      <c r="E40" s="88"/>
      <c r="F40" s="88"/>
      <c r="G40" s="88"/>
      <c r="H40" s="88"/>
      <c r="I40" s="88"/>
      <c r="J40" s="88"/>
      <c r="K40" s="88"/>
      <c r="L40" s="89"/>
    </row>
    <row r="41" spans="2:17" ht="16.149999999999999" customHeight="1" thickBot="1" x14ac:dyDescent="0.3">
      <c r="B41" s="64" t="s">
        <v>29</v>
      </c>
      <c r="C41" s="81" t="s">
        <v>30</v>
      </c>
      <c r="D41" s="82"/>
      <c r="E41" s="82"/>
      <c r="F41" s="83"/>
      <c r="G41" s="109" t="s">
        <v>31</v>
      </c>
      <c r="H41" s="110"/>
      <c r="I41" s="110"/>
      <c r="J41" s="110"/>
      <c r="K41" s="110"/>
      <c r="L41" s="111"/>
    </row>
    <row r="42" spans="2:17" ht="16.149999999999999" customHeight="1" thickBot="1" x14ac:dyDescent="0.3">
      <c r="B42" s="42" t="s">
        <v>32</v>
      </c>
      <c r="C42" s="110" t="str">
        <f>IF(G37&lt;11,"NA",IF(G37&lt;15,"ECA",IF(G37&lt;18,"A",IF(G37&lt;20,"A+"))))</f>
        <v>ECA</v>
      </c>
      <c r="D42" s="110" t="e">
        <f>IF(#REF!&lt;11,"NA",IF(#REF!&lt;15,"ECA",IF(#REF!&lt;18,"A",IF(#REF!&lt;20,"A+"))))</f>
        <v>#REF!</v>
      </c>
      <c r="E42" s="110"/>
      <c r="F42" s="111" t="e">
        <f>IF(#REF!&lt;11,"NA",IF(#REF!&lt;15,"ECA",IF(#REF!&lt;18,"A",IF(#REF!&lt;20,"A+"))))</f>
        <v>#REF!</v>
      </c>
      <c r="G42" s="112"/>
      <c r="H42" s="113"/>
      <c r="I42" s="113"/>
      <c r="J42" s="113"/>
      <c r="K42" s="113"/>
      <c r="L42" s="114"/>
    </row>
    <row r="43" spans="2:17" ht="16.149999999999999" customHeight="1" thickBot="1" x14ac:dyDescent="0.3">
      <c r="B43" s="43" t="s">
        <v>33</v>
      </c>
      <c r="C43" s="115" t="e">
        <f>IF(#REF!&lt;11,"NA",IF(#REF!&lt;15,"ECA",IF(#REF!&lt;18,"A",IF(#REF!&lt;20,"A+"))))</f>
        <v>#REF!</v>
      </c>
      <c r="D43" s="116" t="e">
        <f>IF(#REF!&lt;11,"NA",IF(#REF!&lt;15,"ECA",IF(#REF!&lt;18,"A",IF(#REF!&lt;20,"A+"))))</f>
        <v>#REF!</v>
      </c>
      <c r="E43" s="116"/>
      <c r="F43" s="117" t="e">
        <f>IF(#REF!&lt;11,"NA",IF(#REF!&lt;15,"ECA",IF(#REF!&lt;18,"A",IF(#REF!&lt;20,"A+"))))</f>
        <v>#REF!</v>
      </c>
      <c r="G43" s="108" t="s">
        <v>34</v>
      </c>
      <c r="H43" s="88"/>
      <c r="I43" s="88"/>
      <c r="J43" s="89"/>
      <c r="K43" s="109" t="s">
        <v>35</v>
      </c>
      <c r="L43" s="111"/>
    </row>
    <row r="44" spans="2:17" ht="16.149999999999999" customHeight="1" thickBot="1" x14ac:dyDescent="0.3">
      <c r="B44" s="29" t="s">
        <v>36</v>
      </c>
      <c r="C44" s="112" t="e">
        <f>IF(#REF!&lt;11,"NA",IF(#REF!&lt;15,"ECA",IF(#REF!&lt;18,"A",IF(#REF!&lt;20,"A+"))))</f>
        <v>#REF!</v>
      </c>
      <c r="D44" s="113" t="e">
        <f>IF(#REF!&lt;11,"NA",IF(#REF!&lt;15,"ECA",IF(#REF!&lt;18,"A",IF(#REF!&lt;20,"A+"))))</f>
        <v>#REF!</v>
      </c>
      <c r="E44" s="113"/>
      <c r="F44" s="114" t="e">
        <f>IF(#REF!&lt;11,"NA",IF(#REF!&lt;15,"ECA",IF(#REF!&lt;18,"A",IF(#REF!&lt;20,"A+"))))</f>
        <v>#REF!</v>
      </c>
      <c r="G44" s="108" t="s">
        <v>37</v>
      </c>
      <c r="H44" s="88"/>
      <c r="I44" s="88"/>
      <c r="J44" s="89"/>
      <c r="K44" s="118" t="s">
        <v>38</v>
      </c>
      <c r="L44" s="119"/>
    </row>
    <row r="45" spans="2:17" ht="16.149999999999999" customHeight="1" thickBot="1" x14ac:dyDescent="0.3">
      <c r="B45" s="70" t="s">
        <v>39</v>
      </c>
      <c r="C45" s="109" t="s">
        <v>40</v>
      </c>
      <c r="D45" s="110"/>
      <c r="E45" s="110"/>
      <c r="F45" s="111"/>
      <c r="G45" s="108" t="s">
        <v>41</v>
      </c>
      <c r="H45" s="88"/>
      <c r="I45" s="88"/>
      <c r="J45" s="89"/>
      <c r="K45" s="118"/>
      <c r="L45" s="119"/>
    </row>
    <row r="46" spans="2:17" ht="16.149999999999999" customHeight="1" thickBot="1" x14ac:dyDescent="0.3">
      <c r="B46" s="70" t="s">
        <v>42</v>
      </c>
      <c r="C46" s="112"/>
      <c r="D46" s="113"/>
      <c r="E46" s="113"/>
      <c r="F46" s="114"/>
      <c r="G46" s="108" t="s">
        <v>43</v>
      </c>
      <c r="H46" s="88"/>
      <c r="I46" s="88"/>
      <c r="J46" s="89"/>
      <c r="K46" s="120" t="s">
        <v>44</v>
      </c>
      <c r="L46" s="121"/>
    </row>
    <row r="47" spans="2:17" ht="31.5" x14ac:dyDescent="0.25">
      <c r="B47" s="64" t="s">
        <v>45</v>
      </c>
      <c r="C47" s="101"/>
      <c r="D47" s="100"/>
      <c r="E47" s="100"/>
      <c r="F47" s="102"/>
      <c r="G47" s="101"/>
      <c r="H47" s="100"/>
      <c r="I47" s="100"/>
      <c r="J47" s="102"/>
      <c r="K47" s="120" t="s">
        <v>46</v>
      </c>
      <c r="L47" s="121"/>
    </row>
    <row r="48" spans="2:17" x14ac:dyDescent="0.25">
      <c r="B48" s="28"/>
      <c r="C48" s="122"/>
      <c r="D48" s="123"/>
      <c r="E48" s="123"/>
      <c r="F48" s="124"/>
      <c r="G48" s="122"/>
      <c r="H48" s="123"/>
      <c r="I48" s="123"/>
      <c r="J48" s="124"/>
      <c r="K48" s="128"/>
      <c r="L48" s="129"/>
    </row>
    <row r="49" spans="2:12" x14ac:dyDescent="0.25">
      <c r="B49" s="28"/>
      <c r="C49" s="122"/>
      <c r="D49" s="123"/>
      <c r="E49" s="123"/>
      <c r="F49" s="124"/>
      <c r="G49" s="122"/>
      <c r="H49" s="123"/>
      <c r="I49" s="123"/>
      <c r="J49" s="124"/>
      <c r="K49" s="128"/>
      <c r="L49" s="129"/>
    </row>
    <row r="50" spans="2:12" ht="16.5" thickBot="1" x14ac:dyDescent="0.3">
      <c r="B50" s="29"/>
      <c r="C50" s="125"/>
      <c r="D50" s="126"/>
      <c r="E50" s="126"/>
      <c r="F50" s="127"/>
      <c r="G50" s="125"/>
      <c r="H50" s="126"/>
      <c r="I50" s="126"/>
      <c r="J50" s="127"/>
      <c r="K50" s="97"/>
      <c r="L50" s="99"/>
    </row>
  </sheetData>
  <mergeCells count="62">
    <mergeCell ref="C45:F46"/>
    <mergeCell ref="G45:J45"/>
    <mergeCell ref="K45:L45"/>
    <mergeCell ref="G46:J46"/>
    <mergeCell ref="K46:L46"/>
    <mergeCell ref="C47:F50"/>
    <mergeCell ref="G47:J50"/>
    <mergeCell ref="K47:L47"/>
    <mergeCell ref="K48:L48"/>
    <mergeCell ref="K49:L49"/>
    <mergeCell ref="K50:L50"/>
    <mergeCell ref="B38:H38"/>
    <mergeCell ref="I38:L38"/>
    <mergeCell ref="B39:L39"/>
    <mergeCell ref="B40:L40"/>
    <mergeCell ref="C41:F41"/>
    <mergeCell ref="G41:L42"/>
    <mergeCell ref="C42:F44"/>
    <mergeCell ref="G43:J43"/>
    <mergeCell ref="G33:H33"/>
    <mergeCell ref="J33:L33"/>
    <mergeCell ref="B34:L34"/>
    <mergeCell ref="I36:L36"/>
    <mergeCell ref="I37:J37"/>
    <mergeCell ref="I4:J4"/>
    <mergeCell ref="I6:J6"/>
    <mergeCell ref="I7:J7"/>
    <mergeCell ref="I9:J9"/>
    <mergeCell ref="B18:L18"/>
    <mergeCell ref="I10:J10"/>
    <mergeCell ref="B11:L11"/>
    <mergeCell ref="C12:F12"/>
    <mergeCell ref="G12:H12"/>
    <mergeCell ref="J12:L12"/>
    <mergeCell ref="B13:L13"/>
    <mergeCell ref="I14:J14"/>
    <mergeCell ref="I15:J15"/>
    <mergeCell ref="I16:J16"/>
    <mergeCell ref="I17:J17"/>
    <mergeCell ref="J19:L19"/>
    <mergeCell ref="B20:L20"/>
    <mergeCell ref="I21:J21"/>
    <mergeCell ref="I22:J22"/>
    <mergeCell ref="I23:J23"/>
    <mergeCell ref="C19:F19"/>
    <mergeCell ref="G19:H19"/>
    <mergeCell ref="K43:L43"/>
    <mergeCell ref="G44:J44"/>
    <mergeCell ref="K44:L44"/>
    <mergeCell ref="I24:J24"/>
    <mergeCell ref="B25:L25"/>
    <mergeCell ref="C26:F26"/>
    <mergeCell ref="G26:H26"/>
    <mergeCell ref="J26:L26"/>
    <mergeCell ref="B27:L27"/>
    <mergeCell ref="I28:J28"/>
    <mergeCell ref="I29:J29"/>
    <mergeCell ref="I30:J30"/>
    <mergeCell ref="G35:H35"/>
    <mergeCell ref="J35:K35"/>
    <mergeCell ref="I31:J31"/>
    <mergeCell ref="C33:F3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C50"/>
  <sheetViews>
    <sheetView topLeftCell="A4" zoomScale="60" zoomScaleNormal="60" workbookViewId="0">
      <selection activeCell="D9" sqref="D9"/>
    </sheetView>
  </sheetViews>
  <sheetFormatPr baseColWidth="10" defaultColWidth="11.42578125" defaultRowHeight="15.75" x14ac:dyDescent="0.25"/>
  <cols>
    <col min="1" max="1" width="11.42578125" style="1"/>
    <col min="2" max="2" width="44.140625" style="1" customWidth="1"/>
    <col min="3" max="3" width="12.140625" style="1" customWidth="1"/>
    <col min="4" max="5" width="11.42578125" style="1"/>
    <col min="6" max="6" width="15.5703125" style="1" customWidth="1"/>
    <col min="7" max="7" width="11.42578125" style="1"/>
    <col min="8" max="8" width="12.42578125" style="1" customWidth="1"/>
    <col min="9" max="11" width="11.42578125" style="1"/>
    <col min="12" max="12" width="18.28515625" style="1" bestFit="1" customWidth="1"/>
    <col min="13" max="16384" width="11.42578125" style="1"/>
  </cols>
  <sheetData>
    <row r="3" spans="2:29" ht="16.5" thickBot="1" x14ac:dyDescent="0.3"/>
    <row r="4" spans="2:29" ht="30.75" customHeight="1" thickBot="1" x14ac:dyDescent="0.3">
      <c r="B4" s="59" t="s">
        <v>0</v>
      </c>
      <c r="C4" s="68" t="s">
        <v>68</v>
      </c>
      <c r="D4" s="68" t="s">
        <v>1</v>
      </c>
      <c r="E4" s="68" t="s">
        <v>63</v>
      </c>
      <c r="F4" s="68" t="s">
        <v>64</v>
      </c>
      <c r="G4" s="68" t="s">
        <v>4</v>
      </c>
      <c r="H4" s="67" t="s">
        <v>5</v>
      </c>
      <c r="I4" s="84" t="s">
        <v>6</v>
      </c>
      <c r="J4" s="85"/>
      <c r="K4" s="68" t="s">
        <v>7</v>
      </c>
      <c r="L4" s="68" t="s">
        <v>8</v>
      </c>
    </row>
    <row r="5" spans="2:29" ht="18" customHeight="1" thickBot="1" x14ac:dyDescent="0.3">
      <c r="B5" s="60" t="s">
        <v>61</v>
      </c>
      <c r="C5" s="5">
        <f>F5</f>
        <v>18.5</v>
      </c>
      <c r="D5" s="58"/>
      <c r="E5" s="58"/>
      <c r="F5" s="5">
        <v>18.5</v>
      </c>
      <c r="G5" s="61">
        <v>2</v>
      </c>
      <c r="H5" s="7">
        <f>C5*G5</f>
        <v>37</v>
      </c>
      <c r="I5" s="67"/>
      <c r="J5" s="68"/>
      <c r="K5" s="58"/>
      <c r="L5" s="8" t="str">
        <f>IF(C5&lt;11,"NA",IF(C5&lt;15,"ECA",IF(C5&lt;18,"A",IF(C5&lt;20,"A+"))))</f>
        <v>A+</v>
      </c>
      <c r="O5" s="8">
        <f>D5*G5</f>
        <v>0</v>
      </c>
      <c r="P5" s="8">
        <f>E5*G5</f>
        <v>0</v>
      </c>
      <c r="Q5" s="8">
        <f>G5*F5</f>
        <v>37</v>
      </c>
    </row>
    <row r="6" spans="2:29" ht="16.5" thickBot="1" x14ac:dyDescent="0.3">
      <c r="B6" s="64" t="s">
        <v>17</v>
      </c>
      <c r="C6" s="5">
        <f t="shared" ref="C6:C10" si="0">(D6+F6+E6)/3</f>
        <v>9.9916666666666654</v>
      </c>
      <c r="D6" s="5">
        <v>9.1999999999999993</v>
      </c>
      <c r="E6" s="5">
        <v>9.9499999999999993</v>
      </c>
      <c r="F6" s="5">
        <v>10.824999999999999</v>
      </c>
      <c r="G6" s="6">
        <v>3</v>
      </c>
      <c r="H6" s="7">
        <f>C6*G6</f>
        <v>29.974999999999994</v>
      </c>
      <c r="I6" s="76"/>
      <c r="J6" s="77"/>
      <c r="K6" s="8"/>
      <c r="L6" s="8" t="str">
        <f>IF(C6&lt;11,"NA",IF(C6&lt;15,"ECA",IF(C6&lt;18,"A",IF(C6&lt;20,"A+"))))</f>
        <v>NA</v>
      </c>
      <c r="O6" s="8">
        <f>D6*G6</f>
        <v>27.599999999999998</v>
      </c>
      <c r="P6" s="8">
        <f t="shared" ref="P6:P10" si="1">E6*G6</f>
        <v>29.849999999999998</v>
      </c>
      <c r="Q6" s="8">
        <f t="shared" ref="Q6:Q10" si="2">G6*F6</f>
        <v>32.474999999999994</v>
      </c>
    </row>
    <row r="7" spans="2:29" ht="16.5" thickBot="1" x14ac:dyDescent="0.3">
      <c r="B7" s="64" t="s">
        <v>54</v>
      </c>
      <c r="C7" s="5">
        <f t="shared" si="0"/>
        <v>9.15</v>
      </c>
      <c r="D7" s="5">
        <v>10.9</v>
      </c>
      <c r="E7" s="5">
        <v>10.050000000000001</v>
      </c>
      <c r="F7" s="5">
        <v>6.5</v>
      </c>
      <c r="G7" s="6">
        <v>1</v>
      </c>
      <c r="H7" s="7">
        <f t="shared" ref="H7:H10" si="3">C7*G7</f>
        <v>9.15</v>
      </c>
      <c r="I7" s="76"/>
      <c r="J7" s="77"/>
      <c r="K7" s="8"/>
      <c r="L7" s="8" t="str">
        <f t="shared" ref="L7:L10" si="4">IF(C7&lt;11,"NA",IF(C7&lt;15,"ECA",IF(C7&lt;18,"A",IF(C7&lt;20,"A+"))))</f>
        <v>NA</v>
      </c>
      <c r="O7" s="8">
        <f t="shared" ref="O7:O10" si="5">D7*G7</f>
        <v>10.9</v>
      </c>
      <c r="P7" s="8">
        <f t="shared" si="1"/>
        <v>10.050000000000001</v>
      </c>
      <c r="Q7" s="8">
        <f t="shared" si="2"/>
        <v>6.5</v>
      </c>
    </row>
    <row r="8" spans="2:29" ht="16.5" thickBot="1" x14ac:dyDescent="0.3">
      <c r="B8" s="64" t="s">
        <v>62</v>
      </c>
      <c r="C8" s="5">
        <f>F8</f>
        <v>16</v>
      </c>
      <c r="D8" s="5"/>
      <c r="E8" s="5"/>
      <c r="F8" s="5">
        <v>16</v>
      </c>
      <c r="G8" s="6">
        <v>2</v>
      </c>
      <c r="H8" s="7">
        <f t="shared" si="3"/>
        <v>32</v>
      </c>
      <c r="I8" s="62"/>
      <c r="J8" s="63"/>
      <c r="K8" s="8"/>
      <c r="L8" s="8" t="str">
        <f t="shared" si="4"/>
        <v>A</v>
      </c>
      <c r="O8" s="8">
        <f t="shared" si="5"/>
        <v>0</v>
      </c>
      <c r="P8" s="8">
        <f t="shared" si="1"/>
        <v>0</v>
      </c>
      <c r="Q8" s="8">
        <f t="shared" si="2"/>
        <v>32</v>
      </c>
    </row>
    <row r="9" spans="2:29" ht="16.5" thickBot="1" x14ac:dyDescent="0.3">
      <c r="B9" s="64" t="s">
        <v>50</v>
      </c>
      <c r="C9" s="5">
        <f t="shared" si="0"/>
        <v>11.183333333333332</v>
      </c>
      <c r="D9" s="5">
        <v>11</v>
      </c>
      <c r="E9" s="5">
        <v>12</v>
      </c>
      <c r="F9" s="5">
        <v>10.55</v>
      </c>
      <c r="G9" s="6">
        <v>2</v>
      </c>
      <c r="H9" s="7">
        <f t="shared" si="3"/>
        <v>22.366666666666664</v>
      </c>
      <c r="I9" s="90"/>
      <c r="J9" s="91"/>
      <c r="K9" s="8"/>
      <c r="L9" s="8" t="str">
        <f t="shared" si="4"/>
        <v>ECA</v>
      </c>
      <c r="O9" s="8">
        <f t="shared" si="5"/>
        <v>22</v>
      </c>
      <c r="P9" s="8">
        <f t="shared" si="1"/>
        <v>24</v>
      </c>
      <c r="Q9" s="8">
        <f t="shared" si="2"/>
        <v>21.1</v>
      </c>
    </row>
    <row r="10" spans="2:29" ht="16.5" thickBot="1" x14ac:dyDescent="0.3">
      <c r="B10" s="64" t="s">
        <v>51</v>
      </c>
      <c r="C10" s="5">
        <f t="shared" si="0"/>
        <v>14.19</v>
      </c>
      <c r="D10" s="5">
        <v>11.9</v>
      </c>
      <c r="E10" s="5">
        <v>16.170000000000002</v>
      </c>
      <c r="F10" s="5">
        <v>14.5</v>
      </c>
      <c r="G10" s="6">
        <v>1</v>
      </c>
      <c r="H10" s="7">
        <f t="shared" si="3"/>
        <v>14.19</v>
      </c>
      <c r="I10" s="76"/>
      <c r="J10" s="77"/>
      <c r="K10" s="8"/>
      <c r="L10" s="8" t="str">
        <f t="shared" si="4"/>
        <v>ECA</v>
      </c>
      <c r="O10" s="8">
        <f t="shared" si="5"/>
        <v>11.9</v>
      </c>
      <c r="P10" s="8">
        <f t="shared" si="1"/>
        <v>16.170000000000002</v>
      </c>
      <c r="Q10" s="8">
        <f t="shared" si="2"/>
        <v>14.5</v>
      </c>
    </row>
    <row r="11" spans="2:29" ht="16.5" thickBot="1" x14ac:dyDescent="0.3">
      <c r="B11" s="78" t="s">
        <v>58</v>
      </c>
      <c r="C11" s="79"/>
      <c r="D11" s="79"/>
      <c r="E11" s="79"/>
      <c r="F11" s="79"/>
      <c r="G11" s="79"/>
      <c r="H11" s="79"/>
      <c r="I11" s="79"/>
      <c r="J11" s="79"/>
      <c r="K11" s="79"/>
      <c r="L11" s="80"/>
    </row>
    <row r="12" spans="2:29" ht="16.5" thickBot="1" x14ac:dyDescent="0.3">
      <c r="B12" s="9" t="s">
        <v>12</v>
      </c>
      <c r="C12" s="86">
        <f>(SUM(H5:H10)/SUM(G5:G10))</f>
        <v>13.152878787878789</v>
      </c>
      <c r="D12" s="86"/>
      <c r="E12" s="86"/>
      <c r="F12" s="86"/>
      <c r="G12" s="87" t="s">
        <v>13</v>
      </c>
      <c r="H12" s="87"/>
      <c r="I12" s="69"/>
      <c r="J12" s="88"/>
      <c r="K12" s="88"/>
      <c r="L12" s="89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spans="2:29" ht="16.5" thickBot="1" x14ac:dyDescent="0.3">
      <c r="B13" s="81"/>
      <c r="C13" s="82"/>
      <c r="D13" s="82"/>
      <c r="E13" s="82"/>
      <c r="F13" s="82"/>
      <c r="G13" s="82"/>
      <c r="H13" s="82"/>
      <c r="I13" s="82"/>
      <c r="J13" s="82"/>
      <c r="K13" s="82"/>
      <c r="L13" s="83"/>
    </row>
    <row r="14" spans="2:29" ht="16.5" thickBot="1" x14ac:dyDescent="0.3">
      <c r="B14" s="64" t="s">
        <v>47</v>
      </c>
      <c r="C14" s="5">
        <f>(D14+F14+E14)/3</f>
        <v>17.283333333333335</v>
      </c>
      <c r="D14" s="5">
        <v>17.350000000000001</v>
      </c>
      <c r="E14" s="5">
        <v>17.899999999999999</v>
      </c>
      <c r="F14" s="5">
        <v>16.600000000000001</v>
      </c>
      <c r="G14" s="6">
        <v>2</v>
      </c>
      <c r="H14" s="7">
        <f t="shared" ref="H14:H17" si="6">C14*G14</f>
        <v>34.56666666666667</v>
      </c>
      <c r="I14" s="76"/>
      <c r="J14" s="77"/>
      <c r="K14" s="8"/>
      <c r="L14" s="8" t="str">
        <f>IF(C14&lt;11,"NA",IF(C14&lt;15,"ECA",IF(C14&lt;18,"A",IF(C14&lt;20,"A+"))))</f>
        <v>A</v>
      </c>
      <c r="O14" s="8">
        <f t="shared" ref="O14:O17" si="7">D14*G14</f>
        <v>34.700000000000003</v>
      </c>
      <c r="P14" s="8">
        <f>E14*G14</f>
        <v>35.799999999999997</v>
      </c>
      <c r="Q14" s="8">
        <f>G14*F14</f>
        <v>33.200000000000003</v>
      </c>
    </row>
    <row r="15" spans="2:29" ht="16.5" thickBot="1" x14ac:dyDescent="0.3">
      <c r="B15" s="64" t="s">
        <v>14</v>
      </c>
      <c r="C15" s="5">
        <f t="shared" ref="C15:C17" si="8">(D15+F15+E15)/3</f>
        <v>14.641666666666666</v>
      </c>
      <c r="D15" s="5">
        <v>13.25</v>
      </c>
      <c r="E15" s="5">
        <v>15.425000000000001</v>
      </c>
      <c r="F15" s="5">
        <v>15.25</v>
      </c>
      <c r="G15" s="6">
        <v>1.5</v>
      </c>
      <c r="H15" s="7">
        <f t="shared" si="6"/>
        <v>21.962499999999999</v>
      </c>
      <c r="I15" s="76"/>
      <c r="J15" s="77"/>
      <c r="K15" s="8"/>
      <c r="L15" s="8" t="str">
        <f t="shared" ref="L15:L17" si="9">IF(C15&lt;11,"NA",IF(C15&lt;15,"ECA",IF(C15&lt;18,"A",IF(C15&lt;20,"A+"))))</f>
        <v>ECA</v>
      </c>
      <c r="O15" s="8">
        <f t="shared" si="7"/>
        <v>19.875</v>
      </c>
      <c r="P15" s="8">
        <f t="shared" ref="P15:P17" si="10">E15*G15</f>
        <v>23.137500000000003</v>
      </c>
      <c r="Q15" s="8">
        <f t="shared" ref="Q15:Q17" si="11">G15*F15</f>
        <v>22.875</v>
      </c>
    </row>
    <row r="16" spans="2:29" ht="16.5" thickBot="1" x14ac:dyDescent="0.3">
      <c r="B16" s="64" t="s">
        <v>15</v>
      </c>
      <c r="C16" s="5">
        <f t="shared" si="8"/>
        <v>13.924999999999999</v>
      </c>
      <c r="D16" s="5">
        <v>12.75</v>
      </c>
      <c r="E16" s="5">
        <v>14.65</v>
      </c>
      <c r="F16" s="5">
        <v>14.375</v>
      </c>
      <c r="G16" s="6">
        <v>1.5</v>
      </c>
      <c r="H16" s="7">
        <f t="shared" si="6"/>
        <v>20.887499999999999</v>
      </c>
      <c r="I16" s="76"/>
      <c r="J16" s="77"/>
      <c r="K16" s="8"/>
      <c r="L16" s="8" t="str">
        <f t="shared" si="9"/>
        <v>ECA</v>
      </c>
      <c r="O16" s="8">
        <f t="shared" si="7"/>
        <v>19.125</v>
      </c>
      <c r="P16" s="8">
        <f t="shared" si="10"/>
        <v>21.975000000000001</v>
      </c>
      <c r="Q16" s="8">
        <f t="shared" si="11"/>
        <v>21.5625</v>
      </c>
    </row>
    <row r="17" spans="2:17" ht="16.5" thickBot="1" x14ac:dyDescent="0.3">
      <c r="B17" s="64" t="s">
        <v>52</v>
      </c>
      <c r="C17" s="5">
        <f t="shared" si="8"/>
        <v>13.525</v>
      </c>
      <c r="D17" s="5">
        <v>11.45</v>
      </c>
      <c r="E17" s="5">
        <v>14</v>
      </c>
      <c r="F17" s="5">
        <v>15.125</v>
      </c>
      <c r="G17" s="6">
        <v>1</v>
      </c>
      <c r="H17" s="7">
        <f t="shared" si="6"/>
        <v>13.525</v>
      </c>
      <c r="I17" s="76"/>
      <c r="J17" s="77"/>
      <c r="K17" s="8"/>
      <c r="L17" s="8" t="str">
        <f t="shared" si="9"/>
        <v>ECA</v>
      </c>
      <c r="O17" s="8">
        <f t="shared" si="7"/>
        <v>11.45</v>
      </c>
      <c r="P17" s="8">
        <f t="shared" si="10"/>
        <v>14</v>
      </c>
      <c r="Q17" s="8">
        <f t="shared" si="11"/>
        <v>15.125</v>
      </c>
    </row>
    <row r="18" spans="2:17" ht="16.149999999999999" customHeight="1" thickBot="1" x14ac:dyDescent="0.3">
      <c r="B18" s="78" t="s">
        <v>59</v>
      </c>
      <c r="C18" s="79"/>
      <c r="D18" s="79"/>
      <c r="E18" s="79"/>
      <c r="F18" s="79"/>
      <c r="G18" s="79"/>
      <c r="H18" s="79"/>
      <c r="I18" s="79"/>
      <c r="J18" s="79"/>
      <c r="K18" s="79"/>
      <c r="L18" s="80"/>
    </row>
    <row r="19" spans="2:17" ht="16.149999999999999" customHeight="1" thickBot="1" x14ac:dyDescent="0.3">
      <c r="B19" s="9" t="s">
        <v>16</v>
      </c>
      <c r="C19" s="86">
        <f>(SUM(H14:H17)/SUM(G14:G17))</f>
        <v>15.156944444444447</v>
      </c>
      <c r="D19" s="86"/>
      <c r="E19" s="86"/>
      <c r="F19" s="86"/>
      <c r="G19" s="87" t="s">
        <v>13</v>
      </c>
      <c r="H19" s="87"/>
      <c r="I19" s="69"/>
      <c r="J19" s="88"/>
      <c r="K19" s="88"/>
      <c r="L19" s="89"/>
    </row>
    <row r="20" spans="2:17" ht="16.5" thickBot="1" x14ac:dyDescent="0.3">
      <c r="B20" s="92"/>
      <c r="C20" s="93"/>
      <c r="D20" s="93"/>
      <c r="E20" s="93"/>
      <c r="F20" s="93"/>
      <c r="G20" s="93"/>
      <c r="H20" s="93"/>
      <c r="I20" s="93"/>
      <c r="J20" s="93"/>
      <c r="K20" s="93"/>
      <c r="L20" s="94"/>
    </row>
    <row r="21" spans="2:17" ht="16.5" thickBot="1" x14ac:dyDescent="0.3">
      <c r="B21" s="64" t="s">
        <v>9</v>
      </c>
      <c r="C21" s="5">
        <f>(D21+F21+E21)/3</f>
        <v>12.883333333333333</v>
      </c>
      <c r="D21" s="5">
        <v>15</v>
      </c>
      <c r="E21" s="5">
        <v>11.399999999999999</v>
      </c>
      <c r="F21" s="8">
        <v>12.25</v>
      </c>
      <c r="G21" s="6">
        <v>2</v>
      </c>
      <c r="H21" s="7">
        <f t="shared" ref="H21:H24" si="12">C21*G21</f>
        <v>25.766666666666666</v>
      </c>
      <c r="I21" s="76"/>
      <c r="J21" s="77"/>
      <c r="K21" s="8"/>
      <c r="L21" s="8" t="str">
        <f t="shared" ref="L21:L24" si="13">IF(C21&lt;11,"NA",IF(C21&lt;15,"ECA",IF(C21&lt;18,"A",IF(C21&lt;20,"A+"))))</f>
        <v>ECA</v>
      </c>
      <c r="O21" s="8">
        <f t="shared" ref="O21:O24" si="14">D21*G21</f>
        <v>30</v>
      </c>
      <c r="P21" s="8">
        <f>E21*G21</f>
        <v>22.799999999999997</v>
      </c>
      <c r="Q21" s="8">
        <f>G21*F21</f>
        <v>24.5</v>
      </c>
    </row>
    <row r="22" spans="2:17" ht="16.5" thickBot="1" x14ac:dyDescent="0.3">
      <c r="B22" s="64" t="s">
        <v>10</v>
      </c>
      <c r="C22" s="5">
        <f t="shared" ref="C22:C24" si="15">(D22+F22+E22)/3</f>
        <v>12.961666666666668</v>
      </c>
      <c r="D22" s="5">
        <v>12.350000000000001</v>
      </c>
      <c r="E22" s="5">
        <v>14.335000000000001</v>
      </c>
      <c r="F22" s="8">
        <v>12.2</v>
      </c>
      <c r="G22" s="6">
        <v>4</v>
      </c>
      <c r="H22" s="7">
        <f t="shared" si="12"/>
        <v>51.846666666666671</v>
      </c>
      <c r="I22" s="76"/>
      <c r="J22" s="77"/>
      <c r="K22" s="8"/>
      <c r="L22" s="8" t="str">
        <f t="shared" si="13"/>
        <v>ECA</v>
      </c>
      <c r="O22" s="8">
        <f t="shared" si="14"/>
        <v>49.400000000000006</v>
      </c>
      <c r="P22" s="8">
        <f t="shared" ref="P22:P24" si="16">E22*G22</f>
        <v>57.34</v>
      </c>
      <c r="Q22" s="8">
        <f t="shared" ref="Q22:Q24" si="17">G22*F22</f>
        <v>48.8</v>
      </c>
    </row>
    <row r="23" spans="2:17" ht="16.5" thickBot="1" x14ac:dyDescent="0.3">
      <c r="B23" s="64" t="s">
        <v>56</v>
      </c>
      <c r="C23" s="5">
        <f>F23</f>
        <v>18</v>
      </c>
      <c r="D23" s="5"/>
      <c r="E23" s="5"/>
      <c r="F23" s="8">
        <v>18</v>
      </c>
      <c r="G23" s="6">
        <v>2</v>
      </c>
      <c r="H23" s="7">
        <f t="shared" si="12"/>
        <v>36</v>
      </c>
      <c r="I23" s="76"/>
      <c r="J23" s="77"/>
      <c r="K23" s="8"/>
      <c r="L23" s="8" t="str">
        <f t="shared" si="13"/>
        <v>A+</v>
      </c>
      <c r="O23" s="8">
        <f t="shared" si="14"/>
        <v>0</v>
      </c>
      <c r="P23" s="8">
        <f t="shared" si="16"/>
        <v>0</v>
      </c>
      <c r="Q23" s="8">
        <f t="shared" si="17"/>
        <v>36</v>
      </c>
    </row>
    <row r="24" spans="2:17" ht="16.5" thickBot="1" x14ac:dyDescent="0.3">
      <c r="B24" s="64" t="s">
        <v>11</v>
      </c>
      <c r="C24" s="5">
        <f t="shared" si="15"/>
        <v>15.276666666666666</v>
      </c>
      <c r="D24" s="5">
        <v>13.4</v>
      </c>
      <c r="E24" s="5">
        <v>15.18</v>
      </c>
      <c r="F24" s="8">
        <v>17.25</v>
      </c>
      <c r="G24" s="6">
        <v>2</v>
      </c>
      <c r="H24" s="7">
        <f t="shared" si="12"/>
        <v>30.553333333333331</v>
      </c>
      <c r="I24" s="76"/>
      <c r="J24" s="77"/>
      <c r="K24" s="8"/>
      <c r="L24" s="8" t="str">
        <f t="shared" si="13"/>
        <v>A</v>
      </c>
      <c r="O24" s="8">
        <f t="shared" si="14"/>
        <v>26.8</v>
      </c>
      <c r="P24" s="8">
        <f t="shared" si="16"/>
        <v>30.36</v>
      </c>
      <c r="Q24" s="8">
        <f t="shared" si="17"/>
        <v>34.5</v>
      </c>
    </row>
    <row r="25" spans="2:17" ht="16.149999999999999" customHeight="1" thickBot="1" x14ac:dyDescent="0.3">
      <c r="B25" s="78" t="s">
        <v>60</v>
      </c>
      <c r="C25" s="79"/>
      <c r="D25" s="79"/>
      <c r="E25" s="79"/>
      <c r="F25" s="79"/>
      <c r="G25" s="79"/>
      <c r="H25" s="79"/>
      <c r="I25" s="79"/>
      <c r="J25" s="79"/>
      <c r="K25" s="79"/>
      <c r="L25" s="80"/>
    </row>
    <row r="26" spans="2:17" ht="16.149999999999999" customHeight="1" thickBot="1" x14ac:dyDescent="0.3">
      <c r="B26" s="9" t="s">
        <v>12</v>
      </c>
      <c r="C26" s="86">
        <f>(SUM(H21:H24)/SUM(G21:G24))</f>
        <v>14.416666666666668</v>
      </c>
      <c r="D26" s="86"/>
      <c r="E26" s="86"/>
      <c r="F26" s="86"/>
      <c r="G26" s="87" t="s">
        <v>13</v>
      </c>
      <c r="H26" s="87"/>
      <c r="I26" s="69"/>
      <c r="J26" s="88"/>
      <c r="K26" s="88"/>
      <c r="L26" s="89"/>
    </row>
    <row r="27" spans="2:17" ht="16.5" thickBot="1" x14ac:dyDescent="0.3">
      <c r="B27" s="81"/>
      <c r="C27" s="82"/>
      <c r="D27" s="82"/>
      <c r="E27" s="82"/>
      <c r="F27" s="82"/>
      <c r="G27" s="82"/>
      <c r="H27" s="82"/>
      <c r="I27" s="100"/>
      <c r="J27" s="100"/>
      <c r="K27" s="100"/>
      <c r="L27" s="83"/>
    </row>
    <row r="28" spans="2:17" ht="16.5" thickBot="1" x14ac:dyDescent="0.3">
      <c r="B28" s="64" t="s">
        <v>53</v>
      </c>
      <c r="C28" s="5">
        <f>(D28+F28+E28)/3</f>
        <v>17.833333333333332</v>
      </c>
      <c r="D28" s="8">
        <v>17.5</v>
      </c>
      <c r="E28" s="8">
        <v>18</v>
      </c>
      <c r="F28" s="8">
        <v>18</v>
      </c>
      <c r="G28" s="6">
        <v>1</v>
      </c>
      <c r="H28" s="7">
        <f t="shared" ref="H28:H31" si="18">C28*G28</f>
        <v>17.833333333333332</v>
      </c>
      <c r="I28" s="76"/>
      <c r="J28" s="77"/>
      <c r="K28" s="8"/>
      <c r="L28" s="8" t="str">
        <f t="shared" ref="L28:L31" si="19">IF(C28&lt;11,"NA",IF(C28&lt;15,"ECA",IF(C28&lt;18,"A",IF(C28&lt;20,"A+"))))</f>
        <v>A</v>
      </c>
      <c r="O28" s="8">
        <f t="shared" ref="O28:O31" si="20">D28*G28</f>
        <v>17.5</v>
      </c>
      <c r="P28" s="8">
        <f>E28*G28</f>
        <v>18</v>
      </c>
      <c r="Q28" s="8">
        <f>G28*F28</f>
        <v>18</v>
      </c>
    </row>
    <row r="29" spans="2:17" ht="16.5" thickBot="1" x14ac:dyDescent="0.3">
      <c r="B29" s="64" t="s">
        <v>48</v>
      </c>
      <c r="C29" s="5">
        <f t="shared" ref="C29:C31" si="21">(D29+F29+E29)/3</f>
        <v>17.416666666666668</v>
      </c>
      <c r="D29" s="8">
        <v>17.850000000000001</v>
      </c>
      <c r="E29" s="8">
        <v>16.7</v>
      </c>
      <c r="F29" s="8">
        <v>17.7</v>
      </c>
      <c r="G29" s="6">
        <v>2</v>
      </c>
      <c r="H29" s="7">
        <f t="shared" si="18"/>
        <v>34.833333333333336</v>
      </c>
      <c r="I29" s="76"/>
      <c r="J29" s="77"/>
      <c r="K29" s="8"/>
      <c r="L29" s="8" t="str">
        <f t="shared" si="19"/>
        <v>A</v>
      </c>
      <c r="O29" s="8">
        <f t="shared" si="20"/>
        <v>35.700000000000003</v>
      </c>
      <c r="P29" s="8">
        <f t="shared" ref="P29:P31" si="22">E29*G29</f>
        <v>33.4</v>
      </c>
      <c r="Q29" s="8">
        <f t="shared" ref="Q29:Q31" si="23">G29*F29</f>
        <v>35.4</v>
      </c>
    </row>
    <row r="30" spans="2:17" ht="16.5" thickBot="1" x14ac:dyDescent="0.3">
      <c r="B30" s="64" t="s">
        <v>49</v>
      </c>
      <c r="C30" s="5">
        <f t="shared" si="21"/>
        <v>14.866666666666667</v>
      </c>
      <c r="D30" s="8">
        <v>14.5</v>
      </c>
      <c r="E30" s="8">
        <v>16.100000000000001</v>
      </c>
      <c r="F30" s="8">
        <v>14</v>
      </c>
      <c r="G30" s="6">
        <v>1</v>
      </c>
      <c r="H30" s="7">
        <f t="shared" si="18"/>
        <v>14.866666666666667</v>
      </c>
      <c r="I30" s="76"/>
      <c r="J30" s="77"/>
      <c r="K30" s="8"/>
      <c r="L30" s="8" t="str">
        <f t="shared" si="19"/>
        <v>ECA</v>
      </c>
      <c r="O30" s="8">
        <f t="shared" si="20"/>
        <v>14.5</v>
      </c>
      <c r="P30" s="8">
        <f t="shared" si="22"/>
        <v>16.100000000000001</v>
      </c>
      <c r="Q30" s="8">
        <f t="shared" si="23"/>
        <v>14</v>
      </c>
    </row>
    <row r="31" spans="2:17" ht="16.5" thickBot="1" x14ac:dyDescent="0.3">
      <c r="B31" s="64" t="s">
        <v>18</v>
      </c>
      <c r="C31" s="5">
        <f t="shared" si="21"/>
        <v>14.833333333333334</v>
      </c>
      <c r="D31" s="8">
        <v>13</v>
      </c>
      <c r="E31" s="8">
        <v>16</v>
      </c>
      <c r="F31" s="8">
        <v>15.5</v>
      </c>
      <c r="G31" s="6">
        <v>1</v>
      </c>
      <c r="H31" s="7">
        <f t="shared" si="18"/>
        <v>14.833333333333334</v>
      </c>
      <c r="I31" s="76"/>
      <c r="J31" s="77"/>
      <c r="K31" s="8"/>
      <c r="L31" s="8" t="str">
        <f t="shared" si="19"/>
        <v>ECA</v>
      </c>
      <c r="O31" s="8">
        <f t="shared" si="20"/>
        <v>13</v>
      </c>
      <c r="P31" s="8">
        <f t="shared" si="22"/>
        <v>16</v>
      </c>
      <c r="Q31" s="8">
        <f t="shared" si="23"/>
        <v>15.5</v>
      </c>
    </row>
    <row r="32" spans="2:17" ht="16.149999999999999" customHeight="1" thickBot="1" x14ac:dyDescent="0.3">
      <c r="B32" s="64" t="s">
        <v>57</v>
      </c>
      <c r="C32" s="65"/>
      <c r="D32" s="65"/>
      <c r="E32" s="65"/>
      <c r="F32" s="65"/>
      <c r="G32" s="65"/>
      <c r="H32" s="65"/>
      <c r="I32" s="65"/>
      <c r="J32" s="65"/>
      <c r="K32" s="65"/>
      <c r="L32" s="66"/>
      <c r="O32" s="1">
        <f>SUM(O6:O31)</f>
        <v>344.45</v>
      </c>
      <c r="P32" s="1">
        <f>SUM(P6:P31)</f>
        <v>368.98249999999996</v>
      </c>
      <c r="Q32" s="1">
        <f>SUM(Q5:Q31)</f>
        <v>463.03749999999997</v>
      </c>
    </row>
    <row r="33" spans="2:17" ht="16.149999999999999" customHeight="1" thickBot="1" x14ac:dyDescent="0.3">
      <c r="B33" s="9" t="s">
        <v>16</v>
      </c>
      <c r="C33" s="86">
        <f>(SUM(H28:H31)/SUM(G28:G31))</f>
        <v>16.473333333333333</v>
      </c>
      <c r="D33" s="86"/>
      <c r="E33" s="86"/>
      <c r="F33" s="86"/>
      <c r="G33" s="87" t="s">
        <v>13</v>
      </c>
      <c r="H33" s="87"/>
      <c r="I33" s="69"/>
      <c r="J33" s="88"/>
      <c r="K33" s="88"/>
      <c r="L33" s="89"/>
      <c r="O33" s="1">
        <v>26</v>
      </c>
      <c r="P33" s="1">
        <v>26</v>
      </c>
      <c r="Q33" s="1">
        <v>32</v>
      </c>
    </row>
    <row r="34" spans="2:17" ht="16.5" thickBot="1" x14ac:dyDescent="0.3">
      <c r="B34" s="81"/>
      <c r="C34" s="82"/>
      <c r="D34" s="82"/>
      <c r="E34" s="82"/>
      <c r="F34" s="82"/>
      <c r="G34" s="82"/>
      <c r="H34" s="82"/>
      <c r="I34" s="82"/>
      <c r="J34" s="82"/>
      <c r="K34" s="82"/>
      <c r="L34" s="83"/>
      <c r="O34" s="1">
        <f>O32/O33</f>
        <v>13.248076923076923</v>
      </c>
      <c r="P34" s="1">
        <f>P32/P33</f>
        <v>14.191634615384613</v>
      </c>
      <c r="Q34" s="1">
        <f>Q32/Q33</f>
        <v>14.469921874999999</v>
      </c>
    </row>
    <row r="35" spans="2:17" s="17" customFormat="1" ht="48" thickBot="1" x14ac:dyDescent="0.3">
      <c r="B35" s="64" t="s">
        <v>19</v>
      </c>
      <c r="C35" s="70" t="s">
        <v>20</v>
      </c>
      <c r="D35" s="69"/>
      <c r="E35" s="69"/>
      <c r="F35" s="71" t="s">
        <v>21</v>
      </c>
      <c r="G35" s="88"/>
      <c r="H35" s="88"/>
      <c r="I35" s="71" t="s">
        <v>22</v>
      </c>
      <c r="J35" s="88"/>
      <c r="K35" s="88"/>
      <c r="L35" s="72"/>
    </row>
    <row r="36" spans="2:17" x14ac:dyDescent="0.25">
      <c r="B36" s="18"/>
      <c r="C36" s="19" t="s">
        <v>1</v>
      </c>
      <c r="D36" s="19" t="s">
        <v>63</v>
      </c>
      <c r="E36" s="19" t="s">
        <v>65</v>
      </c>
      <c r="F36" s="20"/>
      <c r="G36" s="20"/>
      <c r="H36" s="21"/>
      <c r="I36" s="101"/>
      <c r="J36" s="100"/>
      <c r="K36" s="100"/>
      <c r="L36" s="102"/>
    </row>
    <row r="37" spans="2:17" x14ac:dyDescent="0.25">
      <c r="B37" s="22" t="s">
        <v>23</v>
      </c>
      <c r="C37" s="23">
        <f>O34</f>
        <v>13.248076923076923</v>
      </c>
      <c r="D37" s="23">
        <f>P34</f>
        <v>14.191634615384613</v>
      </c>
      <c r="E37" s="23">
        <f>Q34</f>
        <v>14.469921874999999</v>
      </c>
      <c r="F37" s="32" t="s">
        <v>66</v>
      </c>
      <c r="G37" s="25">
        <f>(H5+H6+H7+H8+H9+H10+H14+H15+H16+H17+H21+H22+H23+H24+H28+H29+H30+H31)/32</f>
        <v>14.442395833333332</v>
      </c>
      <c r="H37" s="24" t="s">
        <v>25</v>
      </c>
      <c r="I37" s="103" t="s">
        <v>26</v>
      </c>
      <c r="J37" s="104"/>
      <c r="K37" s="26"/>
      <c r="L37" s="27" t="s">
        <v>25</v>
      </c>
    </row>
    <row r="38" spans="2:17" ht="16.149999999999999" customHeight="1" thickBot="1" x14ac:dyDescent="0.3">
      <c r="B38" s="95"/>
      <c r="C38" s="96"/>
      <c r="D38" s="96"/>
      <c r="E38" s="96"/>
      <c r="F38" s="96"/>
      <c r="G38" s="96"/>
      <c r="H38" s="96"/>
      <c r="I38" s="97"/>
      <c r="J38" s="98"/>
      <c r="K38" s="98"/>
      <c r="L38" s="99"/>
    </row>
    <row r="39" spans="2:17" ht="16.149999999999999" customHeight="1" thickBot="1" x14ac:dyDescent="0.3">
      <c r="B39" s="105" t="s">
        <v>67</v>
      </c>
      <c r="C39" s="106"/>
      <c r="D39" s="106"/>
      <c r="E39" s="106"/>
      <c r="F39" s="106"/>
      <c r="G39" s="106"/>
      <c r="H39" s="106"/>
      <c r="I39" s="106"/>
      <c r="J39" s="106"/>
      <c r="K39" s="106"/>
      <c r="L39" s="107"/>
    </row>
    <row r="40" spans="2:17" ht="16.149999999999999" customHeight="1" thickBot="1" x14ac:dyDescent="0.3">
      <c r="B40" s="108" t="s">
        <v>28</v>
      </c>
      <c r="C40" s="88"/>
      <c r="D40" s="88"/>
      <c r="E40" s="88"/>
      <c r="F40" s="88"/>
      <c r="G40" s="88"/>
      <c r="H40" s="88"/>
      <c r="I40" s="88"/>
      <c r="J40" s="88"/>
      <c r="K40" s="88"/>
      <c r="L40" s="89"/>
    </row>
    <row r="41" spans="2:17" ht="16.149999999999999" customHeight="1" thickBot="1" x14ac:dyDescent="0.3">
      <c r="B41" s="64" t="s">
        <v>29</v>
      </c>
      <c r="C41" s="81" t="s">
        <v>30</v>
      </c>
      <c r="D41" s="82"/>
      <c r="E41" s="82"/>
      <c r="F41" s="83"/>
      <c r="G41" s="109" t="s">
        <v>31</v>
      </c>
      <c r="H41" s="110"/>
      <c r="I41" s="110"/>
      <c r="J41" s="110"/>
      <c r="K41" s="110"/>
      <c r="L41" s="111"/>
    </row>
    <row r="42" spans="2:17" ht="16.149999999999999" customHeight="1" thickBot="1" x14ac:dyDescent="0.3">
      <c r="B42" s="42" t="s">
        <v>32</v>
      </c>
      <c r="C42" s="110" t="str">
        <f>IF(G37&lt;11,"NA",IF(G37&lt;15,"ECA",IF(G37&lt;18,"A",IF(G37&lt;20,"A+"))))</f>
        <v>ECA</v>
      </c>
      <c r="D42" s="110" t="e">
        <f>IF(#REF!&lt;11,"NA",IF(#REF!&lt;15,"ECA",IF(#REF!&lt;18,"A",IF(#REF!&lt;20,"A+"))))</f>
        <v>#REF!</v>
      </c>
      <c r="E42" s="110"/>
      <c r="F42" s="111" t="e">
        <f>IF(#REF!&lt;11,"NA",IF(#REF!&lt;15,"ECA",IF(#REF!&lt;18,"A",IF(#REF!&lt;20,"A+"))))</f>
        <v>#REF!</v>
      </c>
      <c r="G42" s="112"/>
      <c r="H42" s="113"/>
      <c r="I42" s="113"/>
      <c r="J42" s="113"/>
      <c r="K42" s="113"/>
      <c r="L42" s="114"/>
    </row>
    <row r="43" spans="2:17" ht="16.149999999999999" customHeight="1" thickBot="1" x14ac:dyDescent="0.3">
      <c r="B43" s="43" t="s">
        <v>33</v>
      </c>
      <c r="C43" s="115" t="e">
        <f>IF(#REF!&lt;11,"NA",IF(#REF!&lt;15,"ECA",IF(#REF!&lt;18,"A",IF(#REF!&lt;20,"A+"))))</f>
        <v>#REF!</v>
      </c>
      <c r="D43" s="116" t="e">
        <f>IF(#REF!&lt;11,"NA",IF(#REF!&lt;15,"ECA",IF(#REF!&lt;18,"A",IF(#REF!&lt;20,"A+"))))</f>
        <v>#REF!</v>
      </c>
      <c r="E43" s="116"/>
      <c r="F43" s="117" t="e">
        <f>IF(#REF!&lt;11,"NA",IF(#REF!&lt;15,"ECA",IF(#REF!&lt;18,"A",IF(#REF!&lt;20,"A+"))))</f>
        <v>#REF!</v>
      </c>
      <c r="G43" s="108" t="s">
        <v>34</v>
      </c>
      <c r="H43" s="88"/>
      <c r="I43" s="88"/>
      <c r="J43" s="89"/>
      <c r="K43" s="109" t="s">
        <v>35</v>
      </c>
      <c r="L43" s="111"/>
    </row>
    <row r="44" spans="2:17" ht="16.149999999999999" customHeight="1" thickBot="1" x14ac:dyDescent="0.3">
      <c r="B44" s="29" t="s">
        <v>36</v>
      </c>
      <c r="C44" s="112" t="e">
        <f>IF(#REF!&lt;11,"NA",IF(#REF!&lt;15,"ECA",IF(#REF!&lt;18,"A",IF(#REF!&lt;20,"A+"))))</f>
        <v>#REF!</v>
      </c>
      <c r="D44" s="113" t="e">
        <f>IF(#REF!&lt;11,"NA",IF(#REF!&lt;15,"ECA",IF(#REF!&lt;18,"A",IF(#REF!&lt;20,"A+"))))</f>
        <v>#REF!</v>
      </c>
      <c r="E44" s="113"/>
      <c r="F44" s="114" t="e">
        <f>IF(#REF!&lt;11,"NA",IF(#REF!&lt;15,"ECA",IF(#REF!&lt;18,"A",IF(#REF!&lt;20,"A+"))))</f>
        <v>#REF!</v>
      </c>
      <c r="G44" s="108" t="s">
        <v>37</v>
      </c>
      <c r="H44" s="88"/>
      <c r="I44" s="88"/>
      <c r="J44" s="89"/>
      <c r="K44" s="118" t="s">
        <v>38</v>
      </c>
      <c r="L44" s="119"/>
    </row>
    <row r="45" spans="2:17" ht="16.149999999999999" customHeight="1" thickBot="1" x14ac:dyDescent="0.3">
      <c r="B45" s="70" t="s">
        <v>39</v>
      </c>
      <c r="C45" s="109" t="s">
        <v>40</v>
      </c>
      <c r="D45" s="110"/>
      <c r="E45" s="110"/>
      <c r="F45" s="111"/>
      <c r="G45" s="108" t="s">
        <v>41</v>
      </c>
      <c r="H45" s="88"/>
      <c r="I45" s="88"/>
      <c r="J45" s="89"/>
      <c r="K45" s="118"/>
      <c r="L45" s="119"/>
    </row>
    <row r="46" spans="2:17" ht="16.149999999999999" customHeight="1" thickBot="1" x14ac:dyDescent="0.3">
      <c r="B46" s="70" t="s">
        <v>42</v>
      </c>
      <c r="C46" s="112"/>
      <c r="D46" s="113"/>
      <c r="E46" s="113"/>
      <c r="F46" s="114"/>
      <c r="G46" s="108" t="s">
        <v>43</v>
      </c>
      <c r="H46" s="88"/>
      <c r="I46" s="88"/>
      <c r="J46" s="89"/>
      <c r="K46" s="120" t="s">
        <v>44</v>
      </c>
      <c r="L46" s="121"/>
    </row>
    <row r="47" spans="2:17" ht="31.5" x14ac:dyDescent="0.25">
      <c r="B47" s="64" t="s">
        <v>45</v>
      </c>
      <c r="C47" s="101"/>
      <c r="D47" s="100"/>
      <c r="E47" s="100"/>
      <c r="F47" s="102"/>
      <c r="G47" s="101"/>
      <c r="H47" s="100"/>
      <c r="I47" s="100"/>
      <c r="J47" s="102"/>
      <c r="K47" s="120" t="s">
        <v>46</v>
      </c>
      <c r="L47" s="121"/>
    </row>
    <row r="48" spans="2:17" x14ac:dyDescent="0.25">
      <c r="B48" s="28"/>
      <c r="C48" s="122"/>
      <c r="D48" s="123"/>
      <c r="E48" s="123"/>
      <c r="F48" s="124"/>
      <c r="G48" s="122"/>
      <c r="H48" s="123"/>
      <c r="I48" s="123"/>
      <c r="J48" s="124"/>
      <c r="K48" s="128"/>
      <c r="L48" s="129"/>
    </row>
    <row r="49" spans="2:12" x14ac:dyDescent="0.25">
      <c r="B49" s="28"/>
      <c r="C49" s="122"/>
      <c r="D49" s="123"/>
      <c r="E49" s="123"/>
      <c r="F49" s="124"/>
      <c r="G49" s="122"/>
      <c r="H49" s="123"/>
      <c r="I49" s="123"/>
      <c r="J49" s="124"/>
      <c r="K49" s="128"/>
      <c r="L49" s="129"/>
    </row>
    <row r="50" spans="2:12" ht="16.5" thickBot="1" x14ac:dyDescent="0.3">
      <c r="B50" s="29"/>
      <c r="C50" s="125"/>
      <c r="D50" s="126"/>
      <c r="E50" s="126"/>
      <c r="F50" s="127"/>
      <c r="G50" s="125"/>
      <c r="H50" s="126"/>
      <c r="I50" s="126"/>
      <c r="J50" s="127"/>
      <c r="K50" s="97"/>
      <c r="L50" s="99"/>
    </row>
  </sheetData>
  <mergeCells count="62">
    <mergeCell ref="C45:F46"/>
    <mergeCell ref="G45:J45"/>
    <mergeCell ref="K45:L45"/>
    <mergeCell ref="G46:J46"/>
    <mergeCell ref="K46:L46"/>
    <mergeCell ref="C47:F50"/>
    <mergeCell ref="G47:J50"/>
    <mergeCell ref="K47:L47"/>
    <mergeCell ref="K48:L48"/>
    <mergeCell ref="K49:L49"/>
    <mergeCell ref="K50:L50"/>
    <mergeCell ref="B38:H38"/>
    <mergeCell ref="I38:L38"/>
    <mergeCell ref="B39:L39"/>
    <mergeCell ref="B40:L40"/>
    <mergeCell ref="C41:F41"/>
    <mergeCell ref="G41:L42"/>
    <mergeCell ref="C42:F44"/>
    <mergeCell ref="G43:J43"/>
    <mergeCell ref="G33:H33"/>
    <mergeCell ref="J33:L33"/>
    <mergeCell ref="B34:L34"/>
    <mergeCell ref="I36:L36"/>
    <mergeCell ref="I37:J37"/>
    <mergeCell ref="I4:J4"/>
    <mergeCell ref="I6:J6"/>
    <mergeCell ref="I7:J7"/>
    <mergeCell ref="I9:J9"/>
    <mergeCell ref="B18:L18"/>
    <mergeCell ref="I10:J10"/>
    <mergeCell ref="B11:L11"/>
    <mergeCell ref="C12:F12"/>
    <mergeCell ref="G12:H12"/>
    <mergeCell ref="J12:L12"/>
    <mergeCell ref="B13:L13"/>
    <mergeCell ref="I14:J14"/>
    <mergeCell ref="I15:J15"/>
    <mergeCell ref="I16:J16"/>
    <mergeCell ref="I17:J17"/>
    <mergeCell ref="J19:L19"/>
    <mergeCell ref="B20:L20"/>
    <mergeCell ref="I21:J21"/>
    <mergeCell ref="I22:J22"/>
    <mergeCell ref="I23:J23"/>
    <mergeCell ref="C19:F19"/>
    <mergeCell ref="G19:H19"/>
    <mergeCell ref="K43:L43"/>
    <mergeCell ref="G44:J44"/>
    <mergeCell ref="K44:L44"/>
    <mergeCell ref="I24:J24"/>
    <mergeCell ref="B25:L25"/>
    <mergeCell ref="C26:F26"/>
    <mergeCell ref="G26:H26"/>
    <mergeCell ref="J26:L26"/>
    <mergeCell ref="B27:L27"/>
    <mergeCell ref="I28:J28"/>
    <mergeCell ref="I29:J29"/>
    <mergeCell ref="I30:J30"/>
    <mergeCell ref="G35:H35"/>
    <mergeCell ref="J35:K35"/>
    <mergeCell ref="I31:J31"/>
    <mergeCell ref="C33:F3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B49"/>
  <sheetViews>
    <sheetView zoomScale="60" zoomScaleNormal="60" workbookViewId="0">
      <selection activeCell="C34" sqref="C34:J34"/>
    </sheetView>
  </sheetViews>
  <sheetFormatPr baseColWidth="10" defaultColWidth="11.42578125" defaultRowHeight="15.75" x14ac:dyDescent="0.25"/>
  <cols>
    <col min="1" max="1" width="11.42578125" style="1"/>
    <col min="2" max="2" width="44.140625" style="1" customWidth="1"/>
    <col min="3" max="3" width="12.140625" style="1" customWidth="1"/>
    <col min="4" max="4" width="11.42578125" style="1"/>
    <col min="5" max="5" width="14.85546875" style="1" customWidth="1"/>
    <col min="6" max="6" width="11.42578125" style="1"/>
    <col min="7" max="7" width="13.42578125" style="1" bestFit="1" customWidth="1"/>
    <col min="8" max="10" width="11.42578125" style="1"/>
    <col min="11" max="11" width="16.42578125" style="1" customWidth="1"/>
    <col min="12" max="16384" width="11.42578125" style="1"/>
  </cols>
  <sheetData>
    <row r="3" spans="2:28" ht="16.5" thickBot="1" x14ac:dyDescent="0.3"/>
    <row r="4" spans="2:28" ht="30.75" customHeight="1" thickBot="1" x14ac:dyDescent="0.3">
      <c r="B4" s="40" t="s">
        <v>0</v>
      </c>
      <c r="C4" s="41" t="s">
        <v>1</v>
      </c>
      <c r="D4" s="41" t="s">
        <v>2</v>
      </c>
      <c r="E4" s="41" t="s">
        <v>3</v>
      </c>
      <c r="F4" s="41" t="s">
        <v>4</v>
      </c>
      <c r="G4" s="40" t="s">
        <v>5</v>
      </c>
      <c r="H4" s="84" t="s">
        <v>6</v>
      </c>
      <c r="I4" s="85"/>
      <c r="J4" s="41" t="s">
        <v>7</v>
      </c>
      <c r="K4" s="41" t="s">
        <v>8</v>
      </c>
    </row>
    <row r="5" spans="2:28" ht="16.5" thickBot="1" x14ac:dyDescent="0.3">
      <c r="B5" s="44" t="s">
        <v>17</v>
      </c>
      <c r="C5" s="5">
        <f>(D5+E5)/2</f>
        <v>7.5</v>
      </c>
      <c r="D5" s="5">
        <v>8</v>
      </c>
      <c r="E5" s="5">
        <v>7</v>
      </c>
      <c r="F5" s="45">
        <v>3</v>
      </c>
      <c r="G5" s="7">
        <f>C5*F5</f>
        <v>22.5</v>
      </c>
      <c r="H5" s="90">
        <f>+AMAN!I6</f>
        <v>0</v>
      </c>
      <c r="I5" s="91"/>
      <c r="J5" s="5"/>
      <c r="K5" s="5" t="str">
        <f>IF(C5&lt;11,"NA",IF(C5&lt;15,"ECA",IF(C5&lt;18,"A",IF(C5&lt;20,"A+"))))</f>
        <v>NA</v>
      </c>
      <c r="N5" s="8">
        <f>D5*F5</f>
        <v>24</v>
      </c>
      <c r="O5" s="8">
        <f>E5*F5</f>
        <v>21</v>
      </c>
    </row>
    <row r="6" spans="2:28" ht="16.5" thickBot="1" x14ac:dyDescent="0.3">
      <c r="B6" s="44" t="s">
        <v>54</v>
      </c>
      <c r="C6" s="5">
        <f t="shared" ref="C6:C9" si="0">(D6+E6)/2</f>
        <v>2.15</v>
      </c>
      <c r="D6" s="5">
        <v>1.5</v>
      </c>
      <c r="E6" s="5">
        <v>2.8</v>
      </c>
      <c r="F6" s="45">
        <v>1</v>
      </c>
      <c r="G6" s="7">
        <f t="shared" ref="G6:G9" si="1">C6*F6</f>
        <v>2.15</v>
      </c>
      <c r="H6" s="90">
        <f>+AMAN!I7</f>
        <v>0</v>
      </c>
      <c r="I6" s="91"/>
      <c r="J6" s="5"/>
      <c r="K6" s="5" t="str">
        <f t="shared" ref="K6:K9" si="2">IF(C6&lt;11,"NA",IF(C6&lt;15,"ECA",IF(C6&lt;18,"A",IF(C6&lt;20,"A+"))))</f>
        <v>NA</v>
      </c>
      <c r="N6" s="8">
        <f t="shared" ref="N6:N9" si="3">D6*F6</f>
        <v>1.5</v>
      </c>
      <c r="O6" s="8">
        <f t="shared" ref="O6:O9" si="4">E6*F6</f>
        <v>2.8</v>
      </c>
    </row>
    <row r="7" spans="2:28" ht="16.5" thickBot="1" x14ac:dyDescent="0.3">
      <c r="B7" s="44" t="s">
        <v>50</v>
      </c>
      <c r="C7" s="5">
        <f t="shared" si="0"/>
        <v>11.149999999999999</v>
      </c>
      <c r="D7" s="5">
        <v>10.199999999999999</v>
      </c>
      <c r="E7" s="5">
        <v>12.1</v>
      </c>
      <c r="F7" s="45">
        <v>2</v>
      </c>
      <c r="G7" s="7">
        <f t="shared" si="1"/>
        <v>22.299999999999997</v>
      </c>
      <c r="H7" s="90">
        <f>+AMAN!I9</f>
        <v>0</v>
      </c>
      <c r="I7" s="91"/>
      <c r="J7" s="5"/>
      <c r="K7" s="5" t="str">
        <f t="shared" si="2"/>
        <v>ECA</v>
      </c>
      <c r="N7" s="8">
        <f t="shared" si="3"/>
        <v>20.399999999999999</v>
      </c>
      <c r="O7" s="8">
        <f t="shared" si="4"/>
        <v>24.2</v>
      </c>
    </row>
    <row r="8" spans="2:28" ht="16.5" thickBot="1" x14ac:dyDescent="0.3">
      <c r="B8" s="44" t="s">
        <v>51</v>
      </c>
      <c r="C8" s="5">
        <f t="shared" si="0"/>
        <v>10.585000000000001</v>
      </c>
      <c r="D8" s="5">
        <v>9.4700000000000006</v>
      </c>
      <c r="E8" s="5">
        <v>11.7</v>
      </c>
      <c r="F8" s="45">
        <v>1</v>
      </c>
      <c r="G8" s="7">
        <f t="shared" si="1"/>
        <v>10.585000000000001</v>
      </c>
      <c r="H8" s="90">
        <f>+AMAN!I10</f>
        <v>0</v>
      </c>
      <c r="I8" s="91"/>
      <c r="J8" s="5"/>
      <c r="K8" s="5" t="str">
        <f t="shared" si="2"/>
        <v>NA</v>
      </c>
      <c r="N8" s="8">
        <f t="shared" si="3"/>
        <v>9.4700000000000006</v>
      </c>
      <c r="O8" s="8">
        <f t="shared" si="4"/>
        <v>11.7</v>
      </c>
    </row>
    <row r="9" spans="2:28" ht="16.5" thickBot="1" x14ac:dyDescent="0.3">
      <c r="B9" s="44" t="s">
        <v>55</v>
      </c>
      <c r="C9" s="5">
        <f t="shared" si="0"/>
        <v>5.5500000000000007</v>
      </c>
      <c r="D9" s="5">
        <v>6.2</v>
      </c>
      <c r="E9" s="5">
        <v>4.9000000000000004</v>
      </c>
      <c r="F9" s="45">
        <v>2</v>
      </c>
      <c r="G9" s="7">
        <f t="shared" si="1"/>
        <v>11.100000000000001</v>
      </c>
      <c r="H9" s="90" t="e">
        <f>+AMAN!#REF!</f>
        <v>#REF!</v>
      </c>
      <c r="I9" s="91"/>
      <c r="J9" s="5"/>
      <c r="K9" s="5" t="str">
        <f t="shared" si="2"/>
        <v>NA</v>
      </c>
      <c r="N9" s="8">
        <f t="shared" si="3"/>
        <v>12.4</v>
      </c>
      <c r="O9" s="8">
        <f t="shared" si="4"/>
        <v>9.8000000000000007</v>
      </c>
    </row>
    <row r="10" spans="2:28" ht="16.5" thickBot="1" x14ac:dyDescent="0.3">
      <c r="B10" s="130" t="s">
        <v>58</v>
      </c>
      <c r="C10" s="131"/>
      <c r="D10" s="131"/>
      <c r="E10" s="131"/>
      <c r="F10" s="131"/>
      <c r="G10" s="131"/>
      <c r="H10" s="131"/>
      <c r="I10" s="131"/>
      <c r="J10" s="131"/>
      <c r="K10" s="132"/>
    </row>
    <row r="11" spans="2:28" ht="16.5" thickBot="1" x14ac:dyDescent="0.3">
      <c r="B11" s="46" t="s">
        <v>12</v>
      </c>
      <c r="C11" s="86">
        <f>(SUM(G5:G9)/SUM(F5:F9))</f>
        <v>7.6261111111111104</v>
      </c>
      <c r="D11" s="86"/>
      <c r="E11" s="86"/>
      <c r="F11" s="133" t="s">
        <v>13</v>
      </c>
      <c r="G11" s="133"/>
      <c r="H11" s="47"/>
      <c r="I11" s="134"/>
      <c r="J11" s="134"/>
      <c r="K11" s="135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2:28" ht="16.5" thickBot="1" x14ac:dyDescent="0.3">
      <c r="B12" s="136"/>
      <c r="C12" s="137"/>
      <c r="D12" s="137"/>
      <c r="E12" s="137"/>
      <c r="F12" s="137"/>
      <c r="G12" s="137"/>
      <c r="H12" s="137"/>
      <c r="I12" s="137"/>
      <c r="J12" s="137"/>
      <c r="K12" s="138"/>
    </row>
    <row r="13" spans="2:28" ht="16.5" thickBot="1" x14ac:dyDescent="0.3">
      <c r="B13" s="44" t="s">
        <v>47</v>
      </c>
      <c r="C13" s="5">
        <f t="shared" ref="C13:C16" si="5">(D13+E13)/2</f>
        <v>9.6</v>
      </c>
      <c r="D13" s="5">
        <v>8.5</v>
      </c>
      <c r="E13" s="5">
        <v>10.7</v>
      </c>
      <c r="F13" s="45">
        <v>1</v>
      </c>
      <c r="G13" s="7">
        <f t="shared" ref="G13:G16" si="6">C13*F13</f>
        <v>9.6</v>
      </c>
      <c r="H13" s="90">
        <f>+AMAN!I14</f>
        <v>0</v>
      </c>
      <c r="I13" s="91"/>
      <c r="J13" s="5"/>
      <c r="K13" s="5" t="str">
        <f>IF(C13&lt;11,"NA",IF(C13&lt;15,"ECA",IF(C13&lt;18,"A",IF(C13&lt;20,"A+"))))</f>
        <v>NA</v>
      </c>
      <c r="N13" s="8">
        <f t="shared" ref="N13:N16" si="7">D13*F13</f>
        <v>8.5</v>
      </c>
      <c r="O13" s="8">
        <f t="shared" ref="O13:O16" si="8">E13*F13</f>
        <v>10.7</v>
      </c>
    </row>
    <row r="14" spans="2:28" ht="16.5" thickBot="1" x14ac:dyDescent="0.3">
      <c r="B14" s="44" t="s">
        <v>14</v>
      </c>
      <c r="C14" s="5">
        <f t="shared" si="5"/>
        <v>6.875</v>
      </c>
      <c r="D14" s="5">
        <v>4.75</v>
      </c>
      <c r="E14" s="5">
        <v>9</v>
      </c>
      <c r="F14" s="45">
        <v>1.5</v>
      </c>
      <c r="G14" s="7">
        <f t="shared" si="6"/>
        <v>10.3125</v>
      </c>
      <c r="H14" s="90">
        <f>+AMAN!I15</f>
        <v>0</v>
      </c>
      <c r="I14" s="91"/>
      <c r="J14" s="5"/>
      <c r="K14" s="5" t="str">
        <f t="shared" ref="K14:K16" si="9">IF(C14&lt;11,"NA",IF(C14&lt;15,"ECA",IF(C14&lt;18,"A",IF(C14&lt;20,"A+"))))</f>
        <v>NA</v>
      </c>
      <c r="N14" s="8">
        <f t="shared" si="7"/>
        <v>7.125</v>
      </c>
      <c r="O14" s="8">
        <f t="shared" si="8"/>
        <v>13.5</v>
      </c>
    </row>
    <row r="15" spans="2:28" ht="16.5" thickBot="1" x14ac:dyDescent="0.3">
      <c r="B15" s="44" t="s">
        <v>15</v>
      </c>
      <c r="C15" s="5">
        <f t="shared" si="5"/>
        <v>7.4</v>
      </c>
      <c r="D15" s="5">
        <v>8.3000000000000007</v>
      </c>
      <c r="E15" s="5">
        <v>6.5</v>
      </c>
      <c r="F15" s="45">
        <v>1.5</v>
      </c>
      <c r="G15" s="7">
        <f t="shared" si="6"/>
        <v>11.100000000000001</v>
      </c>
      <c r="H15" s="90">
        <f>+AMAN!I16</f>
        <v>0</v>
      </c>
      <c r="I15" s="91"/>
      <c r="J15" s="5"/>
      <c r="K15" s="5" t="str">
        <f t="shared" si="9"/>
        <v>NA</v>
      </c>
      <c r="N15" s="8">
        <f t="shared" si="7"/>
        <v>12.450000000000001</v>
      </c>
      <c r="O15" s="8">
        <f t="shared" si="8"/>
        <v>9.75</v>
      </c>
    </row>
    <row r="16" spans="2:28" ht="16.5" thickBot="1" x14ac:dyDescent="0.3">
      <c r="B16" s="44" t="s">
        <v>52</v>
      </c>
      <c r="C16" s="5">
        <f t="shared" si="5"/>
        <v>10.5</v>
      </c>
      <c r="D16" s="5">
        <v>6.5</v>
      </c>
      <c r="E16" s="5">
        <v>14.5</v>
      </c>
      <c r="F16" s="45">
        <v>1</v>
      </c>
      <c r="G16" s="7">
        <f t="shared" si="6"/>
        <v>10.5</v>
      </c>
      <c r="H16" s="90">
        <f>+AMAN!I17</f>
        <v>0</v>
      </c>
      <c r="I16" s="91"/>
      <c r="J16" s="5"/>
      <c r="K16" s="5" t="str">
        <f t="shared" si="9"/>
        <v>NA</v>
      </c>
      <c r="N16" s="8">
        <f t="shared" si="7"/>
        <v>6.5</v>
      </c>
      <c r="O16" s="8">
        <f t="shared" si="8"/>
        <v>14.5</v>
      </c>
    </row>
    <row r="17" spans="2:15" ht="16.5" thickBot="1" x14ac:dyDescent="0.3">
      <c r="B17" s="130" t="s">
        <v>59</v>
      </c>
      <c r="C17" s="131"/>
      <c r="D17" s="131"/>
      <c r="E17" s="131"/>
      <c r="F17" s="131"/>
      <c r="G17" s="131"/>
      <c r="H17" s="131"/>
      <c r="I17" s="131"/>
      <c r="J17" s="131"/>
      <c r="K17" s="132"/>
    </row>
    <row r="18" spans="2:15" ht="16.5" thickBot="1" x14ac:dyDescent="0.3">
      <c r="B18" s="46" t="s">
        <v>16</v>
      </c>
      <c r="C18" s="86">
        <f>(SUM(G13:G16)/SUM(F13:F16))</f>
        <v>8.3025000000000002</v>
      </c>
      <c r="D18" s="86"/>
      <c r="E18" s="86"/>
      <c r="F18" s="133" t="s">
        <v>13</v>
      </c>
      <c r="G18" s="133"/>
      <c r="H18" s="47"/>
      <c r="I18" s="134"/>
      <c r="J18" s="134"/>
      <c r="K18" s="135"/>
    </row>
    <row r="19" spans="2:15" ht="16.5" thickBot="1" x14ac:dyDescent="0.3">
      <c r="B19" s="139"/>
      <c r="C19" s="140"/>
      <c r="D19" s="140"/>
      <c r="E19" s="140"/>
      <c r="F19" s="140"/>
      <c r="G19" s="140"/>
      <c r="H19" s="140"/>
      <c r="I19" s="140"/>
      <c r="J19" s="140"/>
      <c r="K19" s="141"/>
    </row>
    <row r="20" spans="2:15" ht="16.5" thickBot="1" x14ac:dyDescent="0.3">
      <c r="B20" s="44" t="s">
        <v>9</v>
      </c>
      <c r="C20" s="5">
        <f t="shared" ref="C20:C23" si="10">(D20+E20)/2</f>
        <v>6.45</v>
      </c>
      <c r="D20" s="5">
        <v>4.75</v>
      </c>
      <c r="E20" s="5">
        <v>8.15</v>
      </c>
      <c r="F20" s="45">
        <v>2</v>
      </c>
      <c r="G20" s="7">
        <f t="shared" ref="G20:G23" si="11">C20*F20</f>
        <v>12.9</v>
      </c>
      <c r="H20" s="90">
        <f>+AMAN!I21</f>
        <v>0</v>
      </c>
      <c r="I20" s="91"/>
      <c r="J20" s="5"/>
      <c r="K20" s="5" t="str">
        <f t="shared" ref="K20:K23" si="12">IF(C20&lt;11,"NA",IF(C20&lt;15,"ECA",IF(C20&lt;18,"A",IF(C20&lt;20,"A+"))))</f>
        <v>NA</v>
      </c>
      <c r="N20" s="8">
        <f t="shared" ref="N20:N23" si="13">D20*F20</f>
        <v>9.5</v>
      </c>
      <c r="O20" s="8">
        <f t="shared" ref="O20:O23" si="14">E20*F20</f>
        <v>16.3</v>
      </c>
    </row>
    <row r="21" spans="2:15" ht="16.5" thickBot="1" x14ac:dyDescent="0.3">
      <c r="B21" s="44" t="s">
        <v>10</v>
      </c>
      <c r="C21" s="5">
        <f t="shared" si="10"/>
        <v>2.74</v>
      </c>
      <c r="D21" s="5">
        <v>1.75</v>
      </c>
      <c r="E21" s="5">
        <v>3.73</v>
      </c>
      <c r="F21" s="45">
        <v>4</v>
      </c>
      <c r="G21" s="7">
        <f t="shared" si="11"/>
        <v>10.96</v>
      </c>
      <c r="H21" s="90">
        <f>+AMAN!I22</f>
        <v>0</v>
      </c>
      <c r="I21" s="91"/>
      <c r="J21" s="5"/>
      <c r="K21" s="5" t="str">
        <f t="shared" si="12"/>
        <v>NA</v>
      </c>
      <c r="N21" s="8">
        <f t="shared" si="13"/>
        <v>7</v>
      </c>
      <c r="O21" s="8">
        <f t="shared" si="14"/>
        <v>14.92</v>
      </c>
    </row>
    <row r="22" spans="2:15" ht="16.5" thickBot="1" x14ac:dyDescent="0.3">
      <c r="B22" s="44" t="s">
        <v>56</v>
      </c>
      <c r="C22" s="5">
        <f t="shared" si="10"/>
        <v>6.4749999999999996</v>
      </c>
      <c r="D22" s="5">
        <v>4</v>
      </c>
      <c r="E22" s="5">
        <v>8.9499999999999993</v>
      </c>
      <c r="F22" s="45">
        <v>2</v>
      </c>
      <c r="G22" s="7">
        <f t="shared" si="11"/>
        <v>12.95</v>
      </c>
      <c r="H22" s="90">
        <f>+AMAN!I23</f>
        <v>0</v>
      </c>
      <c r="I22" s="91"/>
      <c r="J22" s="5"/>
      <c r="K22" s="5" t="str">
        <f t="shared" si="12"/>
        <v>NA</v>
      </c>
      <c r="N22" s="8">
        <f t="shared" si="13"/>
        <v>8</v>
      </c>
      <c r="O22" s="8">
        <f t="shared" si="14"/>
        <v>17.899999999999999</v>
      </c>
    </row>
    <row r="23" spans="2:15" ht="16.5" thickBot="1" x14ac:dyDescent="0.3">
      <c r="B23" s="44" t="s">
        <v>11</v>
      </c>
      <c r="C23" s="5">
        <f t="shared" si="10"/>
        <v>9.1</v>
      </c>
      <c r="D23" s="5">
        <v>8.1999999999999993</v>
      </c>
      <c r="E23" s="5">
        <v>10</v>
      </c>
      <c r="F23" s="45">
        <v>2</v>
      </c>
      <c r="G23" s="7">
        <f t="shared" si="11"/>
        <v>18.2</v>
      </c>
      <c r="H23" s="90">
        <f>+AMAN!I24</f>
        <v>0</v>
      </c>
      <c r="I23" s="91"/>
      <c r="J23" s="5"/>
      <c r="K23" s="5" t="str">
        <f t="shared" si="12"/>
        <v>NA</v>
      </c>
      <c r="N23" s="8">
        <f t="shared" si="13"/>
        <v>16.399999999999999</v>
      </c>
      <c r="O23" s="8">
        <f t="shared" si="14"/>
        <v>20</v>
      </c>
    </row>
    <row r="24" spans="2:15" ht="16.5" thickBot="1" x14ac:dyDescent="0.3">
      <c r="B24" s="130" t="s">
        <v>60</v>
      </c>
      <c r="C24" s="131"/>
      <c r="D24" s="131"/>
      <c r="E24" s="131"/>
      <c r="F24" s="131"/>
      <c r="G24" s="131"/>
      <c r="H24" s="131"/>
      <c r="I24" s="131"/>
      <c r="J24" s="131"/>
      <c r="K24" s="132"/>
    </row>
    <row r="25" spans="2:15" ht="16.5" thickBot="1" x14ac:dyDescent="0.3">
      <c r="B25" s="46" t="s">
        <v>12</v>
      </c>
      <c r="C25" s="86">
        <f>(SUM(G20:G23)/SUM(F20:F23))</f>
        <v>5.5010000000000003</v>
      </c>
      <c r="D25" s="86"/>
      <c r="E25" s="86"/>
      <c r="F25" s="133" t="s">
        <v>13</v>
      </c>
      <c r="G25" s="133"/>
      <c r="H25" s="47"/>
      <c r="I25" s="134"/>
      <c r="J25" s="134"/>
      <c r="K25" s="135"/>
    </row>
    <row r="26" spans="2:15" ht="16.5" thickBot="1" x14ac:dyDescent="0.3">
      <c r="B26" s="136"/>
      <c r="C26" s="137"/>
      <c r="D26" s="137"/>
      <c r="E26" s="137"/>
      <c r="F26" s="137"/>
      <c r="G26" s="137"/>
      <c r="H26" s="142"/>
      <c r="I26" s="142"/>
      <c r="J26" s="142"/>
      <c r="K26" s="138"/>
    </row>
    <row r="27" spans="2:15" ht="16.5" thickBot="1" x14ac:dyDescent="0.3">
      <c r="B27" s="44" t="s">
        <v>53</v>
      </c>
      <c r="C27" s="5">
        <f t="shared" ref="C27:C30" si="15">(D27+E27)/2</f>
        <v>13.5</v>
      </c>
      <c r="D27" s="5">
        <v>13</v>
      </c>
      <c r="E27" s="5">
        <v>14</v>
      </c>
      <c r="F27" s="45">
        <v>1</v>
      </c>
      <c r="G27" s="7">
        <f t="shared" ref="G27:G30" si="16">C27*F27</f>
        <v>13.5</v>
      </c>
      <c r="H27" s="90">
        <f>+AMAN!I28</f>
        <v>0</v>
      </c>
      <c r="I27" s="91"/>
      <c r="J27" s="5"/>
      <c r="K27" s="5" t="str">
        <f t="shared" ref="K27:K30" si="17">IF(C27&lt;11,"NA",IF(C27&lt;15,"ECA",IF(C27&lt;18,"A",IF(C27&lt;20,"A+"))))</f>
        <v>ECA</v>
      </c>
      <c r="N27" s="8">
        <f t="shared" ref="N27:N30" si="18">D27*F27</f>
        <v>13</v>
      </c>
      <c r="O27" s="8">
        <f t="shared" ref="O27:O30" si="19">E27*F27</f>
        <v>14</v>
      </c>
    </row>
    <row r="28" spans="2:15" ht="16.5" thickBot="1" x14ac:dyDescent="0.3">
      <c r="B28" s="44" t="s">
        <v>48</v>
      </c>
      <c r="C28" s="5">
        <f t="shared" si="15"/>
        <v>12.5</v>
      </c>
      <c r="D28" s="5">
        <v>10</v>
      </c>
      <c r="E28" s="5">
        <v>15</v>
      </c>
      <c r="F28" s="45">
        <v>2</v>
      </c>
      <c r="G28" s="7">
        <f t="shared" si="16"/>
        <v>25</v>
      </c>
      <c r="H28" s="90">
        <f>+AMAN!I29</f>
        <v>0</v>
      </c>
      <c r="I28" s="91"/>
      <c r="J28" s="5"/>
      <c r="K28" s="5" t="str">
        <f t="shared" si="17"/>
        <v>ECA</v>
      </c>
      <c r="N28" s="8">
        <f t="shared" si="18"/>
        <v>20</v>
      </c>
      <c r="O28" s="8">
        <f t="shared" si="19"/>
        <v>30</v>
      </c>
    </row>
    <row r="29" spans="2:15" ht="16.5" thickBot="1" x14ac:dyDescent="0.3">
      <c r="B29" s="44" t="s">
        <v>49</v>
      </c>
      <c r="C29" s="5">
        <f t="shared" si="15"/>
        <v>11.5</v>
      </c>
      <c r="D29" s="5">
        <v>13</v>
      </c>
      <c r="E29" s="5">
        <v>10</v>
      </c>
      <c r="F29" s="45">
        <v>1</v>
      </c>
      <c r="G29" s="7">
        <f t="shared" si="16"/>
        <v>11.5</v>
      </c>
      <c r="H29" s="90">
        <f>+AMAN!I30</f>
        <v>0</v>
      </c>
      <c r="I29" s="91"/>
      <c r="J29" s="5"/>
      <c r="K29" s="5" t="str">
        <f t="shared" si="17"/>
        <v>ECA</v>
      </c>
      <c r="N29" s="8">
        <f t="shared" si="18"/>
        <v>13</v>
      </c>
      <c r="O29" s="8">
        <f t="shared" si="19"/>
        <v>10</v>
      </c>
    </row>
    <row r="30" spans="2:15" ht="16.5" thickBot="1" x14ac:dyDescent="0.3">
      <c r="B30" s="44" t="s">
        <v>18</v>
      </c>
      <c r="C30" s="5">
        <f t="shared" si="15"/>
        <v>17.5</v>
      </c>
      <c r="D30" s="5">
        <v>19</v>
      </c>
      <c r="E30" s="5">
        <v>16</v>
      </c>
      <c r="F30" s="45">
        <v>1</v>
      </c>
      <c r="G30" s="7">
        <f t="shared" si="16"/>
        <v>17.5</v>
      </c>
      <c r="H30" s="90">
        <f>+AMAN!I31</f>
        <v>0</v>
      </c>
      <c r="I30" s="91"/>
      <c r="J30" s="5"/>
      <c r="K30" s="5" t="str">
        <f t="shared" si="17"/>
        <v>A</v>
      </c>
      <c r="N30" s="8">
        <f t="shared" si="18"/>
        <v>19</v>
      </c>
      <c r="O30" s="8">
        <f t="shared" si="19"/>
        <v>16</v>
      </c>
    </row>
    <row r="31" spans="2:15" ht="16.5" thickBot="1" x14ac:dyDescent="0.3">
      <c r="B31" s="35" t="s">
        <v>57</v>
      </c>
      <c r="C31" s="36"/>
      <c r="D31" s="36"/>
      <c r="E31" s="36"/>
      <c r="F31" s="36"/>
      <c r="G31" s="36"/>
      <c r="H31" s="36"/>
      <c r="I31" s="36"/>
      <c r="J31" s="36"/>
      <c r="K31" s="37"/>
      <c r="N31" s="1">
        <f>SUM(N5:N30)</f>
        <v>208.245</v>
      </c>
      <c r="O31" s="1">
        <f>SUM(O5:O30)</f>
        <v>257.07</v>
      </c>
    </row>
    <row r="32" spans="2:15" ht="16.5" thickBot="1" x14ac:dyDescent="0.3">
      <c r="B32" s="9" t="s">
        <v>16</v>
      </c>
      <c r="C32" s="86">
        <f>(SUM(G27:G30)/SUM(F27:F30))</f>
        <v>13.5</v>
      </c>
      <c r="D32" s="86"/>
      <c r="E32" s="86"/>
      <c r="F32" s="87" t="s">
        <v>13</v>
      </c>
      <c r="G32" s="87"/>
      <c r="H32" s="34"/>
      <c r="I32" s="88"/>
      <c r="J32" s="88"/>
      <c r="K32" s="89"/>
      <c r="N32" s="1">
        <v>29</v>
      </c>
      <c r="O32" s="1">
        <v>29</v>
      </c>
    </row>
    <row r="33" spans="2:15" ht="16.5" thickBot="1" x14ac:dyDescent="0.3">
      <c r="B33" s="81"/>
      <c r="C33" s="82"/>
      <c r="D33" s="82"/>
      <c r="E33" s="82"/>
      <c r="F33" s="82"/>
      <c r="G33" s="82"/>
      <c r="H33" s="82"/>
      <c r="I33" s="82"/>
      <c r="J33" s="82"/>
      <c r="K33" s="83"/>
      <c r="N33" s="1">
        <f>N31/N32</f>
        <v>7.1808620689655172</v>
      </c>
      <c r="O33" s="1">
        <f>O31/O32</f>
        <v>8.8644827586206887</v>
      </c>
    </row>
    <row r="34" spans="2:15" s="17" customFormat="1" ht="48" thickBot="1" x14ac:dyDescent="0.3">
      <c r="B34" s="35" t="s">
        <v>19</v>
      </c>
      <c r="C34" s="49" t="s">
        <v>20</v>
      </c>
      <c r="D34" s="48">
        <v>8.59</v>
      </c>
      <c r="E34" s="50" t="s">
        <v>21</v>
      </c>
      <c r="F34" s="88">
        <v>10.41</v>
      </c>
      <c r="G34" s="88"/>
      <c r="H34" s="50" t="s">
        <v>22</v>
      </c>
      <c r="I34" s="88">
        <v>7.21</v>
      </c>
      <c r="J34" s="88"/>
      <c r="K34" s="39"/>
    </row>
    <row r="35" spans="2:15" x14ac:dyDescent="0.25">
      <c r="B35" s="18"/>
      <c r="C35" s="19" t="s">
        <v>2</v>
      </c>
      <c r="D35" s="19" t="s">
        <v>3</v>
      </c>
      <c r="E35" s="20"/>
      <c r="F35" s="20"/>
      <c r="G35" s="21"/>
      <c r="H35" s="101"/>
      <c r="I35" s="100"/>
      <c r="J35" s="100"/>
      <c r="K35" s="102"/>
    </row>
    <row r="36" spans="2:15" x14ac:dyDescent="0.25">
      <c r="B36" s="22" t="s">
        <v>23</v>
      </c>
      <c r="C36" s="23">
        <f>N33</f>
        <v>7.1808620689655172</v>
      </c>
      <c r="D36" s="23">
        <f>O33</f>
        <v>8.8644827586206887</v>
      </c>
      <c r="E36" s="32" t="s">
        <v>24</v>
      </c>
      <c r="F36" s="25">
        <f>(G5+G6+G7+G8+G9+G13+G14+G15+G20+G16+G21+G22+G23+G27+G28+G29+G30)/29</f>
        <v>8.0226724137931029</v>
      </c>
      <c r="G36" s="24" t="s">
        <v>25</v>
      </c>
      <c r="H36" s="103" t="s">
        <v>26</v>
      </c>
      <c r="I36" s="104"/>
      <c r="J36" s="26"/>
      <c r="K36" s="27" t="s">
        <v>25</v>
      </c>
    </row>
    <row r="37" spans="2:15" ht="16.5" thickBot="1" x14ac:dyDescent="0.3">
      <c r="B37" s="95"/>
      <c r="C37" s="96"/>
      <c r="D37" s="96"/>
      <c r="E37" s="96"/>
      <c r="F37" s="96"/>
      <c r="G37" s="96"/>
      <c r="H37" s="97"/>
      <c r="I37" s="98"/>
      <c r="J37" s="98"/>
      <c r="K37" s="99"/>
    </row>
    <row r="38" spans="2:15" ht="16.5" thickBot="1" x14ac:dyDescent="0.3">
      <c r="B38" s="105" t="s">
        <v>27</v>
      </c>
      <c r="C38" s="106"/>
      <c r="D38" s="106"/>
      <c r="E38" s="106"/>
      <c r="F38" s="106"/>
      <c r="G38" s="106"/>
      <c r="H38" s="106"/>
      <c r="I38" s="106"/>
      <c r="J38" s="106"/>
      <c r="K38" s="107"/>
    </row>
    <row r="39" spans="2:15" ht="16.5" thickBot="1" x14ac:dyDescent="0.3">
      <c r="B39" s="108" t="s">
        <v>28</v>
      </c>
      <c r="C39" s="88"/>
      <c r="D39" s="88"/>
      <c r="E39" s="88"/>
      <c r="F39" s="88"/>
      <c r="G39" s="88"/>
      <c r="H39" s="88"/>
      <c r="I39" s="88"/>
      <c r="J39" s="88"/>
      <c r="K39" s="89"/>
    </row>
    <row r="40" spans="2:15" ht="16.5" thickBot="1" x14ac:dyDescent="0.3">
      <c r="B40" s="35" t="s">
        <v>29</v>
      </c>
      <c r="C40" s="81" t="s">
        <v>30</v>
      </c>
      <c r="D40" s="82"/>
      <c r="E40" s="83"/>
      <c r="F40" s="109" t="s">
        <v>31</v>
      </c>
      <c r="G40" s="110"/>
      <c r="H40" s="110"/>
      <c r="I40" s="110"/>
      <c r="J40" s="110"/>
      <c r="K40" s="111"/>
    </row>
    <row r="41" spans="2:15" ht="16.5" thickBot="1" x14ac:dyDescent="0.3">
      <c r="B41" s="42" t="s">
        <v>32</v>
      </c>
      <c r="C41" s="110" t="str">
        <f>IF(F36&lt;11,"NA",IF(F36&lt;15,"ECA",IF(F36&lt;18,"A",IF(F36&lt;20,"A+"))))</f>
        <v>NA</v>
      </c>
      <c r="D41" s="110" t="e">
        <f>IF(#REF!&lt;11,"NA",IF(#REF!&lt;15,"ECA",IF(#REF!&lt;18,"A",IF(#REF!&lt;20,"A+"))))</f>
        <v>#REF!</v>
      </c>
      <c r="E41" s="111" t="e">
        <f>IF(#REF!&lt;11,"NA",IF(#REF!&lt;15,"ECA",IF(#REF!&lt;18,"A",IF(#REF!&lt;20,"A+"))))</f>
        <v>#REF!</v>
      </c>
      <c r="F41" s="112"/>
      <c r="G41" s="113"/>
      <c r="H41" s="113"/>
      <c r="I41" s="113"/>
      <c r="J41" s="113"/>
      <c r="K41" s="114"/>
    </row>
    <row r="42" spans="2:15" ht="16.5" thickBot="1" x14ac:dyDescent="0.3">
      <c r="B42" s="43" t="s">
        <v>33</v>
      </c>
      <c r="C42" s="115" t="e">
        <f>IF(#REF!&lt;11,"NA",IF(#REF!&lt;15,"ECA",IF(#REF!&lt;18,"A",IF(#REF!&lt;20,"A+"))))</f>
        <v>#REF!</v>
      </c>
      <c r="D42" s="116" t="e">
        <f>IF(#REF!&lt;11,"NA",IF(#REF!&lt;15,"ECA",IF(#REF!&lt;18,"A",IF(#REF!&lt;20,"A+"))))</f>
        <v>#REF!</v>
      </c>
      <c r="E42" s="117" t="e">
        <f>IF(#REF!&lt;11,"NA",IF(#REF!&lt;15,"ECA",IF(#REF!&lt;18,"A",IF(#REF!&lt;20,"A+"))))</f>
        <v>#REF!</v>
      </c>
      <c r="F42" s="108" t="s">
        <v>34</v>
      </c>
      <c r="G42" s="88"/>
      <c r="H42" s="88"/>
      <c r="I42" s="89"/>
      <c r="J42" s="109" t="s">
        <v>35</v>
      </c>
      <c r="K42" s="111"/>
    </row>
    <row r="43" spans="2:15" ht="16.5" thickBot="1" x14ac:dyDescent="0.3">
      <c r="B43" s="29" t="s">
        <v>36</v>
      </c>
      <c r="C43" s="112" t="e">
        <f>IF(#REF!&lt;11,"NA",IF(#REF!&lt;15,"ECA",IF(#REF!&lt;18,"A",IF(#REF!&lt;20,"A+"))))</f>
        <v>#REF!</v>
      </c>
      <c r="D43" s="113" t="e">
        <f>IF(#REF!&lt;11,"NA",IF(#REF!&lt;15,"ECA",IF(#REF!&lt;18,"A",IF(#REF!&lt;20,"A+"))))</f>
        <v>#REF!</v>
      </c>
      <c r="E43" s="114" t="e">
        <f>IF(#REF!&lt;11,"NA",IF(#REF!&lt;15,"ECA",IF(#REF!&lt;18,"A",IF(#REF!&lt;20,"A+"))))</f>
        <v>#REF!</v>
      </c>
      <c r="F43" s="108" t="s">
        <v>37</v>
      </c>
      <c r="G43" s="88"/>
      <c r="H43" s="88"/>
      <c r="I43" s="89"/>
      <c r="J43" s="118" t="s">
        <v>38</v>
      </c>
      <c r="K43" s="119"/>
    </row>
    <row r="44" spans="2:15" ht="16.5" thickBot="1" x14ac:dyDescent="0.3">
      <c r="B44" s="38" t="s">
        <v>39</v>
      </c>
      <c r="C44" s="109" t="s">
        <v>40</v>
      </c>
      <c r="D44" s="110"/>
      <c r="E44" s="111"/>
      <c r="F44" s="108" t="s">
        <v>41</v>
      </c>
      <c r="G44" s="88"/>
      <c r="H44" s="88"/>
      <c r="I44" s="89"/>
      <c r="J44" s="118"/>
      <c r="K44" s="119"/>
    </row>
    <row r="45" spans="2:15" ht="16.5" thickBot="1" x14ac:dyDescent="0.3">
      <c r="B45" s="38" t="s">
        <v>42</v>
      </c>
      <c r="C45" s="112"/>
      <c r="D45" s="113"/>
      <c r="E45" s="114"/>
      <c r="F45" s="108" t="s">
        <v>43</v>
      </c>
      <c r="G45" s="88"/>
      <c r="H45" s="88"/>
      <c r="I45" s="89"/>
      <c r="J45" s="120" t="s">
        <v>44</v>
      </c>
      <c r="K45" s="121"/>
    </row>
    <row r="46" spans="2:15" ht="31.5" x14ac:dyDescent="0.25">
      <c r="B46" s="35" t="s">
        <v>45</v>
      </c>
      <c r="C46" s="101"/>
      <c r="D46" s="100"/>
      <c r="E46" s="102"/>
      <c r="F46" s="101"/>
      <c r="G46" s="100"/>
      <c r="H46" s="100"/>
      <c r="I46" s="102"/>
      <c r="J46" s="120" t="s">
        <v>46</v>
      </c>
      <c r="K46" s="121"/>
    </row>
    <row r="47" spans="2:15" x14ac:dyDescent="0.25">
      <c r="B47" s="28"/>
      <c r="C47" s="122"/>
      <c r="D47" s="123"/>
      <c r="E47" s="124"/>
      <c r="F47" s="122"/>
      <c r="G47" s="123"/>
      <c r="H47" s="123"/>
      <c r="I47" s="124"/>
      <c r="J47" s="128"/>
      <c r="K47" s="129"/>
    </row>
    <row r="48" spans="2:15" x14ac:dyDescent="0.25">
      <c r="B48" s="28"/>
      <c r="C48" s="122"/>
      <c r="D48" s="123"/>
      <c r="E48" s="124"/>
      <c r="F48" s="122"/>
      <c r="G48" s="123"/>
      <c r="H48" s="123"/>
      <c r="I48" s="124"/>
      <c r="J48" s="128"/>
      <c r="K48" s="129"/>
    </row>
    <row r="49" spans="2:11" ht="16.5" thickBot="1" x14ac:dyDescent="0.3">
      <c r="B49" s="29"/>
      <c r="C49" s="125"/>
      <c r="D49" s="126"/>
      <c r="E49" s="127"/>
      <c r="F49" s="125"/>
      <c r="G49" s="126"/>
      <c r="H49" s="126"/>
      <c r="I49" s="127"/>
      <c r="J49" s="97"/>
      <c r="K49" s="99"/>
    </row>
  </sheetData>
  <mergeCells count="63">
    <mergeCell ref="J49:K49"/>
    <mergeCell ref="C44:E45"/>
    <mergeCell ref="F44:I44"/>
    <mergeCell ref="J44:K44"/>
    <mergeCell ref="F45:I45"/>
    <mergeCell ref="J45:K45"/>
    <mergeCell ref="C46:E49"/>
    <mergeCell ref="F46:I49"/>
    <mergeCell ref="J46:K46"/>
    <mergeCell ref="J47:K47"/>
    <mergeCell ref="J48:K48"/>
    <mergeCell ref="B38:K38"/>
    <mergeCell ref="B39:K39"/>
    <mergeCell ref="C40:E40"/>
    <mergeCell ref="F40:K41"/>
    <mergeCell ref="C41:E43"/>
    <mergeCell ref="F42:I42"/>
    <mergeCell ref="J42:K42"/>
    <mergeCell ref="F43:I43"/>
    <mergeCell ref="J43:K43"/>
    <mergeCell ref="F34:G34"/>
    <mergeCell ref="I34:J34"/>
    <mergeCell ref="H35:K35"/>
    <mergeCell ref="H36:I36"/>
    <mergeCell ref="B37:G37"/>
    <mergeCell ref="H37:K37"/>
    <mergeCell ref="B33:K33"/>
    <mergeCell ref="C25:E25"/>
    <mergeCell ref="F25:G25"/>
    <mergeCell ref="I25:K25"/>
    <mergeCell ref="B26:K26"/>
    <mergeCell ref="H27:I27"/>
    <mergeCell ref="H28:I28"/>
    <mergeCell ref="H29:I29"/>
    <mergeCell ref="H30:I30"/>
    <mergeCell ref="C32:E32"/>
    <mergeCell ref="F32:G32"/>
    <mergeCell ref="I32:K32"/>
    <mergeCell ref="B24:K24"/>
    <mergeCell ref="H14:I14"/>
    <mergeCell ref="H15:I15"/>
    <mergeCell ref="H16:I16"/>
    <mergeCell ref="B17:K17"/>
    <mergeCell ref="C18:E18"/>
    <mergeCell ref="F18:G18"/>
    <mergeCell ref="I18:K18"/>
    <mergeCell ref="B19:K19"/>
    <mergeCell ref="H20:I20"/>
    <mergeCell ref="H21:I21"/>
    <mergeCell ref="H22:I22"/>
    <mergeCell ref="H23:I23"/>
    <mergeCell ref="H13:I13"/>
    <mergeCell ref="H4:I4"/>
    <mergeCell ref="H5:I5"/>
    <mergeCell ref="H6:I6"/>
    <mergeCell ref="H7:I7"/>
    <mergeCell ref="H8:I8"/>
    <mergeCell ref="H9:I9"/>
    <mergeCell ref="B10:K10"/>
    <mergeCell ref="C11:E11"/>
    <mergeCell ref="F11:G11"/>
    <mergeCell ref="I11:K11"/>
    <mergeCell ref="B12:K1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C50"/>
  <sheetViews>
    <sheetView zoomScale="60" zoomScaleNormal="60" workbookViewId="0">
      <selection activeCell="O39" sqref="O39"/>
    </sheetView>
  </sheetViews>
  <sheetFormatPr baseColWidth="10" defaultColWidth="11.42578125" defaultRowHeight="15.75" x14ac:dyDescent="0.25"/>
  <cols>
    <col min="1" max="1" width="11.42578125" style="1"/>
    <col min="2" max="2" width="44.140625" style="1" customWidth="1"/>
    <col min="3" max="3" width="12.140625" style="1" customWidth="1"/>
    <col min="4" max="5" width="11.42578125" style="1"/>
    <col min="6" max="6" width="15.5703125" style="1" customWidth="1"/>
    <col min="7" max="7" width="11.42578125" style="1"/>
    <col min="8" max="8" width="12.42578125" style="1" customWidth="1"/>
    <col min="9" max="11" width="11.42578125" style="1"/>
    <col min="12" max="12" width="18.28515625" style="1" bestFit="1" customWidth="1"/>
    <col min="13" max="16384" width="11.42578125" style="1"/>
  </cols>
  <sheetData>
    <row r="3" spans="2:29" ht="16.5" thickBot="1" x14ac:dyDescent="0.3"/>
    <row r="4" spans="2:29" ht="30.75" customHeight="1" thickBot="1" x14ac:dyDescent="0.3">
      <c r="B4" s="59" t="s">
        <v>0</v>
      </c>
      <c r="C4" s="68" t="s">
        <v>68</v>
      </c>
      <c r="D4" s="68" t="s">
        <v>1</v>
      </c>
      <c r="E4" s="68" t="s">
        <v>63</v>
      </c>
      <c r="F4" s="68" t="s">
        <v>64</v>
      </c>
      <c r="G4" s="68" t="s">
        <v>4</v>
      </c>
      <c r="H4" s="67" t="s">
        <v>5</v>
      </c>
      <c r="I4" s="84" t="s">
        <v>6</v>
      </c>
      <c r="J4" s="85"/>
      <c r="K4" s="68" t="s">
        <v>7</v>
      </c>
      <c r="L4" s="68" t="s">
        <v>8</v>
      </c>
    </row>
    <row r="5" spans="2:29" ht="18" customHeight="1" thickBot="1" x14ac:dyDescent="0.3">
      <c r="B5" s="60" t="s">
        <v>61</v>
      </c>
      <c r="C5" s="5">
        <f>F5</f>
        <v>11</v>
      </c>
      <c r="D5" s="58"/>
      <c r="E5" s="58"/>
      <c r="F5" s="5">
        <v>11</v>
      </c>
      <c r="G5" s="61">
        <v>2</v>
      </c>
      <c r="H5" s="7">
        <f>C5*G5</f>
        <v>22</v>
      </c>
      <c r="I5" s="67"/>
      <c r="J5" s="68"/>
      <c r="K5" s="58"/>
      <c r="L5" s="8" t="str">
        <f>IF(C5&lt;11,"NA",IF(C5&lt;15,"ECA",IF(C5&lt;18,"A",IF(C5&lt;20,"A+"))))</f>
        <v>ECA</v>
      </c>
      <c r="O5" s="8">
        <f>D5*G5</f>
        <v>0</v>
      </c>
      <c r="P5" s="8">
        <f>E5*G5</f>
        <v>0</v>
      </c>
      <c r="Q5" s="8">
        <f>G5*F5</f>
        <v>22</v>
      </c>
    </row>
    <row r="6" spans="2:29" ht="16.5" thickBot="1" x14ac:dyDescent="0.3">
      <c r="B6" s="64" t="s">
        <v>17</v>
      </c>
      <c r="C6" s="5">
        <f t="shared" ref="C6:C10" si="0">(D6+F6+E6)/3</f>
        <v>8.0250000000000004</v>
      </c>
      <c r="D6" s="5">
        <v>8.3000000000000007</v>
      </c>
      <c r="E6" s="5">
        <v>8.7749999999999986</v>
      </c>
      <c r="F6" s="5">
        <v>7</v>
      </c>
      <c r="G6" s="6">
        <v>3</v>
      </c>
      <c r="H6" s="7">
        <f>C6*G6</f>
        <v>24.075000000000003</v>
      </c>
      <c r="I6" s="76"/>
      <c r="J6" s="77"/>
      <c r="K6" s="8"/>
      <c r="L6" s="8" t="str">
        <f>IF(C6&lt;11,"NA",IF(C6&lt;15,"ECA",IF(C6&lt;18,"A",IF(C6&lt;20,"A+"))))</f>
        <v>NA</v>
      </c>
      <c r="O6" s="8">
        <f>D6*G6</f>
        <v>24.900000000000002</v>
      </c>
      <c r="P6" s="8">
        <f t="shared" ref="P6:P10" si="1">E6*G6</f>
        <v>26.324999999999996</v>
      </c>
      <c r="Q6" s="8">
        <f t="shared" ref="Q6:Q10" si="2">G6*F6</f>
        <v>21</v>
      </c>
    </row>
    <row r="7" spans="2:29" ht="16.5" thickBot="1" x14ac:dyDescent="0.3">
      <c r="B7" s="64" t="s">
        <v>54</v>
      </c>
      <c r="C7" s="5">
        <f t="shared" si="0"/>
        <v>8.65</v>
      </c>
      <c r="D7" s="5">
        <v>9.6</v>
      </c>
      <c r="E7" s="5">
        <v>7.35</v>
      </c>
      <c r="F7" s="5">
        <v>9</v>
      </c>
      <c r="G7" s="6">
        <v>1</v>
      </c>
      <c r="H7" s="7">
        <f t="shared" ref="H7:H10" si="3">C7*G7</f>
        <v>8.65</v>
      </c>
      <c r="I7" s="76"/>
      <c r="J7" s="77"/>
      <c r="K7" s="8"/>
      <c r="L7" s="8" t="str">
        <f t="shared" ref="L7:L10" si="4">IF(C7&lt;11,"NA",IF(C7&lt;15,"ECA",IF(C7&lt;18,"A",IF(C7&lt;20,"A+"))))</f>
        <v>NA</v>
      </c>
      <c r="O7" s="8">
        <f t="shared" ref="O7:O10" si="5">D7*G7</f>
        <v>9.6</v>
      </c>
      <c r="P7" s="8">
        <f t="shared" si="1"/>
        <v>7.35</v>
      </c>
      <c r="Q7" s="8">
        <f t="shared" si="2"/>
        <v>9</v>
      </c>
    </row>
    <row r="8" spans="2:29" ht="16.5" thickBot="1" x14ac:dyDescent="0.3">
      <c r="B8" s="64" t="s">
        <v>62</v>
      </c>
      <c r="C8" s="5">
        <f>F8</f>
        <v>16.5</v>
      </c>
      <c r="D8" s="5"/>
      <c r="E8" s="5"/>
      <c r="F8" s="5">
        <v>16.5</v>
      </c>
      <c r="G8" s="6">
        <v>2</v>
      </c>
      <c r="H8" s="7">
        <f t="shared" si="3"/>
        <v>33</v>
      </c>
      <c r="I8" s="62"/>
      <c r="J8" s="63"/>
      <c r="K8" s="8"/>
      <c r="L8" s="8" t="str">
        <f t="shared" si="4"/>
        <v>A</v>
      </c>
      <c r="O8" s="8">
        <f t="shared" si="5"/>
        <v>0</v>
      </c>
      <c r="P8" s="8">
        <f t="shared" si="1"/>
        <v>0</v>
      </c>
      <c r="Q8" s="8">
        <f t="shared" si="2"/>
        <v>33</v>
      </c>
    </row>
    <row r="9" spans="2:29" ht="16.5" thickBot="1" x14ac:dyDescent="0.3">
      <c r="B9" s="64" t="s">
        <v>50</v>
      </c>
      <c r="C9" s="5">
        <f t="shared" si="0"/>
        <v>8.7833333333333332</v>
      </c>
      <c r="D9" s="5">
        <v>8.0500000000000007</v>
      </c>
      <c r="E9" s="5">
        <v>8.3000000000000007</v>
      </c>
      <c r="F9" s="5">
        <v>10</v>
      </c>
      <c r="G9" s="6">
        <v>2</v>
      </c>
      <c r="H9" s="7">
        <f t="shared" si="3"/>
        <v>17.566666666666666</v>
      </c>
      <c r="I9" s="90"/>
      <c r="J9" s="91"/>
      <c r="K9" s="8"/>
      <c r="L9" s="8" t="str">
        <f t="shared" si="4"/>
        <v>NA</v>
      </c>
      <c r="O9" s="8">
        <f t="shared" si="5"/>
        <v>16.100000000000001</v>
      </c>
      <c r="P9" s="8">
        <f t="shared" si="1"/>
        <v>16.600000000000001</v>
      </c>
      <c r="Q9" s="8">
        <f t="shared" si="2"/>
        <v>20</v>
      </c>
    </row>
    <row r="10" spans="2:29" ht="16.5" thickBot="1" x14ac:dyDescent="0.3">
      <c r="B10" s="64" t="s">
        <v>51</v>
      </c>
      <c r="C10" s="5">
        <f t="shared" si="0"/>
        <v>10.433333333333332</v>
      </c>
      <c r="D10" s="5">
        <v>11.9</v>
      </c>
      <c r="E10" s="5">
        <v>9.4</v>
      </c>
      <c r="F10" s="5">
        <v>10</v>
      </c>
      <c r="G10" s="6">
        <v>1</v>
      </c>
      <c r="H10" s="7">
        <f t="shared" si="3"/>
        <v>10.433333333333332</v>
      </c>
      <c r="I10" s="76"/>
      <c r="J10" s="77"/>
      <c r="K10" s="8"/>
      <c r="L10" s="8" t="str">
        <f t="shared" si="4"/>
        <v>NA</v>
      </c>
      <c r="O10" s="8">
        <f t="shared" si="5"/>
        <v>11.9</v>
      </c>
      <c r="P10" s="8">
        <f t="shared" si="1"/>
        <v>9.4</v>
      </c>
      <c r="Q10" s="8">
        <f t="shared" si="2"/>
        <v>10</v>
      </c>
    </row>
    <row r="11" spans="2:29" ht="16.5" thickBot="1" x14ac:dyDescent="0.3">
      <c r="B11" s="78" t="s">
        <v>58</v>
      </c>
      <c r="C11" s="79"/>
      <c r="D11" s="79"/>
      <c r="E11" s="79"/>
      <c r="F11" s="79"/>
      <c r="G11" s="79"/>
      <c r="H11" s="79"/>
      <c r="I11" s="79"/>
      <c r="J11" s="79"/>
      <c r="K11" s="79"/>
      <c r="L11" s="80"/>
    </row>
    <row r="12" spans="2:29" ht="16.5" thickBot="1" x14ac:dyDescent="0.3">
      <c r="B12" s="9" t="s">
        <v>12</v>
      </c>
      <c r="C12" s="86">
        <f>(SUM(H5:H10)/SUM(G5:G10))</f>
        <v>10.520454545454545</v>
      </c>
      <c r="D12" s="86"/>
      <c r="E12" s="86"/>
      <c r="F12" s="86"/>
      <c r="G12" s="87" t="s">
        <v>13</v>
      </c>
      <c r="H12" s="87"/>
      <c r="I12" s="69"/>
      <c r="J12" s="88"/>
      <c r="K12" s="88"/>
      <c r="L12" s="89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spans="2:29" ht="16.5" thickBot="1" x14ac:dyDescent="0.3">
      <c r="B13" s="81"/>
      <c r="C13" s="82"/>
      <c r="D13" s="82"/>
      <c r="E13" s="82"/>
      <c r="F13" s="82"/>
      <c r="G13" s="82"/>
      <c r="H13" s="82"/>
      <c r="I13" s="82"/>
      <c r="J13" s="82"/>
      <c r="K13" s="82"/>
      <c r="L13" s="83"/>
    </row>
    <row r="14" spans="2:29" ht="16.5" thickBot="1" x14ac:dyDescent="0.3">
      <c r="B14" s="64" t="s">
        <v>47</v>
      </c>
      <c r="C14" s="5">
        <f>(D14+F14+E14)/3</f>
        <v>14.65</v>
      </c>
      <c r="D14" s="5">
        <v>15.55</v>
      </c>
      <c r="E14" s="5">
        <v>13.4</v>
      </c>
      <c r="F14" s="5">
        <v>15</v>
      </c>
      <c r="G14" s="6">
        <v>2</v>
      </c>
      <c r="H14" s="7">
        <f t="shared" ref="H14:H17" si="6">C14*G14</f>
        <v>29.3</v>
      </c>
      <c r="I14" s="76"/>
      <c r="J14" s="77"/>
      <c r="K14" s="8"/>
      <c r="L14" s="8" t="str">
        <f>IF(C14&lt;11,"NA",IF(C14&lt;15,"ECA",IF(C14&lt;18,"A",IF(C14&lt;20,"A+"))))</f>
        <v>ECA</v>
      </c>
      <c r="O14" s="8">
        <f t="shared" ref="O14:O17" si="7">D14*G14</f>
        <v>31.1</v>
      </c>
      <c r="P14" s="8">
        <f>E14*G14</f>
        <v>26.8</v>
      </c>
      <c r="Q14" s="8">
        <f>G14*F14</f>
        <v>30</v>
      </c>
    </row>
    <row r="15" spans="2:29" ht="16.5" thickBot="1" x14ac:dyDescent="0.3">
      <c r="B15" s="64" t="s">
        <v>14</v>
      </c>
      <c r="C15" s="5">
        <f t="shared" ref="C15:C17" si="8">(D15+F15+E15)/3</f>
        <v>13.166666666666666</v>
      </c>
      <c r="D15" s="5">
        <v>11.75</v>
      </c>
      <c r="E15" s="5">
        <v>14.2</v>
      </c>
      <c r="F15" s="5">
        <v>13.55</v>
      </c>
      <c r="G15" s="6">
        <v>1.5</v>
      </c>
      <c r="H15" s="7">
        <f t="shared" si="6"/>
        <v>19.75</v>
      </c>
      <c r="I15" s="76"/>
      <c r="J15" s="77"/>
      <c r="K15" s="8"/>
      <c r="L15" s="8" t="str">
        <f t="shared" ref="L15:L17" si="9">IF(C15&lt;11,"NA",IF(C15&lt;15,"ECA",IF(C15&lt;18,"A",IF(C15&lt;20,"A+"))))</f>
        <v>ECA</v>
      </c>
      <c r="O15" s="8">
        <f t="shared" si="7"/>
        <v>17.625</v>
      </c>
      <c r="P15" s="8">
        <f t="shared" ref="P15:P17" si="10">E15*G15</f>
        <v>21.299999999999997</v>
      </c>
      <c r="Q15" s="8">
        <f t="shared" ref="Q15:Q17" si="11">G15*F15</f>
        <v>20.325000000000003</v>
      </c>
    </row>
    <row r="16" spans="2:29" ht="16.5" thickBot="1" x14ac:dyDescent="0.3">
      <c r="B16" s="64" t="s">
        <v>15</v>
      </c>
      <c r="C16" s="5">
        <f t="shared" si="8"/>
        <v>11.066666666666668</v>
      </c>
      <c r="D16" s="5">
        <v>9.8999999999999986</v>
      </c>
      <c r="E16" s="5">
        <v>11.05</v>
      </c>
      <c r="F16" s="5">
        <v>12.25</v>
      </c>
      <c r="G16" s="6">
        <v>1.5</v>
      </c>
      <c r="H16" s="7">
        <f t="shared" si="6"/>
        <v>16.600000000000001</v>
      </c>
      <c r="I16" s="76"/>
      <c r="J16" s="77"/>
      <c r="K16" s="8"/>
      <c r="L16" s="8" t="str">
        <f t="shared" si="9"/>
        <v>ECA</v>
      </c>
      <c r="O16" s="8">
        <f t="shared" si="7"/>
        <v>14.849999999999998</v>
      </c>
      <c r="P16" s="8">
        <f t="shared" si="10"/>
        <v>16.575000000000003</v>
      </c>
      <c r="Q16" s="8">
        <f t="shared" si="11"/>
        <v>18.375</v>
      </c>
    </row>
    <row r="17" spans="2:17" ht="16.5" thickBot="1" x14ac:dyDescent="0.3">
      <c r="B17" s="64" t="s">
        <v>52</v>
      </c>
      <c r="C17" s="5">
        <f t="shared" si="8"/>
        <v>10.424999999999999</v>
      </c>
      <c r="D17" s="5">
        <v>9.2750000000000004</v>
      </c>
      <c r="E17" s="5">
        <v>10.75</v>
      </c>
      <c r="F17" s="5">
        <v>11.25</v>
      </c>
      <c r="G17" s="6">
        <v>1</v>
      </c>
      <c r="H17" s="7">
        <f t="shared" si="6"/>
        <v>10.424999999999999</v>
      </c>
      <c r="I17" s="76"/>
      <c r="J17" s="77"/>
      <c r="K17" s="8"/>
      <c r="L17" s="8" t="str">
        <f t="shared" si="9"/>
        <v>NA</v>
      </c>
      <c r="O17" s="8">
        <f t="shared" si="7"/>
        <v>9.2750000000000004</v>
      </c>
      <c r="P17" s="8">
        <f t="shared" si="10"/>
        <v>10.75</v>
      </c>
      <c r="Q17" s="8">
        <f t="shared" si="11"/>
        <v>11.25</v>
      </c>
    </row>
    <row r="18" spans="2:17" ht="16.149999999999999" customHeight="1" thickBot="1" x14ac:dyDescent="0.3">
      <c r="B18" s="78" t="s">
        <v>59</v>
      </c>
      <c r="C18" s="79"/>
      <c r="D18" s="79"/>
      <c r="E18" s="79"/>
      <c r="F18" s="79"/>
      <c r="G18" s="79"/>
      <c r="H18" s="79"/>
      <c r="I18" s="79"/>
      <c r="J18" s="79"/>
      <c r="K18" s="79"/>
      <c r="L18" s="80"/>
    </row>
    <row r="19" spans="2:17" ht="16.149999999999999" customHeight="1" thickBot="1" x14ac:dyDescent="0.3">
      <c r="B19" s="9" t="s">
        <v>16</v>
      </c>
      <c r="C19" s="86">
        <f>(SUM(H14:H17)/SUM(G14:G17))</f>
        <v>12.679166666666667</v>
      </c>
      <c r="D19" s="86"/>
      <c r="E19" s="86"/>
      <c r="F19" s="86"/>
      <c r="G19" s="87" t="s">
        <v>13</v>
      </c>
      <c r="H19" s="87"/>
      <c r="I19" s="69"/>
      <c r="J19" s="88"/>
      <c r="K19" s="88"/>
      <c r="L19" s="89"/>
    </row>
    <row r="20" spans="2:17" ht="16.5" thickBot="1" x14ac:dyDescent="0.3">
      <c r="B20" s="92"/>
      <c r="C20" s="93"/>
      <c r="D20" s="93"/>
      <c r="E20" s="93"/>
      <c r="F20" s="93"/>
      <c r="G20" s="93"/>
      <c r="H20" s="93"/>
      <c r="I20" s="93"/>
      <c r="J20" s="93"/>
      <c r="K20" s="93"/>
      <c r="L20" s="94"/>
    </row>
    <row r="21" spans="2:17" ht="16.5" thickBot="1" x14ac:dyDescent="0.3">
      <c r="B21" s="64" t="s">
        <v>9</v>
      </c>
      <c r="C21" s="5">
        <f>(D21+F21+E21)/3</f>
        <v>8.9916666666666654</v>
      </c>
      <c r="D21" s="5">
        <v>9.3249999999999993</v>
      </c>
      <c r="E21" s="5">
        <v>9.3000000000000007</v>
      </c>
      <c r="F21" s="8">
        <v>8.35</v>
      </c>
      <c r="G21" s="6">
        <v>2</v>
      </c>
      <c r="H21" s="7">
        <f t="shared" ref="H21:H24" si="12">C21*G21</f>
        <v>17.983333333333331</v>
      </c>
      <c r="I21" s="76"/>
      <c r="J21" s="77"/>
      <c r="K21" s="8"/>
      <c r="L21" s="8" t="str">
        <f t="shared" ref="L21:L24" si="13">IF(C21&lt;11,"NA",IF(C21&lt;15,"ECA",IF(C21&lt;18,"A",IF(C21&lt;20,"A+"))))</f>
        <v>NA</v>
      </c>
      <c r="O21" s="8">
        <f t="shared" ref="O21:O24" si="14">D21*G21</f>
        <v>18.649999999999999</v>
      </c>
      <c r="P21" s="8">
        <f>E21*G21</f>
        <v>18.600000000000001</v>
      </c>
      <c r="Q21" s="8">
        <f>G21*F21</f>
        <v>16.7</v>
      </c>
    </row>
    <row r="22" spans="2:17" ht="16.5" thickBot="1" x14ac:dyDescent="0.3">
      <c r="B22" s="64" t="s">
        <v>10</v>
      </c>
      <c r="C22" s="5">
        <f t="shared" ref="C22:C24" si="15">(D22+F22+E22)/3</f>
        <v>9</v>
      </c>
      <c r="D22" s="5">
        <v>8.4499999999999993</v>
      </c>
      <c r="E22" s="5">
        <v>8.35</v>
      </c>
      <c r="F22" s="8">
        <v>10.199999999999999</v>
      </c>
      <c r="G22" s="6">
        <v>4</v>
      </c>
      <c r="H22" s="7">
        <f t="shared" si="12"/>
        <v>36</v>
      </c>
      <c r="I22" s="76"/>
      <c r="J22" s="77"/>
      <c r="K22" s="8"/>
      <c r="L22" s="8" t="str">
        <f t="shared" si="13"/>
        <v>NA</v>
      </c>
      <c r="O22" s="8">
        <f t="shared" si="14"/>
        <v>33.799999999999997</v>
      </c>
      <c r="P22" s="8">
        <f t="shared" ref="P22:P24" si="16">E22*G22</f>
        <v>33.4</v>
      </c>
      <c r="Q22" s="8">
        <f t="shared" ref="Q22:Q24" si="17">G22*F22</f>
        <v>40.799999999999997</v>
      </c>
    </row>
    <row r="23" spans="2:17" ht="16.5" thickBot="1" x14ac:dyDescent="0.3">
      <c r="B23" s="64" t="s">
        <v>56</v>
      </c>
      <c r="C23" s="5">
        <f>F23</f>
        <v>14</v>
      </c>
      <c r="D23" s="5"/>
      <c r="E23" s="5"/>
      <c r="F23" s="8">
        <v>14</v>
      </c>
      <c r="G23" s="6">
        <v>2</v>
      </c>
      <c r="H23" s="7">
        <f t="shared" si="12"/>
        <v>28</v>
      </c>
      <c r="I23" s="76"/>
      <c r="J23" s="77"/>
      <c r="K23" s="8"/>
      <c r="L23" s="8" t="str">
        <f t="shared" si="13"/>
        <v>ECA</v>
      </c>
      <c r="O23" s="8">
        <f t="shared" si="14"/>
        <v>0</v>
      </c>
      <c r="P23" s="8">
        <f t="shared" si="16"/>
        <v>0</v>
      </c>
      <c r="Q23" s="8">
        <f t="shared" si="17"/>
        <v>28</v>
      </c>
    </row>
    <row r="24" spans="2:17" ht="16.5" thickBot="1" x14ac:dyDescent="0.3">
      <c r="B24" s="64" t="s">
        <v>11</v>
      </c>
      <c r="C24" s="5">
        <f t="shared" si="15"/>
        <v>11</v>
      </c>
      <c r="D24" s="5">
        <v>10.45</v>
      </c>
      <c r="E24" s="5">
        <v>9.8000000000000007</v>
      </c>
      <c r="F24" s="8">
        <v>12.75</v>
      </c>
      <c r="G24" s="6">
        <v>2</v>
      </c>
      <c r="H24" s="7">
        <f t="shared" si="12"/>
        <v>22</v>
      </c>
      <c r="I24" s="76"/>
      <c r="J24" s="77"/>
      <c r="K24" s="8"/>
      <c r="L24" s="8" t="str">
        <f t="shared" si="13"/>
        <v>ECA</v>
      </c>
      <c r="O24" s="8">
        <f t="shared" si="14"/>
        <v>20.9</v>
      </c>
      <c r="P24" s="8">
        <f t="shared" si="16"/>
        <v>19.600000000000001</v>
      </c>
      <c r="Q24" s="8">
        <f t="shared" si="17"/>
        <v>25.5</v>
      </c>
    </row>
    <row r="25" spans="2:17" ht="16.149999999999999" customHeight="1" thickBot="1" x14ac:dyDescent="0.3">
      <c r="B25" s="78" t="s">
        <v>60</v>
      </c>
      <c r="C25" s="79"/>
      <c r="D25" s="79"/>
      <c r="E25" s="79"/>
      <c r="F25" s="79"/>
      <c r="G25" s="79"/>
      <c r="H25" s="79"/>
      <c r="I25" s="79"/>
      <c r="J25" s="79"/>
      <c r="K25" s="79"/>
      <c r="L25" s="80"/>
    </row>
    <row r="26" spans="2:17" ht="16.149999999999999" customHeight="1" thickBot="1" x14ac:dyDescent="0.3">
      <c r="B26" s="9" t="s">
        <v>12</v>
      </c>
      <c r="C26" s="86">
        <f>(SUM(H21:H24)/SUM(G21:G24))</f>
        <v>10.398333333333333</v>
      </c>
      <c r="D26" s="86"/>
      <c r="E26" s="86"/>
      <c r="F26" s="86"/>
      <c r="G26" s="87" t="s">
        <v>13</v>
      </c>
      <c r="H26" s="87"/>
      <c r="I26" s="69"/>
      <c r="J26" s="88"/>
      <c r="K26" s="88"/>
      <c r="L26" s="89"/>
    </row>
    <row r="27" spans="2:17" ht="16.5" thickBot="1" x14ac:dyDescent="0.3">
      <c r="B27" s="81"/>
      <c r="C27" s="82"/>
      <c r="D27" s="82"/>
      <c r="E27" s="82"/>
      <c r="F27" s="82"/>
      <c r="G27" s="82"/>
      <c r="H27" s="82"/>
      <c r="I27" s="100"/>
      <c r="J27" s="100"/>
      <c r="K27" s="100"/>
      <c r="L27" s="83"/>
    </row>
    <row r="28" spans="2:17" ht="16.5" thickBot="1" x14ac:dyDescent="0.3">
      <c r="B28" s="64" t="s">
        <v>53</v>
      </c>
      <c r="C28" s="5">
        <f>(D28+F28+E28)/3</f>
        <v>14</v>
      </c>
      <c r="D28" s="8">
        <v>13.5</v>
      </c>
      <c r="E28" s="8">
        <v>14.5</v>
      </c>
      <c r="F28" s="8">
        <v>14</v>
      </c>
      <c r="G28" s="6">
        <v>1</v>
      </c>
      <c r="H28" s="7">
        <f t="shared" ref="H28:H31" si="18">C28*G28</f>
        <v>14</v>
      </c>
      <c r="I28" s="76"/>
      <c r="J28" s="77"/>
      <c r="K28" s="8"/>
      <c r="L28" s="8" t="str">
        <f t="shared" ref="L28:L31" si="19">IF(C28&lt;11,"NA",IF(C28&lt;15,"ECA",IF(C28&lt;18,"A",IF(C28&lt;20,"A+"))))</f>
        <v>ECA</v>
      </c>
      <c r="O28" s="8">
        <f t="shared" ref="O28:O31" si="20">D28*G28</f>
        <v>13.5</v>
      </c>
      <c r="P28" s="8">
        <f>E28*G28</f>
        <v>14.5</v>
      </c>
      <c r="Q28" s="8">
        <f>G28*F28</f>
        <v>14</v>
      </c>
    </row>
    <row r="29" spans="2:17" ht="16.5" thickBot="1" x14ac:dyDescent="0.3">
      <c r="B29" s="64" t="s">
        <v>48</v>
      </c>
      <c r="C29" s="5">
        <f t="shared" ref="C29:C31" si="21">(D29+F29+E29)/3</f>
        <v>14.15</v>
      </c>
      <c r="D29" s="8">
        <v>12.8</v>
      </c>
      <c r="E29" s="8">
        <v>15.65</v>
      </c>
      <c r="F29" s="8">
        <v>14</v>
      </c>
      <c r="G29" s="6">
        <v>2</v>
      </c>
      <c r="H29" s="7">
        <f t="shared" si="18"/>
        <v>28.3</v>
      </c>
      <c r="I29" s="76"/>
      <c r="J29" s="77"/>
      <c r="K29" s="8"/>
      <c r="L29" s="8" t="str">
        <f t="shared" si="19"/>
        <v>ECA</v>
      </c>
      <c r="O29" s="8">
        <f t="shared" si="20"/>
        <v>25.6</v>
      </c>
      <c r="P29" s="8">
        <f t="shared" ref="P29:P31" si="22">E29*G29</f>
        <v>31.3</v>
      </c>
      <c r="Q29" s="8">
        <f t="shared" ref="Q29:Q31" si="23">G29*F29</f>
        <v>28</v>
      </c>
    </row>
    <row r="30" spans="2:17" ht="16.5" thickBot="1" x14ac:dyDescent="0.3">
      <c r="B30" s="64" t="s">
        <v>49</v>
      </c>
      <c r="C30" s="5">
        <f t="shared" si="21"/>
        <v>13</v>
      </c>
      <c r="D30" s="8">
        <v>12</v>
      </c>
      <c r="E30" s="8">
        <v>13</v>
      </c>
      <c r="F30" s="8">
        <v>14</v>
      </c>
      <c r="G30" s="6">
        <v>1</v>
      </c>
      <c r="H30" s="7">
        <f t="shared" si="18"/>
        <v>13</v>
      </c>
      <c r="I30" s="76"/>
      <c r="J30" s="77"/>
      <c r="K30" s="8"/>
      <c r="L30" s="8" t="str">
        <f t="shared" si="19"/>
        <v>ECA</v>
      </c>
      <c r="O30" s="8">
        <f t="shared" si="20"/>
        <v>12</v>
      </c>
      <c r="P30" s="8">
        <f t="shared" si="22"/>
        <v>13</v>
      </c>
      <c r="Q30" s="8">
        <f t="shared" si="23"/>
        <v>14</v>
      </c>
    </row>
    <row r="31" spans="2:17" ht="16.5" thickBot="1" x14ac:dyDescent="0.3">
      <c r="B31" s="64" t="s">
        <v>18</v>
      </c>
      <c r="C31" s="5">
        <f t="shared" si="21"/>
        <v>15.166666666666666</v>
      </c>
      <c r="D31" s="8">
        <v>14</v>
      </c>
      <c r="E31" s="8">
        <v>16</v>
      </c>
      <c r="F31" s="8">
        <v>15.5</v>
      </c>
      <c r="G31" s="6">
        <v>1</v>
      </c>
      <c r="H31" s="7">
        <f t="shared" si="18"/>
        <v>15.166666666666666</v>
      </c>
      <c r="I31" s="76"/>
      <c r="J31" s="77"/>
      <c r="K31" s="8"/>
      <c r="L31" s="8" t="str">
        <f t="shared" si="19"/>
        <v>A</v>
      </c>
      <c r="O31" s="8">
        <f t="shared" si="20"/>
        <v>14</v>
      </c>
      <c r="P31" s="8">
        <f t="shared" si="22"/>
        <v>16</v>
      </c>
      <c r="Q31" s="8">
        <f t="shared" si="23"/>
        <v>15.5</v>
      </c>
    </row>
    <row r="32" spans="2:17" ht="16.149999999999999" customHeight="1" thickBot="1" x14ac:dyDescent="0.3">
      <c r="B32" s="64" t="s">
        <v>57</v>
      </c>
      <c r="C32" s="65"/>
      <c r="D32" s="65"/>
      <c r="E32" s="65"/>
      <c r="F32" s="65"/>
      <c r="G32" s="65"/>
      <c r="H32" s="65"/>
      <c r="I32" s="65"/>
      <c r="J32" s="65"/>
      <c r="K32" s="65"/>
      <c r="L32" s="66"/>
      <c r="O32" s="1">
        <f>SUM(O6:O31)</f>
        <v>273.8</v>
      </c>
      <c r="P32" s="1">
        <f>SUM(P6:P31)</f>
        <v>281.5</v>
      </c>
      <c r="Q32" s="1">
        <f>SUM(Q5:Q31)</f>
        <v>377.45</v>
      </c>
    </row>
    <row r="33" spans="2:17" ht="16.149999999999999" customHeight="1" thickBot="1" x14ac:dyDescent="0.3">
      <c r="B33" s="9" t="s">
        <v>16</v>
      </c>
      <c r="C33" s="86">
        <f>(SUM(H28:H31)/SUM(G28:G31))</f>
        <v>14.093333333333334</v>
      </c>
      <c r="D33" s="86"/>
      <c r="E33" s="86"/>
      <c r="F33" s="86"/>
      <c r="G33" s="87" t="s">
        <v>13</v>
      </c>
      <c r="H33" s="87"/>
      <c r="I33" s="69"/>
      <c r="J33" s="88"/>
      <c r="K33" s="88"/>
      <c r="L33" s="89"/>
      <c r="O33" s="1">
        <v>26</v>
      </c>
      <c r="P33" s="1">
        <v>26</v>
      </c>
      <c r="Q33" s="1">
        <v>32</v>
      </c>
    </row>
    <row r="34" spans="2:17" ht="16.5" thickBot="1" x14ac:dyDescent="0.3">
      <c r="B34" s="81"/>
      <c r="C34" s="82"/>
      <c r="D34" s="82"/>
      <c r="E34" s="82"/>
      <c r="F34" s="82"/>
      <c r="G34" s="82"/>
      <c r="H34" s="82"/>
      <c r="I34" s="82"/>
      <c r="J34" s="82"/>
      <c r="K34" s="82"/>
      <c r="L34" s="83"/>
      <c r="O34" s="1">
        <f>O32/O33</f>
        <v>10.530769230769231</v>
      </c>
      <c r="P34" s="1">
        <f>P32/P33</f>
        <v>10.826923076923077</v>
      </c>
      <c r="Q34" s="1">
        <f>Q32/Q33</f>
        <v>11.7953125</v>
      </c>
    </row>
    <row r="35" spans="2:17" s="17" customFormat="1" ht="48" thickBot="1" x14ac:dyDescent="0.3">
      <c r="B35" s="64" t="s">
        <v>19</v>
      </c>
      <c r="C35" s="70" t="s">
        <v>20</v>
      </c>
      <c r="D35" s="69"/>
      <c r="E35" s="69"/>
      <c r="F35" s="71" t="s">
        <v>21</v>
      </c>
      <c r="G35" s="88"/>
      <c r="H35" s="88"/>
      <c r="I35" s="71" t="s">
        <v>22</v>
      </c>
      <c r="J35" s="88"/>
      <c r="K35" s="88"/>
      <c r="L35" s="72"/>
    </row>
    <row r="36" spans="2:17" x14ac:dyDescent="0.25">
      <c r="B36" s="18"/>
      <c r="C36" s="19" t="s">
        <v>1</v>
      </c>
      <c r="D36" s="19" t="s">
        <v>63</v>
      </c>
      <c r="E36" s="19" t="s">
        <v>65</v>
      </c>
      <c r="F36" s="20"/>
      <c r="G36" s="20"/>
      <c r="H36" s="21"/>
      <c r="I36" s="101"/>
      <c r="J36" s="100"/>
      <c r="K36" s="100"/>
      <c r="L36" s="102"/>
    </row>
    <row r="37" spans="2:17" x14ac:dyDescent="0.25">
      <c r="B37" s="22" t="s">
        <v>23</v>
      </c>
      <c r="C37" s="23">
        <f>O34</f>
        <v>10.530769230769231</v>
      </c>
      <c r="D37" s="23">
        <f>P34</f>
        <v>10.826923076923077</v>
      </c>
      <c r="E37" s="23">
        <f>Q34</f>
        <v>11.7953125</v>
      </c>
      <c r="F37" s="32" t="s">
        <v>66</v>
      </c>
      <c r="G37" s="25">
        <f>(H5+H6+H7+H8+H9+H10+H14+H15+H16+H17+H21+H22+H23+H24+H28+H29+H30+H31)/32</f>
        <v>11.4453125</v>
      </c>
      <c r="H37" s="24" t="s">
        <v>25</v>
      </c>
      <c r="I37" s="103" t="s">
        <v>26</v>
      </c>
      <c r="J37" s="104"/>
      <c r="K37" s="26"/>
      <c r="L37" s="27" t="s">
        <v>25</v>
      </c>
    </row>
    <row r="38" spans="2:17" ht="16.149999999999999" customHeight="1" thickBot="1" x14ac:dyDescent="0.3">
      <c r="B38" s="95"/>
      <c r="C38" s="96"/>
      <c r="D38" s="96"/>
      <c r="E38" s="96"/>
      <c r="F38" s="96"/>
      <c r="G38" s="96"/>
      <c r="H38" s="96"/>
      <c r="I38" s="97"/>
      <c r="J38" s="98"/>
      <c r="K38" s="98"/>
      <c r="L38" s="99"/>
    </row>
    <row r="39" spans="2:17" ht="16.149999999999999" customHeight="1" thickBot="1" x14ac:dyDescent="0.3">
      <c r="B39" s="105" t="s">
        <v>67</v>
      </c>
      <c r="C39" s="106"/>
      <c r="D39" s="106"/>
      <c r="E39" s="106"/>
      <c r="F39" s="106"/>
      <c r="G39" s="106"/>
      <c r="H39" s="106"/>
      <c r="I39" s="106"/>
      <c r="J39" s="106"/>
      <c r="K39" s="106"/>
      <c r="L39" s="107"/>
    </row>
    <row r="40" spans="2:17" ht="16.149999999999999" customHeight="1" thickBot="1" x14ac:dyDescent="0.3">
      <c r="B40" s="108" t="s">
        <v>28</v>
      </c>
      <c r="C40" s="88"/>
      <c r="D40" s="88"/>
      <c r="E40" s="88"/>
      <c r="F40" s="88"/>
      <c r="G40" s="88"/>
      <c r="H40" s="88"/>
      <c r="I40" s="88"/>
      <c r="J40" s="88"/>
      <c r="K40" s="88"/>
      <c r="L40" s="89"/>
    </row>
    <row r="41" spans="2:17" ht="16.149999999999999" customHeight="1" thickBot="1" x14ac:dyDescent="0.3">
      <c r="B41" s="64" t="s">
        <v>29</v>
      </c>
      <c r="C41" s="81" t="s">
        <v>30</v>
      </c>
      <c r="D41" s="82"/>
      <c r="E41" s="82"/>
      <c r="F41" s="83"/>
      <c r="G41" s="109" t="s">
        <v>31</v>
      </c>
      <c r="H41" s="110"/>
      <c r="I41" s="110"/>
      <c r="J41" s="110"/>
      <c r="K41" s="110"/>
      <c r="L41" s="111"/>
    </row>
    <row r="42" spans="2:17" ht="16.149999999999999" customHeight="1" thickBot="1" x14ac:dyDescent="0.3">
      <c r="B42" s="42" t="s">
        <v>32</v>
      </c>
      <c r="C42" s="110" t="str">
        <f>IF(G37&lt;11,"NA",IF(G37&lt;15,"ECA",IF(G37&lt;18,"A",IF(G37&lt;20,"A+"))))</f>
        <v>ECA</v>
      </c>
      <c r="D42" s="110" t="e">
        <f>IF(#REF!&lt;11,"NA",IF(#REF!&lt;15,"ECA",IF(#REF!&lt;18,"A",IF(#REF!&lt;20,"A+"))))</f>
        <v>#REF!</v>
      </c>
      <c r="E42" s="110"/>
      <c r="F42" s="111" t="e">
        <f>IF(#REF!&lt;11,"NA",IF(#REF!&lt;15,"ECA",IF(#REF!&lt;18,"A",IF(#REF!&lt;20,"A+"))))</f>
        <v>#REF!</v>
      </c>
      <c r="G42" s="112"/>
      <c r="H42" s="113"/>
      <c r="I42" s="113"/>
      <c r="J42" s="113"/>
      <c r="K42" s="113"/>
      <c r="L42" s="114"/>
    </row>
    <row r="43" spans="2:17" ht="16.149999999999999" customHeight="1" thickBot="1" x14ac:dyDescent="0.3">
      <c r="B43" s="43" t="s">
        <v>33</v>
      </c>
      <c r="C43" s="115" t="e">
        <f>IF(#REF!&lt;11,"NA",IF(#REF!&lt;15,"ECA",IF(#REF!&lt;18,"A",IF(#REF!&lt;20,"A+"))))</f>
        <v>#REF!</v>
      </c>
      <c r="D43" s="116" t="e">
        <f>IF(#REF!&lt;11,"NA",IF(#REF!&lt;15,"ECA",IF(#REF!&lt;18,"A",IF(#REF!&lt;20,"A+"))))</f>
        <v>#REF!</v>
      </c>
      <c r="E43" s="116"/>
      <c r="F43" s="117" t="e">
        <f>IF(#REF!&lt;11,"NA",IF(#REF!&lt;15,"ECA",IF(#REF!&lt;18,"A",IF(#REF!&lt;20,"A+"))))</f>
        <v>#REF!</v>
      </c>
      <c r="G43" s="108" t="s">
        <v>34</v>
      </c>
      <c r="H43" s="88"/>
      <c r="I43" s="88"/>
      <c r="J43" s="89"/>
      <c r="K43" s="109" t="s">
        <v>35</v>
      </c>
      <c r="L43" s="111"/>
    </row>
    <row r="44" spans="2:17" ht="16.149999999999999" customHeight="1" thickBot="1" x14ac:dyDescent="0.3">
      <c r="B44" s="29" t="s">
        <v>36</v>
      </c>
      <c r="C44" s="112" t="e">
        <f>IF(#REF!&lt;11,"NA",IF(#REF!&lt;15,"ECA",IF(#REF!&lt;18,"A",IF(#REF!&lt;20,"A+"))))</f>
        <v>#REF!</v>
      </c>
      <c r="D44" s="113" t="e">
        <f>IF(#REF!&lt;11,"NA",IF(#REF!&lt;15,"ECA",IF(#REF!&lt;18,"A",IF(#REF!&lt;20,"A+"))))</f>
        <v>#REF!</v>
      </c>
      <c r="E44" s="113"/>
      <c r="F44" s="114" t="e">
        <f>IF(#REF!&lt;11,"NA",IF(#REF!&lt;15,"ECA",IF(#REF!&lt;18,"A",IF(#REF!&lt;20,"A+"))))</f>
        <v>#REF!</v>
      </c>
      <c r="G44" s="108" t="s">
        <v>37</v>
      </c>
      <c r="H44" s="88"/>
      <c r="I44" s="88"/>
      <c r="J44" s="89"/>
      <c r="K44" s="118" t="s">
        <v>38</v>
      </c>
      <c r="L44" s="119"/>
    </row>
    <row r="45" spans="2:17" ht="16.149999999999999" customHeight="1" thickBot="1" x14ac:dyDescent="0.3">
      <c r="B45" s="70" t="s">
        <v>39</v>
      </c>
      <c r="C45" s="109" t="s">
        <v>40</v>
      </c>
      <c r="D45" s="110"/>
      <c r="E45" s="110"/>
      <c r="F45" s="111"/>
      <c r="G45" s="108" t="s">
        <v>41</v>
      </c>
      <c r="H45" s="88"/>
      <c r="I45" s="88"/>
      <c r="J45" s="89"/>
      <c r="K45" s="118"/>
      <c r="L45" s="119"/>
    </row>
    <row r="46" spans="2:17" ht="16.149999999999999" customHeight="1" thickBot="1" x14ac:dyDescent="0.3">
      <c r="B46" s="70" t="s">
        <v>42</v>
      </c>
      <c r="C46" s="112"/>
      <c r="D46" s="113"/>
      <c r="E46" s="113"/>
      <c r="F46" s="114"/>
      <c r="G46" s="108" t="s">
        <v>43</v>
      </c>
      <c r="H46" s="88"/>
      <c r="I46" s="88"/>
      <c r="J46" s="89"/>
      <c r="K46" s="120" t="s">
        <v>44</v>
      </c>
      <c r="L46" s="121"/>
    </row>
    <row r="47" spans="2:17" ht="31.5" x14ac:dyDescent="0.25">
      <c r="B47" s="64" t="s">
        <v>45</v>
      </c>
      <c r="C47" s="101"/>
      <c r="D47" s="100"/>
      <c r="E47" s="100"/>
      <c r="F47" s="102"/>
      <c r="G47" s="101"/>
      <c r="H47" s="100"/>
      <c r="I47" s="100"/>
      <c r="J47" s="102"/>
      <c r="K47" s="120" t="s">
        <v>46</v>
      </c>
      <c r="L47" s="121"/>
    </row>
    <row r="48" spans="2:17" x14ac:dyDescent="0.25">
      <c r="B48" s="28"/>
      <c r="C48" s="122"/>
      <c r="D48" s="123"/>
      <c r="E48" s="123"/>
      <c r="F48" s="124"/>
      <c r="G48" s="122"/>
      <c r="H48" s="123"/>
      <c r="I48" s="123"/>
      <c r="J48" s="124"/>
      <c r="K48" s="128"/>
      <c r="L48" s="129"/>
    </row>
    <row r="49" spans="2:12" x14ac:dyDescent="0.25">
      <c r="B49" s="28"/>
      <c r="C49" s="122"/>
      <c r="D49" s="123"/>
      <c r="E49" s="123"/>
      <c r="F49" s="124"/>
      <c r="G49" s="122"/>
      <c r="H49" s="123"/>
      <c r="I49" s="123"/>
      <c r="J49" s="124"/>
      <c r="K49" s="128"/>
      <c r="L49" s="129"/>
    </row>
    <row r="50" spans="2:12" ht="16.5" thickBot="1" x14ac:dyDescent="0.3">
      <c r="B50" s="29"/>
      <c r="C50" s="125"/>
      <c r="D50" s="126"/>
      <c r="E50" s="126"/>
      <c r="F50" s="127"/>
      <c r="G50" s="125"/>
      <c r="H50" s="126"/>
      <c r="I50" s="126"/>
      <c r="J50" s="127"/>
      <c r="K50" s="97"/>
      <c r="L50" s="99"/>
    </row>
  </sheetData>
  <mergeCells count="62">
    <mergeCell ref="C45:F46"/>
    <mergeCell ref="G45:J45"/>
    <mergeCell ref="K45:L45"/>
    <mergeCell ref="G46:J46"/>
    <mergeCell ref="K46:L46"/>
    <mergeCell ref="C47:F50"/>
    <mergeCell ref="G47:J50"/>
    <mergeCell ref="K47:L47"/>
    <mergeCell ref="K48:L48"/>
    <mergeCell ref="K49:L49"/>
    <mergeCell ref="K50:L50"/>
    <mergeCell ref="B38:H38"/>
    <mergeCell ref="I38:L38"/>
    <mergeCell ref="B39:L39"/>
    <mergeCell ref="B40:L40"/>
    <mergeCell ref="C41:F41"/>
    <mergeCell ref="G41:L42"/>
    <mergeCell ref="C42:F44"/>
    <mergeCell ref="G43:J43"/>
    <mergeCell ref="G33:H33"/>
    <mergeCell ref="J33:L33"/>
    <mergeCell ref="B34:L34"/>
    <mergeCell ref="I36:L36"/>
    <mergeCell ref="I37:J37"/>
    <mergeCell ref="I4:J4"/>
    <mergeCell ref="I6:J6"/>
    <mergeCell ref="I7:J7"/>
    <mergeCell ref="I9:J9"/>
    <mergeCell ref="B18:L18"/>
    <mergeCell ref="I10:J10"/>
    <mergeCell ref="B11:L11"/>
    <mergeCell ref="C12:F12"/>
    <mergeCell ref="G12:H12"/>
    <mergeCell ref="J12:L12"/>
    <mergeCell ref="B13:L13"/>
    <mergeCell ref="I14:J14"/>
    <mergeCell ref="I15:J15"/>
    <mergeCell ref="I16:J16"/>
    <mergeCell ref="I17:J17"/>
    <mergeCell ref="J19:L19"/>
    <mergeCell ref="B20:L20"/>
    <mergeCell ref="I21:J21"/>
    <mergeCell ref="I22:J22"/>
    <mergeCell ref="I23:J23"/>
    <mergeCell ref="C19:F19"/>
    <mergeCell ref="G19:H19"/>
    <mergeCell ref="K43:L43"/>
    <mergeCell ref="G44:J44"/>
    <mergeCell ref="K44:L44"/>
    <mergeCell ref="I24:J24"/>
    <mergeCell ref="B25:L25"/>
    <mergeCell ref="C26:F26"/>
    <mergeCell ref="G26:H26"/>
    <mergeCell ref="J26:L26"/>
    <mergeCell ref="B27:L27"/>
    <mergeCell ref="I28:J28"/>
    <mergeCell ref="I29:J29"/>
    <mergeCell ref="I30:J30"/>
    <mergeCell ref="G35:H35"/>
    <mergeCell ref="J35:K35"/>
    <mergeCell ref="I31:J31"/>
    <mergeCell ref="C33:F3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C50"/>
  <sheetViews>
    <sheetView zoomScale="60" zoomScaleNormal="60" workbookViewId="0">
      <selection activeCell="D9" sqref="D9"/>
    </sheetView>
  </sheetViews>
  <sheetFormatPr baseColWidth="10" defaultColWidth="11.42578125" defaultRowHeight="15.75" x14ac:dyDescent="0.25"/>
  <cols>
    <col min="1" max="1" width="11.42578125" style="1"/>
    <col min="2" max="2" width="44.140625" style="1" customWidth="1"/>
    <col min="3" max="3" width="12.140625" style="1" customWidth="1"/>
    <col min="4" max="5" width="11.42578125" style="1"/>
    <col min="6" max="6" width="15.5703125" style="1" customWidth="1"/>
    <col min="7" max="7" width="11.42578125" style="1"/>
    <col min="8" max="8" width="12.42578125" style="1" customWidth="1"/>
    <col min="9" max="11" width="11.42578125" style="1"/>
    <col min="12" max="12" width="18.28515625" style="1" bestFit="1" customWidth="1"/>
    <col min="13" max="16384" width="11.42578125" style="1"/>
  </cols>
  <sheetData>
    <row r="3" spans="2:29" ht="16.5" thickBot="1" x14ac:dyDescent="0.3"/>
    <row r="4" spans="2:29" ht="30.75" customHeight="1" thickBot="1" x14ac:dyDescent="0.3">
      <c r="B4" s="59" t="s">
        <v>0</v>
      </c>
      <c r="C4" s="68" t="s">
        <v>68</v>
      </c>
      <c r="D4" s="68" t="s">
        <v>1</v>
      </c>
      <c r="E4" s="68" t="s">
        <v>63</v>
      </c>
      <c r="F4" s="68" t="s">
        <v>64</v>
      </c>
      <c r="G4" s="68" t="s">
        <v>4</v>
      </c>
      <c r="H4" s="67" t="s">
        <v>5</v>
      </c>
      <c r="I4" s="84" t="s">
        <v>6</v>
      </c>
      <c r="J4" s="85"/>
      <c r="K4" s="68" t="s">
        <v>7</v>
      </c>
      <c r="L4" s="68" t="s">
        <v>8</v>
      </c>
    </row>
    <row r="5" spans="2:29" ht="18" customHeight="1" thickBot="1" x14ac:dyDescent="0.3">
      <c r="B5" s="60" t="s">
        <v>61</v>
      </c>
      <c r="C5" s="5">
        <f>F5</f>
        <v>12.5</v>
      </c>
      <c r="D5" s="58"/>
      <c r="E5" s="58"/>
      <c r="F5" s="5">
        <v>12.5</v>
      </c>
      <c r="G5" s="61">
        <v>2</v>
      </c>
      <c r="H5" s="7">
        <f>C5*G5</f>
        <v>25</v>
      </c>
      <c r="I5" s="67"/>
      <c r="J5" s="68"/>
      <c r="K5" s="58"/>
      <c r="L5" s="8" t="str">
        <f>IF(C5&lt;11,"NA",IF(C5&lt;15,"ECA",IF(C5&lt;18,"A",IF(C5&lt;20,"A+"))))</f>
        <v>ECA</v>
      </c>
      <c r="O5" s="8">
        <f>D5*G5</f>
        <v>0</v>
      </c>
      <c r="P5" s="8">
        <f>E5*G5</f>
        <v>0</v>
      </c>
      <c r="Q5" s="8">
        <f>G5*F5</f>
        <v>25</v>
      </c>
    </row>
    <row r="6" spans="2:29" ht="16.5" thickBot="1" x14ac:dyDescent="0.3">
      <c r="B6" s="64" t="s">
        <v>17</v>
      </c>
      <c r="C6" s="5">
        <f t="shared" ref="C6:C10" si="0">(D6+F6+E6)/3</f>
        <v>9.7333333333333325</v>
      </c>
      <c r="D6" s="5">
        <v>10.15</v>
      </c>
      <c r="E6" s="5">
        <v>9.0500000000000007</v>
      </c>
      <c r="F6" s="5">
        <v>10</v>
      </c>
      <c r="G6" s="6">
        <v>3</v>
      </c>
      <c r="H6" s="7">
        <f>C6*G6</f>
        <v>29.199999999999996</v>
      </c>
      <c r="I6" s="76"/>
      <c r="J6" s="77"/>
      <c r="K6" s="8"/>
      <c r="L6" s="8" t="str">
        <f>IF(C6&lt;11,"NA",IF(C6&lt;15,"ECA",IF(C6&lt;18,"A",IF(C6&lt;20,"A+"))))</f>
        <v>NA</v>
      </c>
      <c r="O6" s="8">
        <f>D6*G6</f>
        <v>30.450000000000003</v>
      </c>
      <c r="P6" s="8">
        <f t="shared" ref="P6:P10" si="1">E6*G6</f>
        <v>27.150000000000002</v>
      </c>
      <c r="Q6" s="8">
        <f t="shared" ref="Q6:Q10" si="2">G6*F6</f>
        <v>30</v>
      </c>
    </row>
    <row r="7" spans="2:29" ht="16.5" thickBot="1" x14ac:dyDescent="0.3">
      <c r="B7" s="64" t="s">
        <v>54</v>
      </c>
      <c r="C7" s="5">
        <f t="shared" si="0"/>
        <v>14.200000000000001</v>
      </c>
      <c r="D7" s="5">
        <v>16.200000000000003</v>
      </c>
      <c r="E7" s="5">
        <v>12.4</v>
      </c>
      <c r="F7" s="5">
        <v>14</v>
      </c>
      <c r="G7" s="6">
        <v>1</v>
      </c>
      <c r="H7" s="7">
        <f t="shared" ref="H7:H10" si="3">C7*G7</f>
        <v>14.200000000000001</v>
      </c>
      <c r="I7" s="76"/>
      <c r="J7" s="77"/>
      <c r="K7" s="8"/>
      <c r="L7" s="8" t="str">
        <f t="shared" ref="L7:L10" si="4">IF(C7&lt;11,"NA",IF(C7&lt;15,"ECA",IF(C7&lt;18,"A",IF(C7&lt;20,"A+"))))</f>
        <v>ECA</v>
      </c>
      <c r="O7" s="8">
        <f t="shared" ref="O7:O10" si="5">D7*G7</f>
        <v>16.200000000000003</v>
      </c>
      <c r="P7" s="8">
        <f t="shared" si="1"/>
        <v>12.4</v>
      </c>
      <c r="Q7" s="8">
        <f t="shared" si="2"/>
        <v>14</v>
      </c>
    </row>
    <row r="8" spans="2:29" ht="16.5" thickBot="1" x14ac:dyDescent="0.3">
      <c r="B8" s="64" t="s">
        <v>62</v>
      </c>
      <c r="C8" s="5">
        <f>F8</f>
        <v>15.75</v>
      </c>
      <c r="D8" s="5"/>
      <c r="E8" s="5"/>
      <c r="F8" s="5">
        <v>15.75</v>
      </c>
      <c r="G8" s="6">
        <v>2</v>
      </c>
      <c r="H8" s="7">
        <f t="shared" si="3"/>
        <v>31.5</v>
      </c>
      <c r="I8" s="62"/>
      <c r="J8" s="63"/>
      <c r="K8" s="8"/>
      <c r="L8" s="8" t="str">
        <f t="shared" si="4"/>
        <v>A</v>
      </c>
      <c r="O8" s="8">
        <f t="shared" si="5"/>
        <v>0</v>
      </c>
      <c r="P8" s="8">
        <f t="shared" si="1"/>
        <v>0</v>
      </c>
      <c r="Q8" s="8">
        <f t="shared" si="2"/>
        <v>31.5</v>
      </c>
    </row>
    <row r="9" spans="2:29" ht="16.5" thickBot="1" x14ac:dyDescent="0.3">
      <c r="B9" s="64" t="s">
        <v>50</v>
      </c>
      <c r="C9" s="5">
        <f t="shared" si="0"/>
        <v>11.576666666666666</v>
      </c>
      <c r="D9" s="5">
        <v>12.5</v>
      </c>
      <c r="E9" s="5">
        <v>11.28</v>
      </c>
      <c r="F9" s="5">
        <v>10.95</v>
      </c>
      <c r="G9" s="6">
        <v>2</v>
      </c>
      <c r="H9" s="7">
        <f t="shared" si="3"/>
        <v>23.153333333333332</v>
      </c>
      <c r="I9" s="90"/>
      <c r="J9" s="91"/>
      <c r="K9" s="8"/>
      <c r="L9" s="8" t="str">
        <f t="shared" si="4"/>
        <v>ECA</v>
      </c>
      <c r="O9" s="8">
        <f t="shared" si="5"/>
        <v>25</v>
      </c>
      <c r="P9" s="8">
        <f t="shared" si="1"/>
        <v>22.56</v>
      </c>
      <c r="Q9" s="8">
        <f t="shared" si="2"/>
        <v>21.9</v>
      </c>
    </row>
    <row r="10" spans="2:29" ht="16.5" thickBot="1" x14ac:dyDescent="0.3">
      <c r="B10" s="64" t="s">
        <v>51</v>
      </c>
      <c r="C10" s="5">
        <f t="shared" si="0"/>
        <v>10.1</v>
      </c>
      <c r="D10" s="5">
        <v>10.6</v>
      </c>
      <c r="E10" s="5">
        <v>11.3</v>
      </c>
      <c r="F10" s="5">
        <v>8.4</v>
      </c>
      <c r="G10" s="6">
        <v>1</v>
      </c>
      <c r="H10" s="7">
        <f t="shared" si="3"/>
        <v>10.1</v>
      </c>
      <c r="I10" s="76"/>
      <c r="J10" s="77"/>
      <c r="K10" s="8"/>
      <c r="L10" s="8" t="str">
        <f t="shared" si="4"/>
        <v>NA</v>
      </c>
      <c r="O10" s="8">
        <f t="shared" si="5"/>
        <v>10.6</v>
      </c>
      <c r="P10" s="8">
        <f t="shared" si="1"/>
        <v>11.3</v>
      </c>
      <c r="Q10" s="8">
        <f t="shared" si="2"/>
        <v>8.4</v>
      </c>
    </row>
    <row r="11" spans="2:29" ht="16.5" thickBot="1" x14ac:dyDescent="0.3">
      <c r="B11" s="78" t="s">
        <v>58</v>
      </c>
      <c r="C11" s="79"/>
      <c r="D11" s="79"/>
      <c r="E11" s="79"/>
      <c r="F11" s="79"/>
      <c r="G11" s="79"/>
      <c r="H11" s="79"/>
      <c r="I11" s="79"/>
      <c r="J11" s="79"/>
      <c r="K11" s="79"/>
      <c r="L11" s="80"/>
    </row>
    <row r="12" spans="2:29" ht="16.5" thickBot="1" x14ac:dyDescent="0.3">
      <c r="B12" s="9" t="s">
        <v>12</v>
      </c>
      <c r="C12" s="86">
        <f>(SUM(H5:H10)/SUM(G5:G10))</f>
        <v>12.104848484848485</v>
      </c>
      <c r="D12" s="86"/>
      <c r="E12" s="86"/>
      <c r="F12" s="86"/>
      <c r="G12" s="87" t="s">
        <v>13</v>
      </c>
      <c r="H12" s="87"/>
      <c r="I12" s="69"/>
      <c r="J12" s="88"/>
      <c r="K12" s="88"/>
      <c r="L12" s="89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spans="2:29" ht="16.5" thickBot="1" x14ac:dyDescent="0.3">
      <c r="B13" s="81"/>
      <c r="C13" s="82"/>
      <c r="D13" s="82"/>
      <c r="E13" s="82"/>
      <c r="F13" s="82"/>
      <c r="G13" s="82"/>
      <c r="H13" s="82"/>
      <c r="I13" s="82"/>
      <c r="J13" s="82"/>
      <c r="K13" s="82"/>
      <c r="L13" s="83"/>
    </row>
    <row r="14" spans="2:29" ht="16.5" thickBot="1" x14ac:dyDescent="0.3">
      <c r="B14" s="64" t="s">
        <v>47</v>
      </c>
      <c r="C14" s="5">
        <f>(D14+F14+E14)/3</f>
        <v>16.216666666666665</v>
      </c>
      <c r="D14" s="5">
        <v>16.75</v>
      </c>
      <c r="E14" s="5">
        <v>15.899999999999999</v>
      </c>
      <c r="F14" s="5">
        <v>16</v>
      </c>
      <c r="G14" s="6">
        <v>2</v>
      </c>
      <c r="H14" s="7">
        <f t="shared" ref="H14:H17" si="6">C14*G14</f>
        <v>32.43333333333333</v>
      </c>
      <c r="I14" s="76"/>
      <c r="J14" s="77"/>
      <c r="K14" s="8"/>
      <c r="L14" s="8" t="str">
        <f>IF(C14&lt;11,"NA",IF(C14&lt;15,"ECA",IF(C14&lt;18,"A",IF(C14&lt;20,"A+"))))</f>
        <v>A</v>
      </c>
      <c r="O14" s="8">
        <f t="shared" ref="O14:O17" si="7">D14*G14</f>
        <v>33.5</v>
      </c>
      <c r="P14" s="8">
        <f>E14*G14</f>
        <v>31.799999999999997</v>
      </c>
      <c r="Q14" s="8">
        <f>G14*F14</f>
        <v>32</v>
      </c>
    </row>
    <row r="15" spans="2:29" ht="16.5" thickBot="1" x14ac:dyDescent="0.3">
      <c r="B15" s="64" t="s">
        <v>14</v>
      </c>
      <c r="C15" s="5">
        <f t="shared" ref="C15:C17" si="8">(D15+F15+E15)/3</f>
        <v>14.125</v>
      </c>
      <c r="D15" s="5">
        <v>13.875</v>
      </c>
      <c r="E15" s="5">
        <v>16.25</v>
      </c>
      <c r="F15" s="5">
        <v>12.25</v>
      </c>
      <c r="G15" s="6">
        <v>1.5</v>
      </c>
      <c r="H15" s="7">
        <f t="shared" si="6"/>
        <v>21.1875</v>
      </c>
      <c r="I15" s="76"/>
      <c r="J15" s="77"/>
      <c r="K15" s="8"/>
      <c r="L15" s="8" t="str">
        <f t="shared" ref="L15:L17" si="9">IF(C15&lt;11,"NA",IF(C15&lt;15,"ECA",IF(C15&lt;18,"A",IF(C15&lt;20,"A+"))))</f>
        <v>ECA</v>
      </c>
      <c r="O15" s="8">
        <f t="shared" si="7"/>
        <v>20.8125</v>
      </c>
      <c r="P15" s="8">
        <f t="shared" ref="P15:P17" si="10">E15*G15</f>
        <v>24.375</v>
      </c>
      <c r="Q15" s="8">
        <f t="shared" ref="Q15:Q17" si="11">G15*F15</f>
        <v>18.375</v>
      </c>
    </row>
    <row r="16" spans="2:29" ht="16.5" thickBot="1" x14ac:dyDescent="0.3">
      <c r="B16" s="64" t="s">
        <v>15</v>
      </c>
      <c r="C16" s="5">
        <f t="shared" si="8"/>
        <v>13.049999999999999</v>
      </c>
      <c r="D16" s="5">
        <v>12.9</v>
      </c>
      <c r="E16" s="5">
        <v>14.75</v>
      </c>
      <c r="F16" s="5">
        <v>11.5</v>
      </c>
      <c r="G16" s="6">
        <v>1.5</v>
      </c>
      <c r="H16" s="7">
        <f t="shared" si="6"/>
        <v>19.574999999999999</v>
      </c>
      <c r="I16" s="76"/>
      <c r="J16" s="77"/>
      <c r="K16" s="8"/>
      <c r="L16" s="8" t="str">
        <f t="shared" si="9"/>
        <v>ECA</v>
      </c>
      <c r="O16" s="8">
        <f t="shared" si="7"/>
        <v>19.350000000000001</v>
      </c>
      <c r="P16" s="8">
        <f t="shared" si="10"/>
        <v>22.125</v>
      </c>
      <c r="Q16" s="8">
        <f t="shared" si="11"/>
        <v>17.25</v>
      </c>
    </row>
    <row r="17" spans="2:17" ht="16.5" thickBot="1" x14ac:dyDescent="0.3">
      <c r="B17" s="64" t="s">
        <v>52</v>
      </c>
      <c r="C17" s="5">
        <f t="shared" si="8"/>
        <v>12.458333333333334</v>
      </c>
      <c r="D17" s="5">
        <v>13.125</v>
      </c>
      <c r="E17" s="5">
        <v>12.5</v>
      </c>
      <c r="F17" s="5">
        <v>11.75</v>
      </c>
      <c r="G17" s="6">
        <v>1</v>
      </c>
      <c r="H17" s="7">
        <f t="shared" si="6"/>
        <v>12.458333333333334</v>
      </c>
      <c r="I17" s="76"/>
      <c r="J17" s="77"/>
      <c r="K17" s="8"/>
      <c r="L17" s="8" t="str">
        <f t="shared" si="9"/>
        <v>ECA</v>
      </c>
      <c r="O17" s="8">
        <f t="shared" si="7"/>
        <v>13.125</v>
      </c>
      <c r="P17" s="8">
        <f t="shared" si="10"/>
        <v>12.5</v>
      </c>
      <c r="Q17" s="8">
        <f t="shared" si="11"/>
        <v>11.75</v>
      </c>
    </row>
    <row r="18" spans="2:17" ht="16.149999999999999" customHeight="1" thickBot="1" x14ac:dyDescent="0.3">
      <c r="B18" s="78" t="s">
        <v>59</v>
      </c>
      <c r="C18" s="79"/>
      <c r="D18" s="79"/>
      <c r="E18" s="79"/>
      <c r="F18" s="79"/>
      <c r="G18" s="79"/>
      <c r="H18" s="79"/>
      <c r="I18" s="79"/>
      <c r="J18" s="79"/>
      <c r="K18" s="79"/>
      <c r="L18" s="80"/>
    </row>
    <row r="19" spans="2:17" ht="16.149999999999999" customHeight="1" thickBot="1" x14ac:dyDescent="0.3">
      <c r="B19" s="9" t="s">
        <v>16</v>
      </c>
      <c r="C19" s="86">
        <f>(SUM(H14:H17)/SUM(G14:G17))</f>
        <v>14.275694444444442</v>
      </c>
      <c r="D19" s="86"/>
      <c r="E19" s="86"/>
      <c r="F19" s="86"/>
      <c r="G19" s="87" t="s">
        <v>13</v>
      </c>
      <c r="H19" s="87"/>
      <c r="I19" s="69"/>
      <c r="J19" s="88"/>
      <c r="K19" s="88"/>
      <c r="L19" s="89"/>
    </row>
    <row r="20" spans="2:17" ht="16.5" thickBot="1" x14ac:dyDescent="0.3">
      <c r="B20" s="92"/>
      <c r="C20" s="93"/>
      <c r="D20" s="93"/>
      <c r="E20" s="93"/>
      <c r="F20" s="93"/>
      <c r="G20" s="93"/>
      <c r="H20" s="93"/>
      <c r="I20" s="93"/>
      <c r="J20" s="93"/>
      <c r="K20" s="93"/>
      <c r="L20" s="94"/>
    </row>
    <row r="21" spans="2:17" ht="16.5" thickBot="1" x14ac:dyDescent="0.3">
      <c r="B21" s="64" t="s">
        <v>9</v>
      </c>
      <c r="C21" s="5">
        <f>(D21+F21+E21)/3</f>
        <v>11.75</v>
      </c>
      <c r="D21" s="5">
        <v>11.9</v>
      </c>
      <c r="E21" s="5">
        <v>13.65</v>
      </c>
      <c r="F21" s="8">
        <v>9.6999999999999993</v>
      </c>
      <c r="G21" s="6">
        <v>2</v>
      </c>
      <c r="H21" s="7">
        <f t="shared" ref="H21:H24" si="12">C21*G21</f>
        <v>23.5</v>
      </c>
      <c r="I21" s="76"/>
      <c r="J21" s="77"/>
      <c r="K21" s="8"/>
      <c r="L21" s="8" t="str">
        <f t="shared" ref="L21:L24" si="13">IF(C21&lt;11,"NA",IF(C21&lt;15,"ECA",IF(C21&lt;18,"A",IF(C21&lt;20,"A+"))))</f>
        <v>ECA</v>
      </c>
      <c r="O21" s="8">
        <f t="shared" ref="O21:O24" si="14">D21*G21</f>
        <v>23.8</v>
      </c>
      <c r="P21" s="8">
        <f>E21*G21</f>
        <v>27.3</v>
      </c>
      <c r="Q21" s="8">
        <f>G21*F21</f>
        <v>19.399999999999999</v>
      </c>
    </row>
    <row r="22" spans="2:17" ht="16.5" thickBot="1" x14ac:dyDescent="0.3">
      <c r="B22" s="64" t="s">
        <v>10</v>
      </c>
      <c r="C22" s="5">
        <f t="shared" ref="C22:C24" si="15">(D22+F22+E22)/3</f>
        <v>9.5050000000000008</v>
      </c>
      <c r="D22" s="5">
        <v>7.35</v>
      </c>
      <c r="E22" s="5">
        <v>10.164999999999999</v>
      </c>
      <c r="F22" s="8">
        <v>11</v>
      </c>
      <c r="G22" s="6">
        <v>4</v>
      </c>
      <c r="H22" s="7">
        <f t="shared" si="12"/>
        <v>38.020000000000003</v>
      </c>
      <c r="I22" s="76"/>
      <c r="J22" s="77"/>
      <c r="K22" s="8"/>
      <c r="L22" s="8" t="str">
        <f t="shared" si="13"/>
        <v>NA</v>
      </c>
      <c r="O22" s="8">
        <f t="shared" si="14"/>
        <v>29.4</v>
      </c>
      <c r="P22" s="8">
        <f t="shared" ref="P22:P24" si="16">E22*G22</f>
        <v>40.659999999999997</v>
      </c>
      <c r="Q22" s="8">
        <f t="shared" ref="Q22:Q24" si="17">G22*F22</f>
        <v>44</v>
      </c>
    </row>
    <row r="23" spans="2:17" ht="16.5" thickBot="1" x14ac:dyDescent="0.3">
      <c r="B23" s="64" t="s">
        <v>56</v>
      </c>
      <c r="C23" s="5">
        <f>F23</f>
        <v>18</v>
      </c>
      <c r="D23" s="5"/>
      <c r="E23" s="5"/>
      <c r="F23" s="8">
        <v>18</v>
      </c>
      <c r="G23" s="6">
        <v>2</v>
      </c>
      <c r="H23" s="7">
        <f t="shared" si="12"/>
        <v>36</v>
      </c>
      <c r="I23" s="76"/>
      <c r="J23" s="77"/>
      <c r="K23" s="8"/>
      <c r="L23" s="8" t="str">
        <f t="shared" si="13"/>
        <v>A+</v>
      </c>
      <c r="O23" s="8">
        <f t="shared" si="14"/>
        <v>0</v>
      </c>
      <c r="P23" s="8">
        <f t="shared" si="16"/>
        <v>0</v>
      </c>
      <c r="Q23" s="8">
        <f t="shared" si="17"/>
        <v>36</v>
      </c>
    </row>
    <row r="24" spans="2:17" ht="16.5" thickBot="1" x14ac:dyDescent="0.3">
      <c r="B24" s="64" t="s">
        <v>11</v>
      </c>
      <c r="C24" s="5">
        <f t="shared" si="15"/>
        <v>14.143333333333333</v>
      </c>
      <c r="D24" s="5">
        <v>13.73</v>
      </c>
      <c r="E24" s="5">
        <v>11.95</v>
      </c>
      <c r="F24" s="8">
        <v>16.75</v>
      </c>
      <c r="G24" s="6">
        <v>2</v>
      </c>
      <c r="H24" s="7">
        <f t="shared" si="12"/>
        <v>28.286666666666665</v>
      </c>
      <c r="I24" s="76"/>
      <c r="J24" s="77"/>
      <c r="K24" s="8"/>
      <c r="L24" s="8" t="str">
        <f t="shared" si="13"/>
        <v>ECA</v>
      </c>
      <c r="O24" s="8">
        <f t="shared" si="14"/>
        <v>27.46</v>
      </c>
      <c r="P24" s="8">
        <f t="shared" si="16"/>
        <v>23.9</v>
      </c>
      <c r="Q24" s="8">
        <f t="shared" si="17"/>
        <v>33.5</v>
      </c>
    </row>
    <row r="25" spans="2:17" ht="16.149999999999999" customHeight="1" thickBot="1" x14ac:dyDescent="0.3">
      <c r="B25" s="78" t="s">
        <v>60</v>
      </c>
      <c r="C25" s="79"/>
      <c r="D25" s="79"/>
      <c r="E25" s="79"/>
      <c r="F25" s="79"/>
      <c r="G25" s="79"/>
      <c r="H25" s="79"/>
      <c r="I25" s="79"/>
      <c r="J25" s="79"/>
      <c r="K25" s="79"/>
      <c r="L25" s="80"/>
    </row>
    <row r="26" spans="2:17" ht="16.149999999999999" customHeight="1" thickBot="1" x14ac:dyDescent="0.3">
      <c r="B26" s="9" t="s">
        <v>12</v>
      </c>
      <c r="C26" s="86">
        <f>(SUM(H21:H24)/SUM(G21:G24))</f>
        <v>12.580666666666668</v>
      </c>
      <c r="D26" s="86"/>
      <c r="E26" s="86"/>
      <c r="F26" s="86"/>
      <c r="G26" s="87" t="s">
        <v>13</v>
      </c>
      <c r="H26" s="87"/>
      <c r="I26" s="69"/>
      <c r="J26" s="88"/>
      <c r="K26" s="88"/>
      <c r="L26" s="89"/>
    </row>
    <row r="27" spans="2:17" ht="16.5" thickBot="1" x14ac:dyDescent="0.3">
      <c r="B27" s="81"/>
      <c r="C27" s="82"/>
      <c r="D27" s="82"/>
      <c r="E27" s="82"/>
      <c r="F27" s="82"/>
      <c r="G27" s="82"/>
      <c r="H27" s="82"/>
      <c r="I27" s="100"/>
      <c r="J27" s="100"/>
      <c r="K27" s="100"/>
      <c r="L27" s="83"/>
    </row>
    <row r="28" spans="2:17" ht="16.5" thickBot="1" x14ac:dyDescent="0.3">
      <c r="B28" s="64" t="s">
        <v>53</v>
      </c>
      <c r="C28" s="5">
        <f>(D28+F28+E28)/3</f>
        <v>16</v>
      </c>
      <c r="D28" s="8">
        <v>14</v>
      </c>
      <c r="E28" s="8">
        <v>17</v>
      </c>
      <c r="F28" s="8">
        <v>17</v>
      </c>
      <c r="G28" s="6">
        <v>1</v>
      </c>
      <c r="H28" s="7">
        <f t="shared" ref="H28:H31" si="18">C28*G28</f>
        <v>16</v>
      </c>
      <c r="I28" s="76"/>
      <c r="J28" s="77"/>
      <c r="K28" s="8"/>
      <c r="L28" s="8" t="str">
        <f t="shared" ref="L28:L31" si="19">IF(C28&lt;11,"NA",IF(C28&lt;15,"ECA",IF(C28&lt;18,"A",IF(C28&lt;20,"A+"))))</f>
        <v>A</v>
      </c>
      <c r="O28" s="8">
        <f t="shared" ref="O28:O31" si="20">D28*G28</f>
        <v>14</v>
      </c>
      <c r="P28" s="8">
        <f>E28*G28</f>
        <v>17</v>
      </c>
      <c r="Q28" s="8">
        <f>G28*F28</f>
        <v>17</v>
      </c>
    </row>
    <row r="29" spans="2:17" ht="16.5" thickBot="1" x14ac:dyDescent="0.3">
      <c r="B29" s="64" t="s">
        <v>48</v>
      </c>
      <c r="C29" s="5">
        <f t="shared" ref="C29:C31" si="21">(D29+F29+E29)/3</f>
        <v>15.85</v>
      </c>
      <c r="D29" s="8">
        <v>16</v>
      </c>
      <c r="E29" s="8">
        <v>16.25</v>
      </c>
      <c r="F29" s="8">
        <v>15.3</v>
      </c>
      <c r="G29" s="6">
        <v>2</v>
      </c>
      <c r="H29" s="7">
        <f t="shared" si="18"/>
        <v>31.7</v>
      </c>
      <c r="I29" s="76"/>
      <c r="J29" s="77"/>
      <c r="K29" s="8"/>
      <c r="L29" s="8" t="str">
        <f t="shared" si="19"/>
        <v>A</v>
      </c>
      <c r="O29" s="8">
        <f t="shared" si="20"/>
        <v>32</v>
      </c>
      <c r="P29" s="8">
        <f t="shared" ref="P29:P31" si="22">E29*G29</f>
        <v>32.5</v>
      </c>
      <c r="Q29" s="8">
        <f t="shared" ref="Q29:Q31" si="23">G29*F29</f>
        <v>30.6</v>
      </c>
    </row>
    <row r="30" spans="2:17" ht="16.5" thickBot="1" x14ac:dyDescent="0.3">
      <c r="B30" s="64" t="s">
        <v>49</v>
      </c>
      <c r="C30" s="5">
        <f t="shared" si="21"/>
        <v>13.700000000000001</v>
      </c>
      <c r="D30" s="8">
        <v>13</v>
      </c>
      <c r="E30" s="8">
        <v>14.1</v>
      </c>
      <c r="F30" s="8">
        <v>14</v>
      </c>
      <c r="G30" s="6">
        <v>1</v>
      </c>
      <c r="H30" s="7">
        <f t="shared" si="18"/>
        <v>13.700000000000001</v>
      </c>
      <c r="I30" s="76"/>
      <c r="J30" s="77"/>
      <c r="K30" s="8"/>
      <c r="L30" s="8" t="str">
        <f t="shared" si="19"/>
        <v>ECA</v>
      </c>
      <c r="O30" s="8">
        <f t="shared" si="20"/>
        <v>13</v>
      </c>
      <c r="P30" s="8">
        <f t="shared" si="22"/>
        <v>14.1</v>
      </c>
      <c r="Q30" s="8">
        <f t="shared" si="23"/>
        <v>14</v>
      </c>
    </row>
    <row r="31" spans="2:17" ht="16.5" thickBot="1" x14ac:dyDescent="0.3">
      <c r="B31" s="64" t="s">
        <v>18</v>
      </c>
      <c r="C31" s="5">
        <f t="shared" si="21"/>
        <v>16</v>
      </c>
      <c r="D31" s="8">
        <v>16.5</v>
      </c>
      <c r="E31" s="8">
        <v>16</v>
      </c>
      <c r="F31" s="8">
        <v>15.5</v>
      </c>
      <c r="G31" s="6">
        <v>1</v>
      </c>
      <c r="H31" s="7">
        <f t="shared" si="18"/>
        <v>16</v>
      </c>
      <c r="I31" s="76"/>
      <c r="J31" s="77"/>
      <c r="K31" s="8"/>
      <c r="L31" s="8" t="str">
        <f t="shared" si="19"/>
        <v>A</v>
      </c>
      <c r="O31" s="8">
        <f t="shared" si="20"/>
        <v>16.5</v>
      </c>
      <c r="P31" s="8">
        <f t="shared" si="22"/>
        <v>16</v>
      </c>
      <c r="Q31" s="8">
        <f t="shared" si="23"/>
        <v>15.5</v>
      </c>
    </row>
    <row r="32" spans="2:17" ht="16.149999999999999" customHeight="1" thickBot="1" x14ac:dyDescent="0.3">
      <c r="B32" s="64" t="s">
        <v>57</v>
      </c>
      <c r="C32" s="65"/>
      <c r="D32" s="65"/>
      <c r="E32" s="65"/>
      <c r="F32" s="65"/>
      <c r="G32" s="65"/>
      <c r="H32" s="65"/>
      <c r="I32" s="65"/>
      <c r="J32" s="65"/>
      <c r="K32" s="65"/>
      <c r="L32" s="66"/>
      <c r="O32" s="1">
        <f>SUM(O6:O31)</f>
        <v>325.19749999999999</v>
      </c>
      <c r="P32" s="1">
        <f>SUM(P6:P31)</f>
        <v>335.67</v>
      </c>
      <c r="Q32" s="1">
        <f>SUM(Q5:Q31)</f>
        <v>420.17500000000007</v>
      </c>
    </row>
    <row r="33" spans="2:17" ht="16.149999999999999" customHeight="1" thickBot="1" x14ac:dyDescent="0.3">
      <c r="B33" s="9" t="s">
        <v>16</v>
      </c>
      <c r="C33" s="86">
        <f>(SUM(H28:H31)/SUM(G28:G31))</f>
        <v>15.48</v>
      </c>
      <c r="D33" s="86"/>
      <c r="E33" s="86"/>
      <c r="F33" s="86"/>
      <c r="G33" s="87" t="s">
        <v>13</v>
      </c>
      <c r="H33" s="87"/>
      <c r="I33" s="69"/>
      <c r="J33" s="88"/>
      <c r="K33" s="88"/>
      <c r="L33" s="89"/>
      <c r="O33" s="1">
        <v>26</v>
      </c>
      <c r="P33" s="1">
        <v>26</v>
      </c>
      <c r="Q33" s="1">
        <v>32</v>
      </c>
    </row>
    <row r="34" spans="2:17" ht="16.5" thickBot="1" x14ac:dyDescent="0.3">
      <c r="B34" s="81"/>
      <c r="C34" s="82"/>
      <c r="D34" s="82"/>
      <c r="E34" s="82"/>
      <c r="F34" s="82"/>
      <c r="G34" s="82"/>
      <c r="H34" s="82"/>
      <c r="I34" s="82"/>
      <c r="J34" s="82"/>
      <c r="K34" s="82"/>
      <c r="L34" s="83"/>
      <c r="O34" s="1">
        <f>O32/O33</f>
        <v>12.507596153846153</v>
      </c>
      <c r="P34" s="1">
        <f>P32/P33</f>
        <v>12.910384615384617</v>
      </c>
      <c r="Q34" s="1">
        <f>Q32/Q33</f>
        <v>13.130468750000002</v>
      </c>
    </row>
    <row r="35" spans="2:17" s="17" customFormat="1" ht="48" thickBot="1" x14ac:dyDescent="0.3">
      <c r="B35" s="64" t="s">
        <v>19</v>
      </c>
      <c r="C35" s="70" t="s">
        <v>20</v>
      </c>
      <c r="D35" s="69"/>
      <c r="E35" s="69"/>
      <c r="F35" s="71" t="s">
        <v>21</v>
      </c>
      <c r="G35" s="88"/>
      <c r="H35" s="88"/>
      <c r="I35" s="71" t="s">
        <v>22</v>
      </c>
      <c r="J35" s="88"/>
      <c r="K35" s="88"/>
      <c r="L35" s="72"/>
    </row>
    <row r="36" spans="2:17" x14ac:dyDescent="0.25">
      <c r="B36" s="18"/>
      <c r="C36" s="19" t="s">
        <v>1</v>
      </c>
      <c r="D36" s="19" t="s">
        <v>63</v>
      </c>
      <c r="E36" s="19" t="s">
        <v>65</v>
      </c>
      <c r="F36" s="20"/>
      <c r="G36" s="20"/>
      <c r="H36" s="21"/>
      <c r="I36" s="101"/>
      <c r="J36" s="100"/>
      <c r="K36" s="100"/>
      <c r="L36" s="102"/>
    </row>
    <row r="37" spans="2:17" x14ac:dyDescent="0.25">
      <c r="B37" s="22" t="s">
        <v>23</v>
      </c>
      <c r="C37" s="23">
        <f>O34</f>
        <v>12.507596153846153</v>
      </c>
      <c r="D37" s="23">
        <f>P34</f>
        <v>12.910384615384617</v>
      </c>
      <c r="E37" s="23">
        <f>Q34</f>
        <v>13.130468750000002</v>
      </c>
      <c r="F37" s="32" t="s">
        <v>66</v>
      </c>
      <c r="G37" s="25">
        <f>(H5+H6+H7+H8+H9+H10+H14+H15+H16+H17+H21+H22+H23+H24+H28+H29+H30+H31)/32</f>
        <v>13.187942708333333</v>
      </c>
      <c r="H37" s="24" t="s">
        <v>25</v>
      </c>
      <c r="I37" s="103" t="s">
        <v>26</v>
      </c>
      <c r="J37" s="104"/>
      <c r="K37" s="26"/>
      <c r="L37" s="27" t="s">
        <v>25</v>
      </c>
    </row>
    <row r="38" spans="2:17" ht="16.149999999999999" customHeight="1" thickBot="1" x14ac:dyDescent="0.3">
      <c r="B38" s="95"/>
      <c r="C38" s="96"/>
      <c r="D38" s="96"/>
      <c r="E38" s="96"/>
      <c r="F38" s="96"/>
      <c r="G38" s="96"/>
      <c r="H38" s="96"/>
      <c r="I38" s="97"/>
      <c r="J38" s="98"/>
      <c r="K38" s="98"/>
      <c r="L38" s="99"/>
    </row>
    <row r="39" spans="2:17" ht="16.149999999999999" customHeight="1" thickBot="1" x14ac:dyDescent="0.3">
      <c r="B39" s="105" t="s">
        <v>67</v>
      </c>
      <c r="C39" s="106"/>
      <c r="D39" s="106"/>
      <c r="E39" s="106"/>
      <c r="F39" s="106"/>
      <c r="G39" s="106"/>
      <c r="H39" s="106"/>
      <c r="I39" s="106"/>
      <c r="J39" s="106"/>
      <c r="K39" s="106"/>
      <c r="L39" s="107"/>
    </row>
    <row r="40" spans="2:17" ht="16.149999999999999" customHeight="1" thickBot="1" x14ac:dyDescent="0.3">
      <c r="B40" s="108" t="s">
        <v>28</v>
      </c>
      <c r="C40" s="88"/>
      <c r="D40" s="88"/>
      <c r="E40" s="88"/>
      <c r="F40" s="88"/>
      <c r="G40" s="88"/>
      <c r="H40" s="88"/>
      <c r="I40" s="88"/>
      <c r="J40" s="88"/>
      <c r="K40" s="88"/>
      <c r="L40" s="89"/>
    </row>
    <row r="41" spans="2:17" ht="16.149999999999999" customHeight="1" thickBot="1" x14ac:dyDescent="0.3">
      <c r="B41" s="64" t="s">
        <v>29</v>
      </c>
      <c r="C41" s="81" t="s">
        <v>30</v>
      </c>
      <c r="D41" s="82"/>
      <c r="E41" s="82"/>
      <c r="F41" s="83"/>
      <c r="G41" s="109" t="s">
        <v>31</v>
      </c>
      <c r="H41" s="110"/>
      <c r="I41" s="110"/>
      <c r="J41" s="110"/>
      <c r="K41" s="110"/>
      <c r="L41" s="111"/>
    </row>
    <row r="42" spans="2:17" ht="16.149999999999999" customHeight="1" thickBot="1" x14ac:dyDescent="0.3">
      <c r="B42" s="42" t="s">
        <v>32</v>
      </c>
      <c r="C42" s="110" t="str">
        <f>IF(G37&lt;11,"NA",IF(G37&lt;15,"ECA",IF(G37&lt;18,"A",IF(G37&lt;20,"A+"))))</f>
        <v>ECA</v>
      </c>
      <c r="D42" s="110" t="e">
        <f>IF(#REF!&lt;11,"NA",IF(#REF!&lt;15,"ECA",IF(#REF!&lt;18,"A",IF(#REF!&lt;20,"A+"))))</f>
        <v>#REF!</v>
      </c>
      <c r="E42" s="110"/>
      <c r="F42" s="111" t="e">
        <f>IF(#REF!&lt;11,"NA",IF(#REF!&lt;15,"ECA",IF(#REF!&lt;18,"A",IF(#REF!&lt;20,"A+"))))</f>
        <v>#REF!</v>
      </c>
      <c r="G42" s="112"/>
      <c r="H42" s="113"/>
      <c r="I42" s="113"/>
      <c r="J42" s="113"/>
      <c r="K42" s="113"/>
      <c r="L42" s="114"/>
    </row>
    <row r="43" spans="2:17" ht="16.149999999999999" customHeight="1" thickBot="1" x14ac:dyDescent="0.3">
      <c r="B43" s="43" t="s">
        <v>33</v>
      </c>
      <c r="C43" s="115" t="e">
        <f>IF(#REF!&lt;11,"NA",IF(#REF!&lt;15,"ECA",IF(#REF!&lt;18,"A",IF(#REF!&lt;20,"A+"))))</f>
        <v>#REF!</v>
      </c>
      <c r="D43" s="116" t="e">
        <f>IF(#REF!&lt;11,"NA",IF(#REF!&lt;15,"ECA",IF(#REF!&lt;18,"A",IF(#REF!&lt;20,"A+"))))</f>
        <v>#REF!</v>
      </c>
      <c r="E43" s="116"/>
      <c r="F43" s="117" t="e">
        <f>IF(#REF!&lt;11,"NA",IF(#REF!&lt;15,"ECA",IF(#REF!&lt;18,"A",IF(#REF!&lt;20,"A+"))))</f>
        <v>#REF!</v>
      </c>
      <c r="G43" s="108" t="s">
        <v>34</v>
      </c>
      <c r="H43" s="88"/>
      <c r="I43" s="88"/>
      <c r="J43" s="89"/>
      <c r="K43" s="109" t="s">
        <v>35</v>
      </c>
      <c r="L43" s="111"/>
    </row>
    <row r="44" spans="2:17" ht="16.149999999999999" customHeight="1" thickBot="1" x14ac:dyDescent="0.3">
      <c r="B44" s="29" t="s">
        <v>36</v>
      </c>
      <c r="C44" s="112" t="e">
        <f>IF(#REF!&lt;11,"NA",IF(#REF!&lt;15,"ECA",IF(#REF!&lt;18,"A",IF(#REF!&lt;20,"A+"))))</f>
        <v>#REF!</v>
      </c>
      <c r="D44" s="113" t="e">
        <f>IF(#REF!&lt;11,"NA",IF(#REF!&lt;15,"ECA",IF(#REF!&lt;18,"A",IF(#REF!&lt;20,"A+"))))</f>
        <v>#REF!</v>
      </c>
      <c r="E44" s="113"/>
      <c r="F44" s="114" t="e">
        <f>IF(#REF!&lt;11,"NA",IF(#REF!&lt;15,"ECA",IF(#REF!&lt;18,"A",IF(#REF!&lt;20,"A+"))))</f>
        <v>#REF!</v>
      </c>
      <c r="G44" s="108" t="s">
        <v>37</v>
      </c>
      <c r="H44" s="88"/>
      <c r="I44" s="88"/>
      <c r="J44" s="89"/>
      <c r="K44" s="118" t="s">
        <v>38</v>
      </c>
      <c r="L44" s="119"/>
    </row>
    <row r="45" spans="2:17" ht="16.149999999999999" customHeight="1" thickBot="1" x14ac:dyDescent="0.3">
      <c r="B45" s="70" t="s">
        <v>39</v>
      </c>
      <c r="C45" s="109" t="s">
        <v>40</v>
      </c>
      <c r="D45" s="110"/>
      <c r="E45" s="110"/>
      <c r="F45" s="111"/>
      <c r="G45" s="108" t="s">
        <v>41</v>
      </c>
      <c r="H45" s="88"/>
      <c r="I45" s="88"/>
      <c r="J45" s="89"/>
      <c r="K45" s="118"/>
      <c r="L45" s="119"/>
    </row>
    <row r="46" spans="2:17" ht="16.149999999999999" customHeight="1" thickBot="1" x14ac:dyDescent="0.3">
      <c r="B46" s="70" t="s">
        <v>42</v>
      </c>
      <c r="C46" s="112"/>
      <c r="D46" s="113"/>
      <c r="E46" s="113"/>
      <c r="F46" s="114"/>
      <c r="G46" s="108" t="s">
        <v>43</v>
      </c>
      <c r="H46" s="88"/>
      <c r="I46" s="88"/>
      <c r="J46" s="89"/>
      <c r="K46" s="120" t="s">
        <v>44</v>
      </c>
      <c r="L46" s="121"/>
    </row>
    <row r="47" spans="2:17" ht="31.5" x14ac:dyDescent="0.25">
      <c r="B47" s="64" t="s">
        <v>45</v>
      </c>
      <c r="C47" s="101"/>
      <c r="D47" s="100"/>
      <c r="E47" s="100"/>
      <c r="F47" s="102"/>
      <c r="G47" s="101"/>
      <c r="H47" s="100"/>
      <c r="I47" s="100"/>
      <c r="J47" s="102"/>
      <c r="K47" s="120" t="s">
        <v>46</v>
      </c>
      <c r="L47" s="121"/>
    </row>
    <row r="48" spans="2:17" x14ac:dyDescent="0.25">
      <c r="B48" s="28"/>
      <c r="C48" s="122"/>
      <c r="D48" s="123"/>
      <c r="E48" s="123"/>
      <c r="F48" s="124"/>
      <c r="G48" s="122"/>
      <c r="H48" s="123"/>
      <c r="I48" s="123"/>
      <c r="J48" s="124"/>
      <c r="K48" s="128"/>
      <c r="L48" s="129"/>
    </row>
    <row r="49" spans="2:12" x14ac:dyDescent="0.25">
      <c r="B49" s="28"/>
      <c r="C49" s="122"/>
      <c r="D49" s="123"/>
      <c r="E49" s="123"/>
      <c r="F49" s="124"/>
      <c r="G49" s="122"/>
      <c r="H49" s="123"/>
      <c r="I49" s="123"/>
      <c r="J49" s="124"/>
      <c r="K49" s="128"/>
      <c r="L49" s="129"/>
    </row>
    <row r="50" spans="2:12" ht="16.5" thickBot="1" x14ac:dyDescent="0.3">
      <c r="B50" s="29"/>
      <c r="C50" s="125"/>
      <c r="D50" s="126"/>
      <c r="E50" s="126"/>
      <c r="F50" s="127"/>
      <c r="G50" s="125"/>
      <c r="H50" s="126"/>
      <c r="I50" s="126"/>
      <c r="J50" s="127"/>
      <c r="K50" s="97"/>
      <c r="L50" s="99"/>
    </row>
  </sheetData>
  <mergeCells count="62">
    <mergeCell ref="C45:F46"/>
    <mergeCell ref="G45:J45"/>
    <mergeCell ref="K45:L45"/>
    <mergeCell ref="G46:J46"/>
    <mergeCell ref="K46:L46"/>
    <mergeCell ref="C47:F50"/>
    <mergeCell ref="G47:J50"/>
    <mergeCell ref="K47:L47"/>
    <mergeCell ref="K48:L48"/>
    <mergeCell ref="K49:L49"/>
    <mergeCell ref="K50:L50"/>
    <mergeCell ref="B38:H38"/>
    <mergeCell ref="I38:L38"/>
    <mergeCell ref="B39:L39"/>
    <mergeCell ref="B40:L40"/>
    <mergeCell ref="C41:F41"/>
    <mergeCell ref="G41:L42"/>
    <mergeCell ref="C42:F44"/>
    <mergeCell ref="G43:J43"/>
    <mergeCell ref="G33:H33"/>
    <mergeCell ref="J33:L33"/>
    <mergeCell ref="B34:L34"/>
    <mergeCell ref="I36:L36"/>
    <mergeCell ref="I37:J37"/>
    <mergeCell ref="I4:J4"/>
    <mergeCell ref="I6:J6"/>
    <mergeCell ref="I7:J7"/>
    <mergeCell ref="I9:J9"/>
    <mergeCell ref="B18:L18"/>
    <mergeCell ref="I10:J10"/>
    <mergeCell ref="B11:L11"/>
    <mergeCell ref="C12:F12"/>
    <mergeCell ref="G12:H12"/>
    <mergeCell ref="J12:L12"/>
    <mergeCell ref="B13:L13"/>
    <mergeCell ref="I14:J14"/>
    <mergeCell ref="I15:J15"/>
    <mergeCell ref="I16:J16"/>
    <mergeCell ref="I17:J17"/>
    <mergeCell ref="J19:L19"/>
    <mergeCell ref="B20:L20"/>
    <mergeCell ref="I21:J21"/>
    <mergeCell ref="I22:J22"/>
    <mergeCell ref="I23:J23"/>
    <mergeCell ref="C19:F19"/>
    <mergeCell ref="G19:H19"/>
    <mergeCell ref="K43:L43"/>
    <mergeCell ref="G44:J44"/>
    <mergeCell ref="K44:L44"/>
    <mergeCell ref="I24:J24"/>
    <mergeCell ref="B25:L25"/>
    <mergeCell ref="C26:F26"/>
    <mergeCell ref="G26:H26"/>
    <mergeCell ref="J26:L26"/>
    <mergeCell ref="B27:L27"/>
    <mergeCell ref="I28:J28"/>
    <mergeCell ref="I29:J29"/>
    <mergeCell ref="I30:J30"/>
    <mergeCell ref="G35:H35"/>
    <mergeCell ref="J35:K35"/>
    <mergeCell ref="I31:J31"/>
    <mergeCell ref="C33:F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D21"/>
  <sheetViews>
    <sheetView workbookViewId="0">
      <selection activeCell="B22" sqref="B22"/>
    </sheetView>
  </sheetViews>
  <sheetFormatPr baseColWidth="10" defaultRowHeight="15" x14ac:dyDescent="0.25"/>
  <cols>
    <col min="3" max="3" width="32.85546875" bestFit="1" customWidth="1"/>
  </cols>
  <sheetData>
    <row r="6" spans="2:4" x14ac:dyDescent="0.25">
      <c r="B6">
        <v>1</v>
      </c>
      <c r="C6" s="74" t="s">
        <v>69</v>
      </c>
      <c r="D6" s="75">
        <f>KINGUE!G37</f>
        <v>15.045885416666668</v>
      </c>
    </row>
    <row r="7" spans="2:4" x14ac:dyDescent="0.25">
      <c r="B7">
        <v>2</v>
      </c>
      <c r="C7" s="74" t="s">
        <v>70</v>
      </c>
      <c r="D7" s="75">
        <f>ONANA!G37</f>
        <v>14.442395833333332</v>
      </c>
    </row>
    <row r="8" spans="2:4" x14ac:dyDescent="0.25">
      <c r="B8">
        <v>3</v>
      </c>
      <c r="C8" s="74" t="s">
        <v>71</v>
      </c>
      <c r="D8" s="75">
        <f>ELOGO!G37</f>
        <v>13.625781249999999</v>
      </c>
    </row>
    <row r="9" spans="2:4" x14ac:dyDescent="0.25">
      <c r="B9">
        <v>4</v>
      </c>
      <c r="C9" s="74" t="s">
        <v>72</v>
      </c>
      <c r="D9" s="75">
        <f>MOUKO!G37</f>
        <v>13.539973958333334</v>
      </c>
    </row>
    <row r="10" spans="2:4" x14ac:dyDescent="0.25">
      <c r="B10">
        <v>5</v>
      </c>
      <c r="C10" s="74" t="s">
        <v>74</v>
      </c>
      <c r="D10" s="75">
        <f>YEBEL!G37</f>
        <v>13.187942708333333</v>
      </c>
    </row>
    <row r="11" spans="2:4" x14ac:dyDescent="0.25">
      <c r="B11">
        <v>6</v>
      </c>
      <c r="C11" s="74" t="s">
        <v>73</v>
      </c>
      <c r="D11" s="75">
        <f>'NGO NGUE'!G37</f>
        <v>13.24</v>
      </c>
    </row>
    <row r="12" spans="2:4" x14ac:dyDescent="0.25">
      <c r="B12">
        <v>7</v>
      </c>
      <c r="C12" s="74" t="s">
        <v>76</v>
      </c>
      <c r="D12" s="75">
        <f>MAGATSING!G37</f>
        <v>12.324270833333333</v>
      </c>
    </row>
    <row r="13" spans="2:4" x14ac:dyDescent="0.25">
      <c r="B13">
        <v>8</v>
      </c>
      <c r="C13" s="74" t="s">
        <v>75</v>
      </c>
      <c r="D13" s="75">
        <f>KOUAM!G37</f>
        <v>12.246666666666666</v>
      </c>
    </row>
    <row r="14" spans="2:4" x14ac:dyDescent="0.25">
      <c r="B14">
        <v>9</v>
      </c>
      <c r="C14" s="74" t="s">
        <v>77</v>
      </c>
      <c r="D14" s="75">
        <f>NWAHA!G37</f>
        <v>11.636171875</v>
      </c>
    </row>
    <row r="15" spans="2:4" x14ac:dyDescent="0.25">
      <c r="B15">
        <v>10</v>
      </c>
      <c r="C15" s="74" t="s">
        <v>80</v>
      </c>
      <c r="D15" s="75">
        <f>MENYE!G37</f>
        <v>11.538671874999999</v>
      </c>
    </row>
    <row r="16" spans="2:4" x14ac:dyDescent="0.25">
      <c r="B16">
        <v>11</v>
      </c>
      <c r="C16" s="74" t="s">
        <v>78</v>
      </c>
      <c r="D16" s="75">
        <f>TCHAGNAM!G37</f>
        <v>11.4453125</v>
      </c>
    </row>
    <row r="17" spans="2:4" x14ac:dyDescent="0.25">
      <c r="B17">
        <v>12</v>
      </c>
      <c r="C17" s="74" t="s">
        <v>82</v>
      </c>
      <c r="D17" s="75">
        <f>METOUWE!G37</f>
        <v>10.349453125000002</v>
      </c>
    </row>
    <row r="18" spans="2:4" x14ac:dyDescent="0.25">
      <c r="B18">
        <v>13</v>
      </c>
      <c r="C18" s="74" t="s">
        <v>79</v>
      </c>
      <c r="D18" s="75">
        <f>'NGO KONDE'!G37</f>
        <v>10.320208333333335</v>
      </c>
    </row>
    <row r="19" spans="2:4" x14ac:dyDescent="0.25">
      <c r="B19">
        <v>14</v>
      </c>
      <c r="C19" s="74" t="s">
        <v>83</v>
      </c>
      <c r="D19" s="75">
        <f>AMAN!G37</f>
        <v>10.104505208333331</v>
      </c>
    </row>
    <row r="20" spans="2:4" x14ac:dyDescent="0.25">
      <c r="B20">
        <v>15</v>
      </c>
      <c r="C20" s="74" t="s">
        <v>81</v>
      </c>
      <c r="D20" s="75">
        <f>NOUBISSI!G37</f>
        <v>9.8742447916666674</v>
      </c>
    </row>
    <row r="21" spans="2:4" x14ac:dyDescent="0.25">
      <c r="B21">
        <v>16</v>
      </c>
      <c r="C21" s="74" t="s">
        <v>84</v>
      </c>
      <c r="D21" s="75">
        <f>DJIKIA!G37</f>
        <v>8.1181770833333342</v>
      </c>
    </row>
  </sheetData>
  <sortState ref="C6:D21">
    <sortCondition descending="1" ref="D6:D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20</vt:i4>
      </vt:variant>
    </vt:vector>
  </HeadingPairs>
  <TitlesOfParts>
    <vt:vector size="20" baseType="lpstr">
      <vt:lpstr>AMAN</vt:lpstr>
      <vt:lpstr>DJIKIA</vt:lpstr>
      <vt:lpstr>ELOGO</vt:lpstr>
      <vt:lpstr>KINGUE</vt:lpstr>
      <vt:lpstr>KOUAM</vt:lpstr>
      <vt:lpstr>MAGATSING</vt:lpstr>
      <vt:lpstr>MENYE</vt:lpstr>
      <vt:lpstr>NGO KONDE</vt:lpstr>
      <vt:lpstr>METOUWE</vt:lpstr>
      <vt:lpstr>MOUKO</vt:lpstr>
      <vt:lpstr>NGO BAHEEG</vt:lpstr>
      <vt:lpstr>NGO HOHI</vt:lpstr>
      <vt:lpstr>NGO NGUE</vt:lpstr>
      <vt:lpstr>NOUBISSI</vt:lpstr>
      <vt:lpstr>NWAHA</vt:lpstr>
      <vt:lpstr>ONANA</vt:lpstr>
      <vt:lpstr>PABOUDEM</vt:lpstr>
      <vt:lpstr>TCHAGNAM</vt:lpstr>
      <vt:lpstr>YEBEL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florampeck</dc:creator>
  <cp:lastModifiedBy>ch'croute</cp:lastModifiedBy>
  <dcterms:created xsi:type="dcterms:W3CDTF">2020-12-07T13:08:36Z</dcterms:created>
  <dcterms:modified xsi:type="dcterms:W3CDTF">2022-08-15T10:21:07Z</dcterms:modified>
</cp:coreProperties>
</file>