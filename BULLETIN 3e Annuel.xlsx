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'croute\Desktop\CPBL FANION\TROISIEME\TRIMESTRE 3\"/>
    </mc:Choice>
  </mc:AlternateContent>
  <bookViews>
    <workbookView xWindow="360" yWindow="330" windowWidth="18675" windowHeight="8235" firstSheet="7" activeTab="8"/>
  </bookViews>
  <sheets>
    <sheet name="ABENA" sheetId="1" r:id="rId1"/>
    <sheet name="AGNANANE" sheetId="2" r:id="rId2"/>
    <sheet name="ALIMA" sheetId="3" r:id="rId3"/>
    <sheet name="APOUOBOUE" sheetId="4" r:id="rId4"/>
    <sheet name="DJOUMKOUA" sheetId="5" r:id="rId5"/>
    <sheet name="ELOLONGUE" sheetId="6" r:id="rId6"/>
    <sheet name="EYENGA" sheetId="7" r:id="rId7"/>
    <sheet name="FOE" sheetId="8" r:id="rId8"/>
    <sheet name="HOTT" sheetId="9" r:id="rId9"/>
    <sheet name="MEYEBE" sheetId="10" r:id="rId10"/>
    <sheet name="KILAMA" sheetId="11" r:id="rId11"/>
    <sheet name="LIMI" sheetId="12" r:id="rId12"/>
    <sheet name="MASSE" sheetId="13" r:id="rId13"/>
    <sheet name="AMOUGOU" sheetId="14" r:id="rId14"/>
    <sheet name="NGO MINKA" sheetId="15" r:id="rId15"/>
    <sheet name="OBAMA" sheetId="16" r:id="rId16"/>
    <sheet name="NGONO" sheetId="17" r:id="rId17"/>
    <sheet name="TSELA" sheetId="18" r:id="rId18"/>
    <sheet name="YAGA" sheetId="19" r:id="rId19"/>
    <sheet name="ATIBALA" sheetId="20" r:id="rId20"/>
    <sheet name="Feuil1" sheetId="21" r:id="rId21"/>
  </sheets>
  <calcPr calcId="162913"/>
</workbook>
</file>

<file path=xl/calcChain.xml><?xml version="1.0" encoding="utf-8"?>
<calcChain xmlns="http://schemas.openxmlformats.org/spreadsheetml/2006/main">
  <c r="C30" i="13" l="1"/>
  <c r="C27" i="13"/>
  <c r="C30" i="14"/>
  <c r="C29" i="14"/>
  <c r="C27" i="14"/>
  <c r="C30" i="15"/>
  <c r="C27" i="15"/>
  <c r="C30" i="16"/>
  <c r="C29" i="16"/>
  <c r="C27" i="16"/>
  <c r="C30" i="17" l="1"/>
  <c r="C27" i="17"/>
  <c r="C30" i="18" l="1"/>
  <c r="C27" i="18"/>
  <c r="C30" i="19"/>
  <c r="C27" i="19"/>
  <c r="C30" i="20"/>
  <c r="C27" i="20"/>
  <c r="C30" i="12" l="1"/>
  <c r="C27" i="12"/>
  <c r="C30" i="11"/>
  <c r="C27" i="11"/>
  <c r="L27" i="11" s="1"/>
  <c r="C30" i="10"/>
  <c r="C27" i="10"/>
  <c r="C30" i="8"/>
  <c r="C29" i="8"/>
  <c r="C28" i="8"/>
  <c r="H28" i="8" s="1"/>
  <c r="C27" i="8"/>
  <c r="C23" i="8"/>
  <c r="C22" i="8"/>
  <c r="C21" i="8"/>
  <c r="C20" i="8"/>
  <c r="L20" i="8" s="1"/>
  <c r="C16" i="8"/>
  <c r="C15" i="8"/>
  <c r="H15" i="8" s="1"/>
  <c r="C14" i="8"/>
  <c r="L14" i="8" s="1"/>
  <c r="C13" i="8"/>
  <c r="C9" i="8"/>
  <c r="C8" i="8"/>
  <c r="L8" i="8" s="1"/>
  <c r="C7" i="8"/>
  <c r="C6" i="8"/>
  <c r="L6" i="8" s="1"/>
  <c r="C5" i="8"/>
  <c r="L5" i="8" s="1"/>
  <c r="C30" i="6"/>
  <c r="C27" i="6"/>
  <c r="C30" i="5"/>
  <c r="C27" i="5"/>
  <c r="C30" i="4"/>
  <c r="C29" i="4"/>
  <c r="C27" i="4"/>
  <c r="H27" i="4" s="1"/>
  <c r="C9" i="4"/>
  <c r="C30" i="3"/>
  <c r="C27" i="3"/>
  <c r="C30" i="2"/>
  <c r="C27" i="2"/>
  <c r="C30" i="1"/>
  <c r="C27" i="1"/>
  <c r="P30" i="1"/>
  <c r="P28" i="1"/>
  <c r="F43" i="20"/>
  <c r="D43" i="20"/>
  <c r="C43" i="20"/>
  <c r="F42" i="20"/>
  <c r="D42" i="20"/>
  <c r="C42" i="20"/>
  <c r="F41" i="20"/>
  <c r="D41" i="20"/>
  <c r="Q30" i="20"/>
  <c r="P30" i="20"/>
  <c r="O30" i="20"/>
  <c r="H30" i="20"/>
  <c r="Q29" i="20"/>
  <c r="P29" i="20"/>
  <c r="O29" i="20"/>
  <c r="C29" i="20"/>
  <c r="H29" i="20" s="1"/>
  <c r="Q28" i="20"/>
  <c r="P28" i="20"/>
  <c r="O28" i="20"/>
  <c r="C28" i="20"/>
  <c r="H28" i="20" s="1"/>
  <c r="Q27" i="20"/>
  <c r="P27" i="20"/>
  <c r="O27" i="20"/>
  <c r="L27" i="20"/>
  <c r="H27" i="20"/>
  <c r="Q23" i="20"/>
  <c r="P23" i="20"/>
  <c r="O23" i="20"/>
  <c r="C23" i="20"/>
  <c r="L23" i="20" s="1"/>
  <c r="Q22" i="20"/>
  <c r="P22" i="20"/>
  <c r="O22" i="20"/>
  <c r="C22" i="20"/>
  <c r="L22" i="20" s="1"/>
  <c r="Q21" i="20"/>
  <c r="P21" i="20"/>
  <c r="O21" i="20"/>
  <c r="C21" i="20"/>
  <c r="L21" i="20" s="1"/>
  <c r="Q20" i="20"/>
  <c r="P20" i="20"/>
  <c r="O20" i="20"/>
  <c r="C20" i="20"/>
  <c r="L20" i="20" s="1"/>
  <c r="Q16" i="20"/>
  <c r="P16" i="20"/>
  <c r="O16" i="20"/>
  <c r="C16" i="20"/>
  <c r="H16" i="20" s="1"/>
  <c r="Q15" i="20"/>
  <c r="P15" i="20"/>
  <c r="O15" i="20"/>
  <c r="C15" i="20"/>
  <c r="H15" i="20" s="1"/>
  <c r="Q14" i="20"/>
  <c r="P14" i="20"/>
  <c r="O14" i="20"/>
  <c r="C14" i="20"/>
  <c r="H14" i="20" s="1"/>
  <c r="Q13" i="20"/>
  <c r="P13" i="20"/>
  <c r="O13" i="20"/>
  <c r="C13" i="20"/>
  <c r="L13" i="20" s="1"/>
  <c r="Q9" i="20"/>
  <c r="P9" i="20"/>
  <c r="O9" i="20"/>
  <c r="C9" i="20"/>
  <c r="L9" i="20" s="1"/>
  <c r="Q8" i="20"/>
  <c r="P8" i="20"/>
  <c r="O8" i="20"/>
  <c r="C8" i="20"/>
  <c r="L8" i="20" s="1"/>
  <c r="Q7" i="20"/>
  <c r="P7" i="20"/>
  <c r="O7" i="20"/>
  <c r="C7" i="20"/>
  <c r="L7" i="20" s="1"/>
  <c r="Q6" i="20"/>
  <c r="P6" i="20"/>
  <c r="O6" i="20"/>
  <c r="C6" i="20"/>
  <c r="L6" i="20" s="1"/>
  <c r="Q5" i="20"/>
  <c r="P5" i="20"/>
  <c r="O5" i="20"/>
  <c r="C5" i="20"/>
  <c r="L5" i="20" s="1"/>
  <c r="F43" i="19"/>
  <c r="D43" i="19"/>
  <c r="C43" i="19"/>
  <c r="F42" i="19"/>
  <c r="D42" i="19"/>
  <c r="C42" i="19"/>
  <c r="F41" i="19"/>
  <c r="D41" i="19"/>
  <c r="Q30" i="19"/>
  <c r="P30" i="19"/>
  <c r="O30" i="19"/>
  <c r="L30" i="19"/>
  <c r="Q29" i="19"/>
  <c r="P29" i="19"/>
  <c r="O29" i="19"/>
  <c r="C29" i="19"/>
  <c r="H29" i="19" s="1"/>
  <c r="Q28" i="19"/>
  <c r="P28" i="19"/>
  <c r="O28" i="19"/>
  <c r="C28" i="19"/>
  <c r="H28" i="19" s="1"/>
  <c r="Q27" i="19"/>
  <c r="P27" i="19"/>
  <c r="O27" i="19"/>
  <c r="H27" i="19"/>
  <c r="Q23" i="19"/>
  <c r="P23" i="19"/>
  <c r="O23" i="19"/>
  <c r="C23" i="19"/>
  <c r="H23" i="19" s="1"/>
  <c r="Q22" i="19"/>
  <c r="P22" i="19"/>
  <c r="O22" i="19"/>
  <c r="C22" i="19"/>
  <c r="L22" i="19" s="1"/>
  <c r="Q21" i="19"/>
  <c r="P21" i="19"/>
  <c r="O21" i="19"/>
  <c r="C21" i="19"/>
  <c r="L21" i="19" s="1"/>
  <c r="Q20" i="19"/>
  <c r="P20" i="19"/>
  <c r="O20" i="19"/>
  <c r="C20" i="19"/>
  <c r="L20" i="19" s="1"/>
  <c r="Q16" i="19"/>
  <c r="P16" i="19"/>
  <c r="O16" i="19"/>
  <c r="C16" i="19"/>
  <c r="H16" i="19" s="1"/>
  <c r="Q15" i="19"/>
  <c r="P15" i="19"/>
  <c r="O15" i="19"/>
  <c r="C15" i="19"/>
  <c r="H15" i="19" s="1"/>
  <c r="Q14" i="19"/>
  <c r="P14" i="19"/>
  <c r="O14" i="19"/>
  <c r="C14" i="19"/>
  <c r="L14" i="19" s="1"/>
  <c r="Q13" i="19"/>
  <c r="P13" i="19"/>
  <c r="O13" i="19"/>
  <c r="C13" i="19"/>
  <c r="H13" i="19" s="1"/>
  <c r="Q9" i="19"/>
  <c r="P9" i="19"/>
  <c r="O9" i="19"/>
  <c r="C9" i="19"/>
  <c r="L9" i="19" s="1"/>
  <c r="Q8" i="19"/>
  <c r="P8" i="19"/>
  <c r="O8" i="19"/>
  <c r="C8" i="19"/>
  <c r="H8" i="19" s="1"/>
  <c r="Q7" i="19"/>
  <c r="P7" i="19"/>
  <c r="O7" i="19"/>
  <c r="C7" i="19"/>
  <c r="L7" i="19" s="1"/>
  <c r="Q6" i="19"/>
  <c r="P6" i="19"/>
  <c r="O6" i="19"/>
  <c r="C6" i="19"/>
  <c r="L6" i="19" s="1"/>
  <c r="Q5" i="19"/>
  <c r="P5" i="19"/>
  <c r="O5" i="19"/>
  <c r="C5" i="19"/>
  <c r="L5" i="19" s="1"/>
  <c r="F43" i="18"/>
  <c r="D43" i="18"/>
  <c r="C43" i="18"/>
  <c r="F42" i="18"/>
  <c r="D42" i="18"/>
  <c r="C42" i="18"/>
  <c r="F41" i="18"/>
  <c r="D41" i="18"/>
  <c r="Q30" i="18"/>
  <c r="P30" i="18"/>
  <c r="O30" i="18"/>
  <c r="H30" i="18"/>
  <c r="Q29" i="18"/>
  <c r="P29" i="18"/>
  <c r="O29" i="18"/>
  <c r="C29" i="18"/>
  <c r="H29" i="18" s="1"/>
  <c r="Q28" i="18"/>
  <c r="P28" i="18"/>
  <c r="O28" i="18"/>
  <c r="C28" i="18"/>
  <c r="L28" i="18" s="1"/>
  <c r="Q27" i="18"/>
  <c r="P27" i="18"/>
  <c r="O27" i="18"/>
  <c r="H27" i="18"/>
  <c r="Q23" i="18"/>
  <c r="P23" i="18"/>
  <c r="O23" i="18"/>
  <c r="C23" i="18"/>
  <c r="L23" i="18" s="1"/>
  <c r="Q22" i="18"/>
  <c r="P22" i="18"/>
  <c r="O22" i="18"/>
  <c r="C22" i="18"/>
  <c r="L22" i="18" s="1"/>
  <c r="Q21" i="18"/>
  <c r="P21" i="18"/>
  <c r="O21" i="18"/>
  <c r="C21" i="18"/>
  <c r="H21" i="18" s="1"/>
  <c r="Q20" i="18"/>
  <c r="P20" i="18"/>
  <c r="O20" i="18"/>
  <c r="C20" i="18"/>
  <c r="L20" i="18" s="1"/>
  <c r="Q16" i="18"/>
  <c r="P16" i="18"/>
  <c r="O16" i="18"/>
  <c r="C16" i="18"/>
  <c r="H16" i="18" s="1"/>
  <c r="Q15" i="18"/>
  <c r="P15" i="18"/>
  <c r="O15" i="18"/>
  <c r="C15" i="18"/>
  <c r="L15" i="18" s="1"/>
  <c r="Q14" i="18"/>
  <c r="P14" i="18"/>
  <c r="O14" i="18"/>
  <c r="C14" i="18"/>
  <c r="H14" i="18" s="1"/>
  <c r="Q13" i="18"/>
  <c r="P13" i="18"/>
  <c r="O13" i="18"/>
  <c r="C13" i="18"/>
  <c r="L13" i="18" s="1"/>
  <c r="Q9" i="18"/>
  <c r="P9" i="18"/>
  <c r="O9" i="18"/>
  <c r="C9" i="18"/>
  <c r="L9" i="18" s="1"/>
  <c r="Q8" i="18"/>
  <c r="P8" i="18"/>
  <c r="O8" i="18"/>
  <c r="C8" i="18"/>
  <c r="H8" i="18" s="1"/>
  <c r="Q7" i="18"/>
  <c r="P7" i="18"/>
  <c r="O7" i="18"/>
  <c r="C7" i="18"/>
  <c r="L7" i="18" s="1"/>
  <c r="Q6" i="18"/>
  <c r="P6" i="18"/>
  <c r="O6" i="18"/>
  <c r="C6" i="18"/>
  <c r="L6" i="18" s="1"/>
  <c r="Q5" i="18"/>
  <c r="P5" i="18"/>
  <c r="O5" i="18"/>
  <c r="C5" i="18"/>
  <c r="L5" i="18" s="1"/>
  <c r="F43" i="17"/>
  <c r="D43" i="17"/>
  <c r="C43" i="17"/>
  <c r="F42" i="17"/>
  <c r="D42" i="17"/>
  <c r="C42" i="17"/>
  <c r="F41" i="17"/>
  <c r="D41" i="17"/>
  <c r="P30" i="17"/>
  <c r="O30" i="17"/>
  <c r="P29" i="17"/>
  <c r="O29" i="17"/>
  <c r="P28" i="17"/>
  <c r="O28" i="17"/>
  <c r="P27" i="17"/>
  <c r="O27" i="17"/>
  <c r="Q23" i="17"/>
  <c r="P23" i="17"/>
  <c r="O23" i="17"/>
  <c r="L23" i="17"/>
  <c r="C23" i="17"/>
  <c r="H23" i="17" s="1"/>
  <c r="Q22" i="17"/>
  <c r="P22" i="17"/>
  <c r="O22" i="17"/>
  <c r="C22" i="17"/>
  <c r="L22" i="17" s="1"/>
  <c r="Q21" i="17"/>
  <c r="P21" i="17"/>
  <c r="O21" i="17"/>
  <c r="C21" i="17"/>
  <c r="L21" i="17" s="1"/>
  <c r="Q20" i="17"/>
  <c r="P20" i="17"/>
  <c r="O20" i="17"/>
  <c r="C20" i="17"/>
  <c r="L20" i="17" s="1"/>
  <c r="Q16" i="17"/>
  <c r="P16" i="17"/>
  <c r="O16" i="17"/>
  <c r="C16" i="17"/>
  <c r="H16" i="17" s="1"/>
  <c r="Q15" i="17"/>
  <c r="P15" i="17"/>
  <c r="O15" i="17"/>
  <c r="C15" i="17"/>
  <c r="L15" i="17" s="1"/>
  <c r="Q14" i="17"/>
  <c r="P14" i="17"/>
  <c r="O14" i="17"/>
  <c r="C14" i="17"/>
  <c r="L14" i="17" s="1"/>
  <c r="Q13" i="17"/>
  <c r="P13" i="17"/>
  <c r="O13" i="17"/>
  <c r="C13" i="17"/>
  <c r="L13" i="17" s="1"/>
  <c r="Q9" i="17"/>
  <c r="P9" i="17"/>
  <c r="O9" i="17"/>
  <c r="C9" i="17"/>
  <c r="L9" i="17" s="1"/>
  <c r="Q8" i="17"/>
  <c r="P8" i="17"/>
  <c r="O8" i="17"/>
  <c r="C8" i="17"/>
  <c r="H8" i="17" s="1"/>
  <c r="Q7" i="17"/>
  <c r="P7" i="17"/>
  <c r="O7" i="17"/>
  <c r="C7" i="17"/>
  <c r="L7" i="17" s="1"/>
  <c r="Q6" i="17"/>
  <c r="P6" i="17"/>
  <c r="O6" i="17"/>
  <c r="C6" i="17"/>
  <c r="L6" i="17" s="1"/>
  <c r="Q5" i="17"/>
  <c r="P5" i="17"/>
  <c r="O5" i="17"/>
  <c r="C5" i="17"/>
  <c r="L5" i="17" s="1"/>
  <c r="F43" i="16"/>
  <c r="D43" i="16"/>
  <c r="C43" i="16"/>
  <c r="F42" i="16"/>
  <c r="D42" i="16"/>
  <c r="C42" i="16"/>
  <c r="F41" i="16"/>
  <c r="D41" i="16"/>
  <c r="Q30" i="16"/>
  <c r="P30" i="16"/>
  <c r="O30" i="16"/>
  <c r="H30" i="16"/>
  <c r="Q29" i="16"/>
  <c r="P29" i="16"/>
  <c r="O29" i="16"/>
  <c r="L29" i="16"/>
  <c r="H29" i="16"/>
  <c r="Q28" i="16"/>
  <c r="P28" i="16"/>
  <c r="O28" i="16"/>
  <c r="C28" i="16"/>
  <c r="H28" i="16" s="1"/>
  <c r="Q27" i="16"/>
  <c r="P27" i="16"/>
  <c r="O27" i="16"/>
  <c r="H27" i="16"/>
  <c r="Q23" i="16"/>
  <c r="P23" i="16"/>
  <c r="O23" i="16"/>
  <c r="C23" i="16"/>
  <c r="L23" i="16" s="1"/>
  <c r="Q22" i="16"/>
  <c r="P22" i="16"/>
  <c r="O22" i="16"/>
  <c r="C22" i="16"/>
  <c r="L22" i="16" s="1"/>
  <c r="Q21" i="16"/>
  <c r="P21" i="16"/>
  <c r="O21" i="16"/>
  <c r="C21" i="16"/>
  <c r="H21" i="16" s="1"/>
  <c r="Q20" i="16"/>
  <c r="P20" i="16"/>
  <c r="O20" i="16"/>
  <c r="C20" i="16"/>
  <c r="L20" i="16" s="1"/>
  <c r="Q16" i="16"/>
  <c r="P16" i="16"/>
  <c r="O16" i="16"/>
  <c r="C16" i="16"/>
  <c r="H16" i="16" s="1"/>
  <c r="Q15" i="16"/>
  <c r="P15" i="16"/>
  <c r="O15" i="16"/>
  <c r="C15" i="16"/>
  <c r="L15" i="16" s="1"/>
  <c r="Q14" i="16"/>
  <c r="P14" i="16"/>
  <c r="O14" i="16"/>
  <c r="C14" i="16"/>
  <c r="H14" i="16" s="1"/>
  <c r="Q13" i="16"/>
  <c r="P13" i="16"/>
  <c r="O13" i="16"/>
  <c r="C13" i="16"/>
  <c r="L13" i="16" s="1"/>
  <c r="Q9" i="16"/>
  <c r="P9" i="16"/>
  <c r="O9" i="16"/>
  <c r="C9" i="16"/>
  <c r="L9" i="16" s="1"/>
  <c r="Q8" i="16"/>
  <c r="P8" i="16"/>
  <c r="O8" i="16"/>
  <c r="C8" i="16"/>
  <c r="L8" i="16" s="1"/>
  <c r="Q7" i="16"/>
  <c r="P7" i="16"/>
  <c r="O7" i="16"/>
  <c r="C7" i="16"/>
  <c r="L7" i="16" s="1"/>
  <c r="Q6" i="16"/>
  <c r="P6" i="16"/>
  <c r="O6" i="16"/>
  <c r="C6" i="16"/>
  <c r="L6" i="16" s="1"/>
  <c r="Q5" i="16"/>
  <c r="P5" i="16"/>
  <c r="O5" i="16"/>
  <c r="C5" i="16"/>
  <c r="L5" i="16" s="1"/>
  <c r="F43" i="15"/>
  <c r="D43" i="15"/>
  <c r="C43" i="15"/>
  <c r="F42" i="15"/>
  <c r="D42" i="15"/>
  <c r="C42" i="15"/>
  <c r="F41" i="15"/>
  <c r="D41" i="15"/>
  <c r="Q30" i="15"/>
  <c r="P30" i="15"/>
  <c r="O30" i="15"/>
  <c r="L30" i="15"/>
  <c r="Q29" i="15"/>
  <c r="P29" i="15"/>
  <c r="O29" i="15"/>
  <c r="C29" i="15"/>
  <c r="H29" i="15" s="1"/>
  <c r="Q28" i="15"/>
  <c r="P28" i="15"/>
  <c r="O28" i="15"/>
  <c r="C28" i="15"/>
  <c r="H28" i="15" s="1"/>
  <c r="Q27" i="15"/>
  <c r="P27" i="15"/>
  <c r="O27" i="15"/>
  <c r="L27" i="15"/>
  <c r="H27" i="15"/>
  <c r="Q23" i="15"/>
  <c r="P23" i="15"/>
  <c r="O23" i="15"/>
  <c r="C23" i="15"/>
  <c r="L23" i="15" s="1"/>
  <c r="Q22" i="15"/>
  <c r="P22" i="15"/>
  <c r="O22" i="15"/>
  <c r="C22" i="15"/>
  <c r="L22" i="15" s="1"/>
  <c r="Q21" i="15"/>
  <c r="P21" i="15"/>
  <c r="O21" i="15"/>
  <c r="C21" i="15"/>
  <c r="L21" i="15" s="1"/>
  <c r="Q20" i="15"/>
  <c r="P20" i="15"/>
  <c r="O20" i="15"/>
  <c r="C20" i="15"/>
  <c r="L20" i="15" s="1"/>
  <c r="Q16" i="15"/>
  <c r="P16" i="15"/>
  <c r="O16" i="15"/>
  <c r="C16" i="15"/>
  <c r="H16" i="15" s="1"/>
  <c r="Q15" i="15"/>
  <c r="P15" i="15"/>
  <c r="O15" i="15"/>
  <c r="C15" i="15"/>
  <c r="L15" i="15" s="1"/>
  <c r="Q14" i="15"/>
  <c r="P14" i="15"/>
  <c r="O14" i="15"/>
  <c r="L14" i="15"/>
  <c r="C14" i="15"/>
  <c r="H14" i="15" s="1"/>
  <c r="Q13" i="15"/>
  <c r="P13" i="15"/>
  <c r="O13" i="15"/>
  <c r="C13" i="15"/>
  <c r="H13" i="15" s="1"/>
  <c r="Q9" i="15"/>
  <c r="P9" i="15"/>
  <c r="O9" i="15"/>
  <c r="C9" i="15"/>
  <c r="L9" i="15" s="1"/>
  <c r="Q8" i="15"/>
  <c r="P8" i="15"/>
  <c r="O8" i="15"/>
  <c r="C8" i="15"/>
  <c r="L8" i="15" s="1"/>
  <c r="Q7" i="15"/>
  <c r="P7" i="15"/>
  <c r="O7" i="15"/>
  <c r="C7" i="15"/>
  <c r="L7" i="15" s="1"/>
  <c r="Q6" i="15"/>
  <c r="P6" i="15"/>
  <c r="O6" i="15"/>
  <c r="C6" i="15"/>
  <c r="L6" i="15" s="1"/>
  <c r="Q5" i="15"/>
  <c r="P5" i="15"/>
  <c r="O5" i="15"/>
  <c r="C5" i="15"/>
  <c r="L5" i="15" s="1"/>
  <c r="F43" i="14"/>
  <c r="D43" i="14"/>
  <c r="C43" i="14"/>
  <c r="F42" i="14"/>
  <c r="D42" i="14"/>
  <c r="C42" i="14"/>
  <c r="F41" i="14"/>
  <c r="D41" i="14"/>
  <c r="Q30" i="14"/>
  <c r="P30" i="14"/>
  <c r="O30" i="14"/>
  <c r="L30" i="14"/>
  <c r="Q29" i="14"/>
  <c r="P29" i="14"/>
  <c r="O29" i="14"/>
  <c r="H29" i="14"/>
  <c r="Q28" i="14"/>
  <c r="P28" i="14"/>
  <c r="O28" i="14"/>
  <c r="C28" i="14"/>
  <c r="H28" i="14" s="1"/>
  <c r="Q27" i="14"/>
  <c r="P27" i="14"/>
  <c r="O27" i="14"/>
  <c r="H27" i="14"/>
  <c r="Q23" i="14"/>
  <c r="P23" i="14"/>
  <c r="O23" i="14"/>
  <c r="C23" i="14"/>
  <c r="L23" i="14" s="1"/>
  <c r="Q22" i="14"/>
  <c r="P22" i="14"/>
  <c r="O22" i="14"/>
  <c r="C22" i="14"/>
  <c r="L22" i="14" s="1"/>
  <c r="Q21" i="14"/>
  <c r="P21" i="14"/>
  <c r="O21" i="14"/>
  <c r="C21" i="14"/>
  <c r="L21" i="14" s="1"/>
  <c r="Q20" i="14"/>
  <c r="P20" i="14"/>
  <c r="O20" i="14"/>
  <c r="C20" i="14"/>
  <c r="L20" i="14" s="1"/>
  <c r="Q16" i="14"/>
  <c r="P16" i="14"/>
  <c r="O16" i="14"/>
  <c r="C16" i="14"/>
  <c r="H16" i="14" s="1"/>
  <c r="Q15" i="14"/>
  <c r="P15" i="14"/>
  <c r="O15" i="14"/>
  <c r="C15" i="14"/>
  <c r="H15" i="14" s="1"/>
  <c r="Q14" i="14"/>
  <c r="P14" i="14"/>
  <c r="O14" i="14"/>
  <c r="C14" i="14"/>
  <c r="H14" i="14" s="1"/>
  <c r="Q13" i="14"/>
  <c r="P13" i="14"/>
  <c r="O13" i="14"/>
  <c r="C13" i="14"/>
  <c r="H13" i="14" s="1"/>
  <c r="C18" i="14" s="1"/>
  <c r="Q9" i="14"/>
  <c r="P9" i="14"/>
  <c r="O9" i="14"/>
  <c r="C9" i="14"/>
  <c r="L9" i="14" s="1"/>
  <c r="Q8" i="14"/>
  <c r="P8" i="14"/>
  <c r="O8" i="14"/>
  <c r="C8" i="14"/>
  <c r="L8" i="14" s="1"/>
  <c r="Q7" i="14"/>
  <c r="P7" i="14"/>
  <c r="O7" i="14"/>
  <c r="C7" i="14"/>
  <c r="L7" i="14" s="1"/>
  <c r="Q6" i="14"/>
  <c r="P6" i="14"/>
  <c r="O6" i="14"/>
  <c r="C6" i="14"/>
  <c r="H6" i="14" s="1"/>
  <c r="Q5" i="14"/>
  <c r="P5" i="14"/>
  <c r="O5" i="14"/>
  <c r="O31" i="14" s="1"/>
  <c r="O33" i="14" s="1"/>
  <c r="C36" i="14" s="1"/>
  <c r="C5" i="14"/>
  <c r="L5" i="14" s="1"/>
  <c r="F43" i="13"/>
  <c r="D43" i="13"/>
  <c r="C43" i="13"/>
  <c r="F42" i="13"/>
  <c r="D42" i="13"/>
  <c r="C42" i="13"/>
  <c r="F41" i="13"/>
  <c r="D41" i="13"/>
  <c r="Q30" i="13"/>
  <c r="P30" i="13"/>
  <c r="O30" i="13"/>
  <c r="H30" i="13"/>
  <c r="Q29" i="13"/>
  <c r="P29" i="13"/>
  <c r="O29" i="13"/>
  <c r="C29" i="13"/>
  <c r="H29" i="13" s="1"/>
  <c r="Q28" i="13"/>
  <c r="P28" i="13"/>
  <c r="O28" i="13"/>
  <c r="C28" i="13"/>
  <c r="H28" i="13" s="1"/>
  <c r="Q27" i="13"/>
  <c r="P27" i="13"/>
  <c r="O27" i="13"/>
  <c r="H27" i="13"/>
  <c r="Q23" i="13"/>
  <c r="P23" i="13"/>
  <c r="O23" i="13"/>
  <c r="C23" i="13"/>
  <c r="H23" i="13" s="1"/>
  <c r="Q22" i="13"/>
  <c r="P22" i="13"/>
  <c r="O22" i="13"/>
  <c r="C22" i="13"/>
  <c r="L22" i="13" s="1"/>
  <c r="Q21" i="13"/>
  <c r="P21" i="13"/>
  <c r="O21" i="13"/>
  <c r="C21" i="13"/>
  <c r="L21" i="13" s="1"/>
  <c r="Q20" i="13"/>
  <c r="P20" i="13"/>
  <c r="O20" i="13"/>
  <c r="C20" i="13"/>
  <c r="L20" i="13" s="1"/>
  <c r="Q16" i="13"/>
  <c r="P16" i="13"/>
  <c r="O16" i="13"/>
  <c r="C16" i="13"/>
  <c r="H16" i="13" s="1"/>
  <c r="Q15" i="13"/>
  <c r="P15" i="13"/>
  <c r="O15" i="13"/>
  <c r="C15" i="13"/>
  <c r="L15" i="13" s="1"/>
  <c r="Q14" i="13"/>
  <c r="P14" i="13"/>
  <c r="O14" i="13"/>
  <c r="C14" i="13"/>
  <c r="H14" i="13" s="1"/>
  <c r="Q13" i="13"/>
  <c r="P13" i="13"/>
  <c r="O13" i="13"/>
  <c r="C13" i="13"/>
  <c r="L13" i="13" s="1"/>
  <c r="Q9" i="13"/>
  <c r="P9" i="13"/>
  <c r="O9" i="13"/>
  <c r="C9" i="13"/>
  <c r="L9" i="13" s="1"/>
  <c r="Q8" i="13"/>
  <c r="P8" i="13"/>
  <c r="O8" i="13"/>
  <c r="L8" i="13"/>
  <c r="C8" i="13"/>
  <c r="H8" i="13" s="1"/>
  <c r="Q7" i="13"/>
  <c r="P7" i="13"/>
  <c r="O7" i="13"/>
  <c r="C7" i="13"/>
  <c r="L7" i="13" s="1"/>
  <c r="Q6" i="13"/>
  <c r="P6" i="13"/>
  <c r="O6" i="13"/>
  <c r="C6" i="13"/>
  <c r="H6" i="13" s="1"/>
  <c r="Q5" i="13"/>
  <c r="P5" i="13"/>
  <c r="O5" i="13"/>
  <c r="C5" i="13"/>
  <c r="L5" i="13" s="1"/>
  <c r="F43" i="12"/>
  <c r="D43" i="12"/>
  <c r="C43" i="12"/>
  <c r="F42" i="12"/>
  <c r="D42" i="12"/>
  <c r="C42" i="12"/>
  <c r="F41" i="12"/>
  <c r="D41" i="12"/>
  <c r="Q30" i="12"/>
  <c r="P30" i="12"/>
  <c r="O30" i="12"/>
  <c r="L30" i="12"/>
  <c r="Q29" i="12"/>
  <c r="P29" i="12"/>
  <c r="O29" i="12"/>
  <c r="C29" i="12"/>
  <c r="L29" i="12" s="1"/>
  <c r="Q28" i="12"/>
  <c r="P28" i="12"/>
  <c r="O28" i="12"/>
  <c r="C28" i="12"/>
  <c r="L28" i="12" s="1"/>
  <c r="Q27" i="12"/>
  <c r="P27" i="12"/>
  <c r="O27" i="12"/>
  <c r="H27" i="12"/>
  <c r="Q23" i="12"/>
  <c r="P23" i="12"/>
  <c r="O23" i="12"/>
  <c r="C23" i="12"/>
  <c r="L23" i="12" s="1"/>
  <c r="Q22" i="12"/>
  <c r="P22" i="12"/>
  <c r="O22" i="12"/>
  <c r="C22" i="12"/>
  <c r="L22" i="12" s="1"/>
  <c r="Q21" i="12"/>
  <c r="P21" i="12"/>
  <c r="O21" i="12"/>
  <c r="C21" i="12"/>
  <c r="H21" i="12" s="1"/>
  <c r="Q20" i="12"/>
  <c r="P20" i="12"/>
  <c r="O20" i="12"/>
  <c r="C20" i="12"/>
  <c r="L20" i="12" s="1"/>
  <c r="Q16" i="12"/>
  <c r="P16" i="12"/>
  <c r="O16" i="12"/>
  <c r="C16" i="12"/>
  <c r="L16" i="12" s="1"/>
  <c r="Q15" i="12"/>
  <c r="P15" i="12"/>
  <c r="O15" i="12"/>
  <c r="C15" i="12"/>
  <c r="H15" i="12" s="1"/>
  <c r="Q14" i="12"/>
  <c r="P14" i="12"/>
  <c r="O14" i="12"/>
  <c r="L14" i="12"/>
  <c r="C14" i="12"/>
  <c r="H14" i="12" s="1"/>
  <c r="Q13" i="12"/>
  <c r="P13" i="12"/>
  <c r="O13" i="12"/>
  <c r="C13" i="12"/>
  <c r="H13" i="12" s="1"/>
  <c r="Q9" i="12"/>
  <c r="P9" i="12"/>
  <c r="O9" i="12"/>
  <c r="C9" i="12"/>
  <c r="L9" i="12" s="1"/>
  <c r="Q8" i="12"/>
  <c r="P8" i="12"/>
  <c r="O8" i="12"/>
  <c r="C8" i="12"/>
  <c r="L8" i="12" s="1"/>
  <c r="Q7" i="12"/>
  <c r="P7" i="12"/>
  <c r="O7" i="12"/>
  <c r="C7" i="12"/>
  <c r="L7" i="12" s="1"/>
  <c r="Q6" i="12"/>
  <c r="P6" i="12"/>
  <c r="O6" i="12"/>
  <c r="C6" i="12"/>
  <c r="H6" i="12" s="1"/>
  <c r="Q5" i="12"/>
  <c r="P5" i="12"/>
  <c r="P31" i="12" s="1"/>
  <c r="P33" i="12" s="1"/>
  <c r="D36" i="12" s="1"/>
  <c r="O5" i="12"/>
  <c r="C5" i="12"/>
  <c r="L5" i="12" s="1"/>
  <c r="F43" i="11"/>
  <c r="D43" i="11"/>
  <c r="C43" i="11"/>
  <c r="F42" i="11"/>
  <c r="D42" i="11"/>
  <c r="C42" i="11"/>
  <c r="F41" i="11"/>
  <c r="D41" i="11"/>
  <c r="Q30" i="11"/>
  <c r="P30" i="11"/>
  <c r="O30" i="11"/>
  <c r="H30" i="11"/>
  <c r="Q29" i="11"/>
  <c r="P29" i="11"/>
  <c r="O29" i="11"/>
  <c r="C29" i="11"/>
  <c r="H29" i="11" s="1"/>
  <c r="Q28" i="11"/>
  <c r="P28" i="11"/>
  <c r="O28" i="11"/>
  <c r="C28" i="11"/>
  <c r="H28" i="11" s="1"/>
  <c r="Q27" i="11"/>
  <c r="P27" i="11"/>
  <c r="O27" i="11"/>
  <c r="Q23" i="11"/>
  <c r="P23" i="11"/>
  <c r="O23" i="11"/>
  <c r="C23" i="11"/>
  <c r="L23" i="11" s="1"/>
  <c r="Q22" i="11"/>
  <c r="P22" i="11"/>
  <c r="O22" i="11"/>
  <c r="C22" i="11"/>
  <c r="L22" i="11" s="1"/>
  <c r="Q21" i="11"/>
  <c r="P21" i="11"/>
  <c r="O21" i="11"/>
  <c r="C21" i="11"/>
  <c r="H21" i="11" s="1"/>
  <c r="Q20" i="11"/>
  <c r="P20" i="11"/>
  <c r="O20" i="11"/>
  <c r="C20" i="11"/>
  <c r="L20" i="11" s="1"/>
  <c r="Q16" i="11"/>
  <c r="P16" i="11"/>
  <c r="O16" i="11"/>
  <c r="C16" i="11"/>
  <c r="H16" i="11" s="1"/>
  <c r="Q15" i="11"/>
  <c r="P15" i="11"/>
  <c r="O15" i="11"/>
  <c r="C15" i="11"/>
  <c r="H15" i="11" s="1"/>
  <c r="Q14" i="11"/>
  <c r="P14" i="11"/>
  <c r="O14" i="11"/>
  <c r="C14" i="11"/>
  <c r="H14" i="11" s="1"/>
  <c r="Q13" i="11"/>
  <c r="P13" i="11"/>
  <c r="O13" i="11"/>
  <c r="C13" i="11"/>
  <c r="H13" i="11" s="1"/>
  <c r="C18" i="11" s="1"/>
  <c r="Q9" i="11"/>
  <c r="P9" i="11"/>
  <c r="O9" i="11"/>
  <c r="C9" i="11"/>
  <c r="L9" i="11" s="1"/>
  <c r="Q8" i="11"/>
  <c r="P8" i="11"/>
  <c r="O8" i="11"/>
  <c r="C8" i="11"/>
  <c r="H8" i="11" s="1"/>
  <c r="Q7" i="11"/>
  <c r="P7" i="11"/>
  <c r="O7" i="11"/>
  <c r="C7" i="11"/>
  <c r="L7" i="11" s="1"/>
  <c r="Q6" i="11"/>
  <c r="P6" i="11"/>
  <c r="O6" i="11"/>
  <c r="C6" i="11"/>
  <c r="L6" i="11" s="1"/>
  <c r="Q5" i="11"/>
  <c r="P5" i="11"/>
  <c r="O5" i="11"/>
  <c r="C5" i="11"/>
  <c r="L5" i="11" s="1"/>
  <c r="F43" i="10"/>
  <c r="D43" i="10"/>
  <c r="C43" i="10"/>
  <c r="F42" i="10"/>
  <c r="D42" i="10"/>
  <c r="C42" i="10"/>
  <c r="F41" i="10"/>
  <c r="D41" i="10"/>
  <c r="Q30" i="10"/>
  <c r="P30" i="10"/>
  <c r="O30" i="10"/>
  <c r="H30" i="10"/>
  <c r="Q29" i="10"/>
  <c r="P29" i="10"/>
  <c r="O29" i="10"/>
  <c r="C29" i="10"/>
  <c r="H29" i="10" s="1"/>
  <c r="Q28" i="10"/>
  <c r="P28" i="10"/>
  <c r="O28" i="10"/>
  <c r="C28" i="10"/>
  <c r="H28" i="10" s="1"/>
  <c r="Q27" i="10"/>
  <c r="P27" i="10"/>
  <c r="O27" i="10"/>
  <c r="H27" i="10"/>
  <c r="Q23" i="10"/>
  <c r="P23" i="10"/>
  <c r="O23" i="10"/>
  <c r="C23" i="10"/>
  <c r="L23" i="10" s="1"/>
  <c r="Q22" i="10"/>
  <c r="P22" i="10"/>
  <c r="O22" i="10"/>
  <c r="C22" i="10"/>
  <c r="L22" i="10" s="1"/>
  <c r="Q21" i="10"/>
  <c r="P21" i="10"/>
  <c r="O21" i="10"/>
  <c r="C21" i="10"/>
  <c r="H21" i="10" s="1"/>
  <c r="Q20" i="10"/>
  <c r="P20" i="10"/>
  <c r="O20" i="10"/>
  <c r="C20" i="10"/>
  <c r="L20" i="10" s="1"/>
  <c r="Q16" i="10"/>
  <c r="P16" i="10"/>
  <c r="O16" i="10"/>
  <c r="C16" i="10"/>
  <c r="H16" i="10" s="1"/>
  <c r="Q15" i="10"/>
  <c r="P15" i="10"/>
  <c r="O15" i="10"/>
  <c r="C15" i="10"/>
  <c r="L15" i="10" s="1"/>
  <c r="Q14" i="10"/>
  <c r="P14" i="10"/>
  <c r="O14" i="10"/>
  <c r="L14" i="10"/>
  <c r="C14" i="10"/>
  <c r="H14" i="10" s="1"/>
  <c r="Q13" i="10"/>
  <c r="P13" i="10"/>
  <c r="O13" i="10"/>
  <c r="C13" i="10"/>
  <c r="L13" i="10" s="1"/>
  <c r="Q9" i="10"/>
  <c r="P9" i="10"/>
  <c r="O9" i="10"/>
  <c r="C9" i="10"/>
  <c r="L9" i="10" s="1"/>
  <c r="Q8" i="10"/>
  <c r="P8" i="10"/>
  <c r="O8" i="10"/>
  <c r="C8" i="10"/>
  <c r="H8" i="10" s="1"/>
  <c r="Q7" i="10"/>
  <c r="P7" i="10"/>
  <c r="O7" i="10"/>
  <c r="C7" i="10"/>
  <c r="L7" i="10" s="1"/>
  <c r="Q6" i="10"/>
  <c r="P6" i="10"/>
  <c r="O6" i="10"/>
  <c r="C6" i="10"/>
  <c r="L6" i="10" s="1"/>
  <c r="Q5" i="10"/>
  <c r="P5" i="10"/>
  <c r="P31" i="10" s="1"/>
  <c r="P33" i="10" s="1"/>
  <c r="D36" i="10" s="1"/>
  <c r="O5" i="10"/>
  <c r="C5" i="10"/>
  <c r="L5" i="10" s="1"/>
  <c r="F38" i="9"/>
  <c r="D38" i="9"/>
  <c r="C38" i="9"/>
  <c r="F37" i="9"/>
  <c r="D37" i="9"/>
  <c r="C37" i="9"/>
  <c r="F36" i="9"/>
  <c r="D36" i="9"/>
  <c r="Q30" i="9"/>
  <c r="P30" i="9"/>
  <c r="O30" i="9"/>
  <c r="Q29" i="9"/>
  <c r="P29" i="9"/>
  <c r="O29" i="9"/>
  <c r="Q28" i="9"/>
  <c r="P28" i="9"/>
  <c r="O28" i="9"/>
  <c r="C25" i="9"/>
  <c r="H25" i="9" s="1"/>
  <c r="Q27" i="9"/>
  <c r="P27" i="9"/>
  <c r="O27" i="9"/>
  <c r="Q23" i="9"/>
  <c r="P23" i="9"/>
  <c r="O23" i="9"/>
  <c r="Q22" i="9"/>
  <c r="P22" i="9"/>
  <c r="O22" i="9"/>
  <c r="C21" i="9"/>
  <c r="L21" i="9" s="1"/>
  <c r="Q21" i="9"/>
  <c r="P21" i="9"/>
  <c r="O21" i="9"/>
  <c r="C20" i="9"/>
  <c r="H20" i="9" s="1"/>
  <c r="Q20" i="9"/>
  <c r="P20" i="9"/>
  <c r="O20" i="9"/>
  <c r="C19" i="9"/>
  <c r="L19" i="9" s="1"/>
  <c r="Q16" i="9"/>
  <c r="P16" i="9"/>
  <c r="O16" i="9"/>
  <c r="Q15" i="9"/>
  <c r="P15" i="9"/>
  <c r="O15" i="9"/>
  <c r="C15" i="9"/>
  <c r="H15" i="9" s="1"/>
  <c r="Q14" i="9"/>
  <c r="P14" i="9"/>
  <c r="O14" i="9"/>
  <c r="C14" i="9"/>
  <c r="H14" i="9" s="1"/>
  <c r="Q13" i="9"/>
  <c r="P13" i="9"/>
  <c r="O13" i="9"/>
  <c r="C13" i="9"/>
  <c r="H13" i="9" s="1"/>
  <c r="Q9" i="9"/>
  <c r="P9" i="9"/>
  <c r="O9" i="9"/>
  <c r="C9" i="9"/>
  <c r="L9" i="9" s="1"/>
  <c r="Q8" i="9"/>
  <c r="P8" i="9"/>
  <c r="O8" i="9"/>
  <c r="C8" i="9"/>
  <c r="H8" i="9" s="1"/>
  <c r="Q7" i="9"/>
  <c r="P7" i="9"/>
  <c r="O7" i="9"/>
  <c r="C7" i="9"/>
  <c r="L7" i="9" s="1"/>
  <c r="Q6" i="9"/>
  <c r="P6" i="9"/>
  <c r="O6" i="9"/>
  <c r="C6" i="9"/>
  <c r="L6" i="9" s="1"/>
  <c r="Q5" i="9"/>
  <c r="P5" i="9"/>
  <c r="O5" i="9"/>
  <c r="C5" i="9"/>
  <c r="F43" i="8"/>
  <c r="D43" i="8"/>
  <c r="C43" i="8"/>
  <c r="F42" i="8"/>
  <c r="D42" i="8"/>
  <c r="C42" i="8"/>
  <c r="F41" i="8"/>
  <c r="D41" i="8"/>
  <c r="Q30" i="8"/>
  <c r="P30" i="8"/>
  <c r="O30" i="8"/>
  <c r="L30" i="8"/>
  <c r="Q29" i="8"/>
  <c r="P29" i="8"/>
  <c r="O29" i="8"/>
  <c r="L29" i="8"/>
  <c r="H29" i="8"/>
  <c r="Q28" i="8"/>
  <c r="P28" i="8"/>
  <c r="O28" i="8"/>
  <c r="L28" i="8"/>
  <c r="Q27" i="8"/>
  <c r="P27" i="8"/>
  <c r="O27" i="8"/>
  <c r="L27" i="8"/>
  <c r="Q23" i="8"/>
  <c r="P23" i="8"/>
  <c r="O23" i="8"/>
  <c r="H23" i="8"/>
  <c r="Q22" i="8"/>
  <c r="P22" i="8"/>
  <c r="O22" i="8"/>
  <c r="L22" i="8"/>
  <c r="Q21" i="8"/>
  <c r="P21" i="8"/>
  <c r="O21" i="8"/>
  <c r="L21" i="8"/>
  <c r="H21" i="8"/>
  <c r="Q20" i="8"/>
  <c r="P20" i="8"/>
  <c r="O20" i="8"/>
  <c r="Q16" i="8"/>
  <c r="P16" i="8"/>
  <c r="O16" i="8"/>
  <c r="L16" i="8"/>
  <c r="Q15" i="8"/>
  <c r="P15" i="8"/>
  <c r="O15" i="8"/>
  <c r="L15" i="8"/>
  <c r="Q14" i="8"/>
  <c r="P14" i="8"/>
  <c r="O14" i="8"/>
  <c r="Q13" i="8"/>
  <c r="P13" i="8"/>
  <c r="O13" i="8"/>
  <c r="L13" i="8"/>
  <c r="Q9" i="8"/>
  <c r="P9" i="8"/>
  <c r="O9" i="8"/>
  <c r="L9" i="8"/>
  <c r="Q8" i="8"/>
  <c r="P8" i="8"/>
  <c r="O8" i="8"/>
  <c r="Q7" i="8"/>
  <c r="P7" i="8"/>
  <c r="O7" i="8"/>
  <c r="L7" i="8"/>
  <c r="Q6" i="8"/>
  <c r="P6" i="8"/>
  <c r="O6" i="8"/>
  <c r="Q5" i="8"/>
  <c r="P5" i="8"/>
  <c r="O5" i="8"/>
  <c r="F43" i="7"/>
  <c r="D43" i="7"/>
  <c r="C43" i="7"/>
  <c r="F42" i="7"/>
  <c r="D42" i="7"/>
  <c r="C42" i="7"/>
  <c r="F41" i="7"/>
  <c r="D41" i="7"/>
  <c r="Q30" i="7"/>
  <c r="P30" i="7"/>
  <c r="O30" i="7"/>
  <c r="C30" i="7"/>
  <c r="H30" i="7" s="1"/>
  <c r="Q29" i="7"/>
  <c r="P29" i="7"/>
  <c r="O29" i="7"/>
  <c r="C29" i="7"/>
  <c r="H29" i="7" s="1"/>
  <c r="Q28" i="7"/>
  <c r="P28" i="7"/>
  <c r="O28" i="7"/>
  <c r="C28" i="7"/>
  <c r="L28" i="7" s="1"/>
  <c r="Q27" i="7"/>
  <c r="P27" i="7"/>
  <c r="O27" i="7"/>
  <c r="C27" i="7"/>
  <c r="H27" i="7" s="1"/>
  <c r="Q23" i="7"/>
  <c r="P23" i="7"/>
  <c r="O23" i="7"/>
  <c r="C23" i="7"/>
  <c r="H23" i="7" s="1"/>
  <c r="Q22" i="7"/>
  <c r="P22" i="7"/>
  <c r="O22" i="7"/>
  <c r="C22" i="7"/>
  <c r="L22" i="7" s="1"/>
  <c r="Q21" i="7"/>
  <c r="P21" i="7"/>
  <c r="O21" i="7"/>
  <c r="C21" i="7"/>
  <c r="H21" i="7" s="1"/>
  <c r="Q20" i="7"/>
  <c r="P20" i="7"/>
  <c r="O20" i="7"/>
  <c r="C20" i="7"/>
  <c r="L20" i="7" s="1"/>
  <c r="Q16" i="7"/>
  <c r="P16" i="7"/>
  <c r="O16" i="7"/>
  <c r="C16" i="7"/>
  <c r="H16" i="7" s="1"/>
  <c r="Q15" i="7"/>
  <c r="P15" i="7"/>
  <c r="O15" i="7"/>
  <c r="C15" i="7"/>
  <c r="L15" i="7" s="1"/>
  <c r="Q14" i="7"/>
  <c r="P14" i="7"/>
  <c r="O14" i="7"/>
  <c r="C14" i="7"/>
  <c r="H14" i="7" s="1"/>
  <c r="Q13" i="7"/>
  <c r="P13" i="7"/>
  <c r="O13" i="7"/>
  <c r="C13" i="7"/>
  <c r="H13" i="7" s="1"/>
  <c r="Q9" i="7"/>
  <c r="P9" i="7"/>
  <c r="O9" i="7"/>
  <c r="C9" i="7"/>
  <c r="L9" i="7" s="1"/>
  <c r="Q8" i="7"/>
  <c r="P8" i="7"/>
  <c r="O8" i="7"/>
  <c r="L8" i="7"/>
  <c r="C8" i="7"/>
  <c r="H8" i="7" s="1"/>
  <c r="Q7" i="7"/>
  <c r="P7" i="7"/>
  <c r="O7" i="7"/>
  <c r="C7" i="7"/>
  <c r="L7" i="7" s="1"/>
  <c r="Q6" i="7"/>
  <c r="P6" i="7"/>
  <c r="O6" i="7"/>
  <c r="C6" i="7"/>
  <c r="L6" i="7" s="1"/>
  <c r="Q5" i="7"/>
  <c r="P5" i="7"/>
  <c r="O5" i="7"/>
  <c r="C5" i="7"/>
  <c r="L5" i="7" s="1"/>
  <c r="F43" i="6"/>
  <c r="D43" i="6"/>
  <c r="C43" i="6"/>
  <c r="F42" i="6"/>
  <c r="D42" i="6"/>
  <c r="C42" i="6"/>
  <c r="F41" i="6"/>
  <c r="D41" i="6"/>
  <c r="Q30" i="6"/>
  <c r="P30" i="6"/>
  <c r="O30" i="6"/>
  <c r="H30" i="6"/>
  <c r="Q29" i="6"/>
  <c r="P29" i="6"/>
  <c r="O29" i="6"/>
  <c r="C29" i="6"/>
  <c r="H29" i="6" s="1"/>
  <c r="Q28" i="6"/>
  <c r="P28" i="6"/>
  <c r="O28" i="6"/>
  <c r="C28" i="6"/>
  <c r="H28" i="6" s="1"/>
  <c r="Q27" i="6"/>
  <c r="P27" i="6"/>
  <c r="O27" i="6"/>
  <c r="H27" i="6"/>
  <c r="Q23" i="6"/>
  <c r="P23" i="6"/>
  <c r="O23" i="6"/>
  <c r="C23" i="6"/>
  <c r="L23" i="6" s="1"/>
  <c r="Q22" i="6"/>
  <c r="P22" i="6"/>
  <c r="O22" i="6"/>
  <c r="C22" i="6"/>
  <c r="L22" i="6" s="1"/>
  <c r="Q21" i="6"/>
  <c r="P21" i="6"/>
  <c r="O21" i="6"/>
  <c r="C21" i="6"/>
  <c r="H21" i="6" s="1"/>
  <c r="Q20" i="6"/>
  <c r="P20" i="6"/>
  <c r="O20" i="6"/>
  <c r="C20" i="6"/>
  <c r="L20" i="6" s="1"/>
  <c r="Q16" i="6"/>
  <c r="P16" i="6"/>
  <c r="O16" i="6"/>
  <c r="C16" i="6"/>
  <c r="H16" i="6" s="1"/>
  <c r="Q15" i="6"/>
  <c r="P15" i="6"/>
  <c r="O15" i="6"/>
  <c r="C15" i="6"/>
  <c r="L15" i="6" s="1"/>
  <c r="Q14" i="6"/>
  <c r="P14" i="6"/>
  <c r="O14" i="6"/>
  <c r="C14" i="6"/>
  <c r="H14" i="6" s="1"/>
  <c r="Q13" i="6"/>
  <c r="P13" i="6"/>
  <c r="O13" i="6"/>
  <c r="C13" i="6"/>
  <c r="L13" i="6" s="1"/>
  <c r="Q9" i="6"/>
  <c r="P9" i="6"/>
  <c r="O9" i="6"/>
  <c r="C9" i="6"/>
  <c r="L9" i="6" s="1"/>
  <c r="Q8" i="6"/>
  <c r="P8" i="6"/>
  <c r="O8" i="6"/>
  <c r="C8" i="6"/>
  <c r="H8" i="6" s="1"/>
  <c r="Q7" i="6"/>
  <c r="P7" i="6"/>
  <c r="O7" i="6"/>
  <c r="C7" i="6"/>
  <c r="L7" i="6" s="1"/>
  <c r="Q6" i="6"/>
  <c r="P6" i="6"/>
  <c r="O6" i="6"/>
  <c r="C6" i="6"/>
  <c r="L6" i="6" s="1"/>
  <c r="Q5" i="6"/>
  <c r="P5" i="6"/>
  <c r="O5" i="6"/>
  <c r="C5" i="6"/>
  <c r="L5" i="6" s="1"/>
  <c r="F43" i="5"/>
  <c r="D43" i="5"/>
  <c r="C43" i="5"/>
  <c r="F42" i="5"/>
  <c r="D42" i="5"/>
  <c r="C42" i="5"/>
  <c r="F41" i="5"/>
  <c r="D41" i="5"/>
  <c r="Q30" i="5"/>
  <c r="P30" i="5"/>
  <c r="O30" i="5"/>
  <c r="H30" i="5"/>
  <c r="Q29" i="5"/>
  <c r="P29" i="5"/>
  <c r="O29" i="5"/>
  <c r="C29" i="5"/>
  <c r="H29" i="5" s="1"/>
  <c r="Q28" i="5"/>
  <c r="P28" i="5"/>
  <c r="O28" i="5"/>
  <c r="C28" i="5"/>
  <c r="H28" i="5" s="1"/>
  <c r="Q27" i="5"/>
  <c r="P27" i="5"/>
  <c r="O27" i="5"/>
  <c r="L27" i="5"/>
  <c r="H27" i="5"/>
  <c r="Q23" i="5"/>
  <c r="P23" i="5"/>
  <c r="O23" i="5"/>
  <c r="C23" i="5"/>
  <c r="L23" i="5" s="1"/>
  <c r="Q22" i="5"/>
  <c r="P22" i="5"/>
  <c r="O22" i="5"/>
  <c r="C22" i="5"/>
  <c r="L22" i="5" s="1"/>
  <c r="Q21" i="5"/>
  <c r="P21" i="5"/>
  <c r="O21" i="5"/>
  <c r="C21" i="5"/>
  <c r="H21" i="5" s="1"/>
  <c r="Q20" i="5"/>
  <c r="P20" i="5"/>
  <c r="O20" i="5"/>
  <c r="C20" i="5"/>
  <c r="L20" i="5" s="1"/>
  <c r="Q16" i="5"/>
  <c r="P16" i="5"/>
  <c r="O16" i="5"/>
  <c r="C16" i="5"/>
  <c r="L16" i="5" s="1"/>
  <c r="Q15" i="5"/>
  <c r="P15" i="5"/>
  <c r="O15" i="5"/>
  <c r="C15" i="5"/>
  <c r="H15" i="5" s="1"/>
  <c r="Q14" i="5"/>
  <c r="P14" i="5"/>
  <c r="O14" i="5"/>
  <c r="C14" i="5"/>
  <c r="H14" i="5" s="1"/>
  <c r="Q13" i="5"/>
  <c r="P13" i="5"/>
  <c r="O13" i="5"/>
  <c r="C13" i="5"/>
  <c r="L13" i="5" s="1"/>
  <c r="Q9" i="5"/>
  <c r="P9" i="5"/>
  <c r="O9" i="5"/>
  <c r="C9" i="5"/>
  <c r="L9" i="5" s="1"/>
  <c r="Q8" i="5"/>
  <c r="P8" i="5"/>
  <c r="O8" i="5"/>
  <c r="C8" i="5"/>
  <c r="L8" i="5" s="1"/>
  <c r="Q7" i="5"/>
  <c r="P7" i="5"/>
  <c r="O7" i="5"/>
  <c r="C7" i="5"/>
  <c r="L7" i="5" s="1"/>
  <c r="Q6" i="5"/>
  <c r="P6" i="5"/>
  <c r="O6" i="5"/>
  <c r="C6" i="5"/>
  <c r="H6" i="5" s="1"/>
  <c r="Q5" i="5"/>
  <c r="P5" i="5"/>
  <c r="O5" i="5"/>
  <c r="C5" i="5"/>
  <c r="L5" i="5" s="1"/>
  <c r="F43" i="4"/>
  <c r="D43" i="4"/>
  <c r="C43" i="4"/>
  <c r="F42" i="4"/>
  <c r="D42" i="4"/>
  <c r="C42" i="4"/>
  <c r="F41" i="4"/>
  <c r="D41" i="4"/>
  <c r="Q30" i="4"/>
  <c r="P30" i="4"/>
  <c r="O30" i="4"/>
  <c r="H30" i="4"/>
  <c r="Q29" i="4"/>
  <c r="P29" i="4"/>
  <c r="O29" i="4"/>
  <c r="H29" i="4"/>
  <c r="Q28" i="4"/>
  <c r="P28" i="4"/>
  <c r="O28" i="4"/>
  <c r="C28" i="4"/>
  <c r="H28" i="4" s="1"/>
  <c r="Q27" i="4"/>
  <c r="P27" i="4"/>
  <c r="O27" i="4"/>
  <c r="Q23" i="4"/>
  <c r="P23" i="4"/>
  <c r="O23" i="4"/>
  <c r="C23" i="4"/>
  <c r="L23" i="4" s="1"/>
  <c r="Q22" i="4"/>
  <c r="P22" i="4"/>
  <c r="O22" i="4"/>
  <c r="C22" i="4"/>
  <c r="L22" i="4" s="1"/>
  <c r="Q21" i="4"/>
  <c r="P21" i="4"/>
  <c r="O21" i="4"/>
  <c r="C21" i="4"/>
  <c r="H21" i="4" s="1"/>
  <c r="Q20" i="4"/>
  <c r="P20" i="4"/>
  <c r="O20" i="4"/>
  <c r="C20" i="4"/>
  <c r="L20" i="4" s="1"/>
  <c r="Q16" i="4"/>
  <c r="P16" i="4"/>
  <c r="O16" i="4"/>
  <c r="C16" i="4"/>
  <c r="H16" i="4" s="1"/>
  <c r="Q15" i="4"/>
  <c r="P15" i="4"/>
  <c r="O15" i="4"/>
  <c r="C15" i="4"/>
  <c r="H15" i="4" s="1"/>
  <c r="Q14" i="4"/>
  <c r="P14" i="4"/>
  <c r="O14" i="4"/>
  <c r="C14" i="4"/>
  <c r="H14" i="4" s="1"/>
  <c r="Q13" i="4"/>
  <c r="P13" i="4"/>
  <c r="O13" i="4"/>
  <c r="C13" i="4"/>
  <c r="H13" i="4" s="1"/>
  <c r="C18" i="4" s="1"/>
  <c r="Q9" i="4"/>
  <c r="P9" i="4"/>
  <c r="O9" i="4"/>
  <c r="L9" i="4"/>
  <c r="Q8" i="4"/>
  <c r="P8" i="4"/>
  <c r="O8" i="4"/>
  <c r="L8" i="4"/>
  <c r="C8" i="4"/>
  <c r="H8" i="4" s="1"/>
  <c r="Q7" i="4"/>
  <c r="P7" i="4"/>
  <c r="O7" i="4"/>
  <c r="C7" i="4"/>
  <c r="L7" i="4" s="1"/>
  <c r="Q6" i="4"/>
  <c r="P6" i="4"/>
  <c r="O6" i="4"/>
  <c r="C6" i="4"/>
  <c r="L6" i="4" s="1"/>
  <c r="Q5" i="4"/>
  <c r="P5" i="4"/>
  <c r="O5" i="4"/>
  <c r="O31" i="4" s="1"/>
  <c r="O33" i="4" s="1"/>
  <c r="C36" i="4" s="1"/>
  <c r="C5" i="4"/>
  <c r="L5" i="4" s="1"/>
  <c r="F43" i="3"/>
  <c r="D43" i="3"/>
  <c r="C43" i="3"/>
  <c r="F42" i="3"/>
  <c r="D42" i="3"/>
  <c r="C42" i="3"/>
  <c r="F41" i="3"/>
  <c r="D41" i="3"/>
  <c r="Q30" i="3"/>
  <c r="P30" i="3"/>
  <c r="O30" i="3"/>
  <c r="L30" i="3"/>
  <c r="Q29" i="3"/>
  <c r="P29" i="3"/>
  <c r="O29" i="3"/>
  <c r="C29" i="3"/>
  <c r="H29" i="3" s="1"/>
  <c r="Q28" i="3"/>
  <c r="P28" i="3"/>
  <c r="O28" i="3"/>
  <c r="C28" i="3"/>
  <c r="L28" i="3" s="1"/>
  <c r="Q27" i="3"/>
  <c r="P27" i="3"/>
  <c r="O27" i="3"/>
  <c r="H27" i="3"/>
  <c r="Q23" i="3"/>
  <c r="P23" i="3"/>
  <c r="O23" i="3"/>
  <c r="C23" i="3"/>
  <c r="L23" i="3" s="1"/>
  <c r="Q22" i="3"/>
  <c r="P22" i="3"/>
  <c r="O22" i="3"/>
  <c r="C22" i="3"/>
  <c r="L22" i="3" s="1"/>
  <c r="Q21" i="3"/>
  <c r="P21" i="3"/>
  <c r="O21" i="3"/>
  <c r="C21" i="3"/>
  <c r="H21" i="3" s="1"/>
  <c r="Q20" i="3"/>
  <c r="P20" i="3"/>
  <c r="O20" i="3"/>
  <c r="C20" i="3"/>
  <c r="L20" i="3" s="1"/>
  <c r="Q16" i="3"/>
  <c r="P16" i="3"/>
  <c r="O16" i="3"/>
  <c r="C16" i="3"/>
  <c r="H16" i="3" s="1"/>
  <c r="Q15" i="3"/>
  <c r="P15" i="3"/>
  <c r="O15" i="3"/>
  <c r="C15" i="3"/>
  <c r="L15" i="3" s="1"/>
  <c r="Q14" i="3"/>
  <c r="P14" i="3"/>
  <c r="O14" i="3"/>
  <c r="C14" i="3"/>
  <c r="H14" i="3" s="1"/>
  <c r="Q13" i="3"/>
  <c r="P13" i="3"/>
  <c r="O13" i="3"/>
  <c r="C13" i="3"/>
  <c r="L13" i="3" s="1"/>
  <c r="Q9" i="3"/>
  <c r="P9" i="3"/>
  <c r="O9" i="3"/>
  <c r="C9" i="3"/>
  <c r="L9" i="3" s="1"/>
  <c r="Q8" i="3"/>
  <c r="P8" i="3"/>
  <c r="O8" i="3"/>
  <c r="C8" i="3"/>
  <c r="H8" i="3" s="1"/>
  <c r="Q7" i="3"/>
  <c r="P7" i="3"/>
  <c r="O7" i="3"/>
  <c r="C7" i="3"/>
  <c r="L7" i="3" s="1"/>
  <c r="Q6" i="3"/>
  <c r="P6" i="3"/>
  <c r="O6" i="3"/>
  <c r="C6" i="3"/>
  <c r="H6" i="3" s="1"/>
  <c r="Q5" i="3"/>
  <c r="P5" i="3"/>
  <c r="O5" i="3"/>
  <c r="C5" i="3"/>
  <c r="L5" i="3" s="1"/>
  <c r="F43" i="2"/>
  <c r="D43" i="2"/>
  <c r="C43" i="2"/>
  <c r="F42" i="2"/>
  <c r="D42" i="2"/>
  <c r="C42" i="2"/>
  <c r="F41" i="2"/>
  <c r="D41" i="2"/>
  <c r="Q30" i="2"/>
  <c r="P30" i="2"/>
  <c r="O30" i="2"/>
  <c r="L30" i="2"/>
  <c r="Q29" i="2"/>
  <c r="P29" i="2"/>
  <c r="O29" i="2"/>
  <c r="C29" i="2"/>
  <c r="H29" i="2" s="1"/>
  <c r="Q28" i="2"/>
  <c r="P28" i="2"/>
  <c r="O28" i="2"/>
  <c r="H28" i="2"/>
  <c r="C28" i="2"/>
  <c r="L28" i="2" s="1"/>
  <c r="Q27" i="2"/>
  <c r="P27" i="2"/>
  <c r="O27" i="2"/>
  <c r="L27" i="2"/>
  <c r="Q23" i="2"/>
  <c r="P23" i="2"/>
  <c r="O23" i="2"/>
  <c r="C23" i="2"/>
  <c r="H23" i="2" s="1"/>
  <c r="Q22" i="2"/>
  <c r="P22" i="2"/>
  <c r="O22" i="2"/>
  <c r="C22" i="2"/>
  <c r="L22" i="2" s="1"/>
  <c r="Q21" i="2"/>
  <c r="P21" i="2"/>
  <c r="O21" i="2"/>
  <c r="C21" i="2"/>
  <c r="H21" i="2" s="1"/>
  <c r="Q20" i="2"/>
  <c r="P20" i="2"/>
  <c r="O20" i="2"/>
  <c r="C20" i="2"/>
  <c r="L20" i="2" s="1"/>
  <c r="Q16" i="2"/>
  <c r="P16" i="2"/>
  <c r="O16" i="2"/>
  <c r="C16" i="2"/>
  <c r="L16" i="2" s="1"/>
  <c r="Q15" i="2"/>
  <c r="P15" i="2"/>
  <c r="O15" i="2"/>
  <c r="C15" i="2"/>
  <c r="L15" i="2" s="1"/>
  <c r="Q14" i="2"/>
  <c r="P14" i="2"/>
  <c r="O14" i="2"/>
  <c r="C14" i="2"/>
  <c r="H14" i="2" s="1"/>
  <c r="Q13" i="2"/>
  <c r="P13" i="2"/>
  <c r="O13" i="2"/>
  <c r="C13" i="2"/>
  <c r="L13" i="2" s="1"/>
  <c r="Q9" i="2"/>
  <c r="P9" i="2"/>
  <c r="O9" i="2"/>
  <c r="C9" i="2"/>
  <c r="L9" i="2" s="1"/>
  <c r="Q8" i="2"/>
  <c r="P8" i="2"/>
  <c r="O8" i="2"/>
  <c r="C8" i="2"/>
  <c r="H8" i="2" s="1"/>
  <c r="Q7" i="2"/>
  <c r="P7" i="2"/>
  <c r="O7" i="2"/>
  <c r="C7" i="2"/>
  <c r="L7" i="2" s="1"/>
  <c r="Q6" i="2"/>
  <c r="P6" i="2"/>
  <c r="O6" i="2"/>
  <c r="C6" i="2"/>
  <c r="H6" i="2" s="1"/>
  <c r="Q5" i="2"/>
  <c r="P5" i="2"/>
  <c r="O5" i="2"/>
  <c r="C5" i="2"/>
  <c r="L5" i="2" s="1"/>
  <c r="C29" i="1"/>
  <c r="L29" i="1" s="1"/>
  <c r="P29" i="1"/>
  <c r="P27" i="1"/>
  <c r="P21" i="1"/>
  <c r="P22" i="1"/>
  <c r="P23" i="1"/>
  <c r="P20" i="1"/>
  <c r="P14" i="1"/>
  <c r="P15" i="1"/>
  <c r="P16" i="1"/>
  <c r="P13" i="1"/>
  <c r="P6" i="1"/>
  <c r="P7" i="1"/>
  <c r="P8" i="1"/>
  <c r="P9" i="1"/>
  <c r="P5" i="1"/>
  <c r="F43" i="1"/>
  <c r="D43" i="1"/>
  <c r="C43" i="1"/>
  <c r="F42" i="1"/>
  <c r="D42" i="1"/>
  <c r="C42" i="1"/>
  <c r="F41" i="1"/>
  <c r="D41" i="1"/>
  <c r="Q30" i="1"/>
  <c r="O30" i="1"/>
  <c r="L30" i="1"/>
  <c r="Q29" i="1"/>
  <c r="O29" i="1"/>
  <c r="Q28" i="1"/>
  <c r="O28" i="1"/>
  <c r="C28" i="1"/>
  <c r="L28" i="1" s="1"/>
  <c r="Q27" i="1"/>
  <c r="O27" i="1"/>
  <c r="L27" i="1"/>
  <c r="Q23" i="1"/>
  <c r="O23" i="1"/>
  <c r="C23" i="1"/>
  <c r="H23" i="1" s="1"/>
  <c r="Q22" i="1"/>
  <c r="O22" i="1"/>
  <c r="C22" i="1"/>
  <c r="H22" i="1" s="1"/>
  <c r="Q21" i="1"/>
  <c r="O21" i="1"/>
  <c r="C21" i="1"/>
  <c r="H21" i="1" s="1"/>
  <c r="Q20" i="1"/>
  <c r="O20" i="1"/>
  <c r="C20" i="1"/>
  <c r="H20" i="1" s="1"/>
  <c r="Q16" i="1"/>
  <c r="O16" i="1"/>
  <c r="C16" i="1"/>
  <c r="L16" i="1" s="1"/>
  <c r="Q15" i="1"/>
  <c r="O15" i="1"/>
  <c r="C15" i="1"/>
  <c r="L15" i="1" s="1"/>
  <c r="Q14" i="1"/>
  <c r="O14" i="1"/>
  <c r="C14" i="1"/>
  <c r="H14" i="1" s="1"/>
  <c r="Q13" i="1"/>
  <c r="O13" i="1"/>
  <c r="C13" i="1"/>
  <c r="L13" i="1" s="1"/>
  <c r="Q9" i="1"/>
  <c r="O9" i="1"/>
  <c r="C9" i="1"/>
  <c r="H9" i="1" s="1"/>
  <c r="Q8" i="1"/>
  <c r="O8" i="1"/>
  <c r="C8" i="1"/>
  <c r="H8" i="1" s="1"/>
  <c r="Q7" i="1"/>
  <c r="O7" i="1"/>
  <c r="C7" i="1"/>
  <c r="H7" i="1" s="1"/>
  <c r="Q6" i="1"/>
  <c r="O6" i="1"/>
  <c r="C6" i="1"/>
  <c r="H6" i="1" s="1"/>
  <c r="Q5" i="1"/>
  <c r="O5" i="1"/>
  <c r="C5" i="1"/>
  <c r="H5" i="1" s="1"/>
  <c r="C32" i="10" l="1"/>
  <c r="L21" i="4"/>
  <c r="L8" i="11"/>
  <c r="L21" i="12"/>
  <c r="L16" i="13"/>
  <c r="L21" i="18"/>
  <c r="L14" i="7"/>
  <c r="C17" i="9"/>
  <c r="L14" i="5"/>
  <c r="L21" i="6"/>
  <c r="L29" i="7"/>
  <c r="O31" i="8"/>
  <c r="O33" i="8" s="1"/>
  <c r="C36" i="8" s="1"/>
  <c r="L20" i="9"/>
  <c r="P31" i="11"/>
  <c r="P33" i="11" s="1"/>
  <c r="D36" i="11" s="1"/>
  <c r="L21" i="11"/>
  <c r="Q31" i="12"/>
  <c r="Q33" i="12" s="1"/>
  <c r="E36" i="12" s="1"/>
  <c r="H29" i="12"/>
  <c r="L29" i="13"/>
  <c r="H6" i="20"/>
  <c r="L8" i="3"/>
  <c r="H6" i="8"/>
  <c r="L14" i="3"/>
  <c r="O31" i="2"/>
  <c r="O33" i="2" s="1"/>
  <c r="C36" i="2" s="1"/>
  <c r="L14" i="2"/>
  <c r="L29" i="3"/>
  <c r="L21" i="5"/>
  <c r="H6" i="7"/>
  <c r="P31" i="8"/>
  <c r="P33" i="8" s="1"/>
  <c r="D36" i="8" s="1"/>
  <c r="P31" i="9"/>
  <c r="P33" i="9" s="1"/>
  <c r="O31" i="10"/>
  <c r="O33" i="10" s="1"/>
  <c r="C36" i="10" s="1"/>
  <c r="L8" i="10"/>
  <c r="L6" i="12"/>
  <c r="H6" i="15"/>
  <c r="L8" i="17"/>
  <c r="O31" i="13"/>
  <c r="O33" i="13" s="1"/>
  <c r="C36" i="13" s="1"/>
  <c r="L14" i="13"/>
  <c r="C32" i="13"/>
  <c r="L23" i="13"/>
  <c r="P31" i="13"/>
  <c r="P33" i="13" s="1"/>
  <c r="D36" i="13" s="1"/>
  <c r="H23" i="14"/>
  <c r="L14" i="14"/>
  <c r="L29" i="14"/>
  <c r="P31" i="14"/>
  <c r="P33" i="14" s="1"/>
  <c r="D36" i="14" s="1"/>
  <c r="L16" i="14"/>
  <c r="L6" i="14"/>
  <c r="L29" i="15"/>
  <c r="H21" i="15"/>
  <c r="H23" i="15"/>
  <c r="O31" i="15"/>
  <c r="O33" i="15" s="1"/>
  <c r="C36" i="15" s="1"/>
  <c r="H30" i="15"/>
  <c r="C32" i="15" s="1"/>
  <c r="H8" i="15"/>
  <c r="P31" i="15"/>
  <c r="P33" i="15" s="1"/>
  <c r="D36" i="15" s="1"/>
  <c r="L21" i="16"/>
  <c r="P31" i="16"/>
  <c r="P33" i="16" s="1"/>
  <c r="D36" i="16" s="1"/>
  <c r="L27" i="16"/>
  <c r="O31" i="16"/>
  <c r="O33" i="16" s="1"/>
  <c r="C36" i="16" s="1"/>
  <c r="H8" i="16"/>
  <c r="O31" i="17"/>
  <c r="O33" i="17" s="1"/>
  <c r="C36" i="17" s="1"/>
  <c r="P31" i="17"/>
  <c r="P33" i="17" s="1"/>
  <c r="D36" i="17" s="1"/>
  <c r="L16" i="17"/>
  <c r="L27" i="18"/>
  <c r="O31" i="18"/>
  <c r="O33" i="18" s="1"/>
  <c r="C36" i="18" s="1"/>
  <c r="L29" i="18"/>
  <c r="L8" i="18"/>
  <c r="P31" i="18"/>
  <c r="P33" i="18" s="1"/>
  <c r="D36" i="18" s="1"/>
  <c r="L23" i="19"/>
  <c r="O31" i="19"/>
  <c r="O33" i="19" s="1"/>
  <c r="C36" i="19" s="1"/>
  <c r="L29" i="19"/>
  <c r="L16" i="19"/>
  <c r="L8" i="19"/>
  <c r="P31" i="19"/>
  <c r="P33" i="19" s="1"/>
  <c r="D36" i="19" s="1"/>
  <c r="O31" i="20"/>
  <c r="O33" i="20" s="1"/>
  <c r="C36" i="20" s="1"/>
  <c r="H21" i="20"/>
  <c r="H23" i="20"/>
  <c r="L14" i="20"/>
  <c r="P31" i="20"/>
  <c r="P33" i="20" s="1"/>
  <c r="D36" i="20" s="1"/>
  <c r="H8" i="20"/>
  <c r="C32" i="20"/>
  <c r="L29" i="20"/>
  <c r="Q31" i="20"/>
  <c r="Q33" i="20" s="1"/>
  <c r="E36" i="20" s="1"/>
  <c r="L16" i="20"/>
  <c r="L27" i="19"/>
  <c r="H30" i="19"/>
  <c r="C32" i="19" s="1"/>
  <c r="H21" i="19"/>
  <c r="H14" i="19"/>
  <c r="H6" i="19"/>
  <c r="Q31" i="19"/>
  <c r="Q33" i="19" s="1"/>
  <c r="E36" i="19" s="1"/>
  <c r="H23" i="18"/>
  <c r="L14" i="18"/>
  <c r="L16" i="18"/>
  <c r="H6" i="18"/>
  <c r="Q31" i="18"/>
  <c r="Q33" i="18" s="1"/>
  <c r="E36" i="18" s="1"/>
  <c r="H21" i="17"/>
  <c r="H14" i="17"/>
  <c r="H6" i="17"/>
  <c r="C32" i="16"/>
  <c r="H23" i="16"/>
  <c r="Q31" i="16"/>
  <c r="Q33" i="16" s="1"/>
  <c r="E36" i="16" s="1"/>
  <c r="L14" i="16"/>
  <c r="L16" i="16"/>
  <c r="H6" i="16"/>
  <c r="Q31" i="15"/>
  <c r="Q33" i="15" s="1"/>
  <c r="E36" i="15" s="1"/>
  <c r="L16" i="15"/>
  <c r="L27" i="14"/>
  <c r="H30" i="14"/>
  <c r="C32" i="14" s="1"/>
  <c r="H21" i="14"/>
  <c r="H8" i="14"/>
  <c r="Q31" i="14"/>
  <c r="Q33" i="14" s="1"/>
  <c r="E36" i="14" s="1"/>
  <c r="L27" i="13"/>
  <c r="Q31" i="13"/>
  <c r="Q33" i="13" s="1"/>
  <c r="E36" i="13" s="1"/>
  <c r="H21" i="13"/>
  <c r="L6" i="13"/>
  <c r="L27" i="12"/>
  <c r="H23" i="12"/>
  <c r="H16" i="12"/>
  <c r="C18" i="12" s="1"/>
  <c r="O31" i="12"/>
  <c r="O33" i="12" s="1"/>
  <c r="C36" i="12" s="1"/>
  <c r="H8" i="12"/>
  <c r="L29" i="11"/>
  <c r="H23" i="11"/>
  <c r="L14" i="11"/>
  <c r="Q31" i="11"/>
  <c r="Q33" i="11" s="1"/>
  <c r="E36" i="11" s="1"/>
  <c r="H27" i="11"/>
  <c r="C32" i="11" s="1"/>
  <c r="L16" i="11"/>
  <c r="O31" i="11"/>
  <c r="O33" i="11" s="1"/>
  <c r="C36" i="11" s="1"/>
  <c r="H6" i="11"/>
  <c r="L29" i="10"/>
  <c r="L21" i="10"/>
  <c r="Q31" i="10"/>
  <c r="Q33" i="10" s="1"/>
  <c r="E36" i="10" s="1"/>
  <c r="L27" i="10"/>
  <c r="H23" i="10"/>
  <c r="L16" i="10"/>
  <c r="H6" i="10"/>
  <c r="Q31" i="9"/>
  <c r="Q33" i="9" s="1"/>
  <c r="L14" i="9"/>
  <c r="O31" i="9"/>
  <c r="O33" i="9" s="1"/>
  <c r="H6" i="9"/>
  <c r="H14" i="8"/>
  <c r="H8" i="8"/>
  <c r="H27" i="8"/>
  <c r="Q31" i="8"/>
  <c r="Q33" i="8" s="1"/>
  <c r="E36" i="8" s="1"/>
  <c r="H30" i="8"/>
  <c r="C32" i="8" s="1"/>
  <c r="L23" i="8"/>
  <c r="H13" i="8"/>
  <c r="H16" i="8"/>
  <c r="L21" i="7"/>
  <c r="O31" i="7"/>
  <c r="O33" i="7" s="1"/>
  <c r="C36" i="7" s="1"/>
  <c r="P31" i="7"/>
  <c r="P33" i="7" s="1"/>
  <c r="D36" i="7" s="1"/>
  <c r="L27" i="7"/>
  <c r="L23" i="7"/>
  <c r="L16" i="7"/>
  <c r="Q31" i="7"/>
  <c r="Q33" i="7" s="1"/>
  <c r="E36" i="7" s="1"/>
  <c r="L27" i="6"/>
  <c r="O31" i="6"/>
  <c r="O33" i="6" s="1"/>
  <c r="C36" i="6" s="1"/>
  <c r="L14" i="6"/>
  <c r="H23" i="6"/>
  <c r="P31" i="6"/>
  <c r="P33" i="6" s="1"/>
  <c r="D36" i="6" s="1"/>
  <c r="L8" i="6"/>
  <c r="L29" i="6"/>
  <c r="L16" i="6"/>
  <c r="H6" i="6"/>
  <c r="Q31" i="6"/>
  <c r="Q33" i="6" s="1"/>
  <c r="E36" i="6" s="1"/>
  <c r="C32" i="6"/>
  <c r="O31" i="5"/>
  <c r="O33" i="5" s="1"/>
  <c r="C36" i="5" s="1"/>
  <c r="H23" i="5"/>
  <c r="P31" i="5"/>
  <c r="P33" i="5" s="1"/>
  <c r="D36" i="5" s="1"/>
  <c r="L6" i="5"/>
  <c r="L29" i="5"/>
  <c r="H16" i="5"/>
  <c r="Q31" i="5"/>
  <c r="Q33" i="5" s="1"/>
  <c r="E36" i="5" s="1"/>
  <c r="H8" i="5"/>
  <c r="L27" i="4"/>
  <c r="P31" i="4"/>
  <c r="P33" i="4" s="1"/>
  <c r="D36" i="4" s="1"/>
  <c r="L14" i="4"/>
  <c r="C32" i="4"/>
  <c r="L29" i="4"/>
  <c r="H23" i="4"/>
  <c r="L16" i="4"/>
  <c r="H6" i="4"/>
  <c r="Q31" i="4"/>
  <c r="Q33" i="4" s="1"/>
  <c r="E36" i="4" s="1"/>
  <c r="O31" i="3"/>
  <c r="O33" i="3" s="1"/>
  <c r="C36" i="3" s="1"/>
  <c r="L21" i="3"/>
  <c r="P31" i="3"/>
  <c r="P33" i="3" s="1"/>
  <c r="D36" i="3" s="1"/>
  <c r="L27" i="3"/>
  <c r="H23" i="3"/>
  <c r="L16" i="3"/>
  <c r="L6" i="3"/>
  <c r="Q31" i="3"/>
  <c r="Q33" i="3" s="1"/>
  <c r="E36" i="3" s="1"/>
  <c r="L6" i="2"/>
  <c r="P31" i="2"/>
  <c r="P33" i="2" s="1"/>
  <c r="D36" i="2" s="1"/>
  <c r="L29" i="2"/>
  <c r="O31" i="1"/>
  <c r="O33" i="1" s="1"/>
  <c r="C36" i="1" s="1"/>
  <c r="H27" i="1"/>
  <c r="H29" i="1"/>
  <c r="H28" i="1"/>
  <c r="L20" i="1"/>
  <c r="H16" i="1"/>
  <c r="L14" i="1"/>
  <c r="H13" i="1"/>
  <c r="C18" i="1" s="1"/>
  <c r="L7" i="1"/>
  <c r="H13" i="20"/>
  <c r="C18" i="20" s="1"/>
  <c r="H5" i="20"/>
  <c r="H7" i="20"/>
  <c r="H9" i="20"/>
  <c r="L15" i="20"/>
  <c r="H20" i="20"/>
  <c r="H22" i="20"/>
  <c r="L28" i="20"/>
  <c r="L30" i="20"/>
  <c r="C18" i="19"/>
  <c r="H5" i="19"/>
  <c r="H7" i="19"/>
  <c r="H9" i="19"/>
  <c r="L13" i="19"/>
  <c r="L15" i="19"/>
  <c r="H20" i="19"/>
  <c r="H22" i="19"/>
  <c r="L28" i="19"/>
  <c r="H13" i="18"/>
  <c r="H15" i="18"/>
  <c r="H28" i="18"/>
  <c r="C32" i="18" s="1"/>
  <c r="H5" i="18"/>
  <c r="H7" i="18"/>
  <c r="H9" i="18"/>
  <c r="H20" i="18"/>
  <c r="H22" i="18"/>
  <c r="L30" i="18"/>
  <c r="H13" i="17"/>
  <c r="H15" i="17"/>
  <c r="H5" i="17"/>
  <c r="H7" i="17"/>
  <c r="H9" i="17"/>
  <c r="H20" i="17"/>
  <c r="H22" i="17"/>
  <c r="H13" i="16"/>
  <c r="H15" i="16"/>
  <c r="H5" i="16"/>
  <c r="H7" i="16"/>
  <c r="H9" i="16"/>
  <c r="H20" i="16"/>
  <c r="H22" i="16"/>
  <c r="L28" i="16"/>
  <c r="L30" i="16"/>
  <c r="H15" i="15"/>
  <c r="C18" i="15" s="1"/>
  <c r="H5" i="15"/>
  <c r="H7" i="15"/>
  <c r="H9" i="15"/>
  <c r="L13" i="15"/>
  <c r="H20" i="15"/>
  <c r="H22" i="15"/>
  <c r="L28" i="15"/>
  <c r="H5" i="14"/>
  <c r="H7" i="14"/>
  <c r="H9" i="14"/>
  <c r="L13" i="14"/>
  <c r="L15" i="14"/>
  <c r="H20" i="14"/>
  <c r="H22" i="14"/>
  <c r="L28" i="14"/>
  <c r="H13" i="13"/>
  <c r="H15" i="13"/>
  <c r="H5" i="13"/>
  <c r="H7" i="13"/>
  <c r="H9" i="13"/>
  <c r="H20" i="13"/>
  <c r="H22" i="13"/>
  <c r="L28" i="13"/>
  <c r="L30" i="13"/>
  <c r="H28" i="12"/>
  <c r="H30" i="12"/>
  <c r="H5" i="12"/>
  <c r="H7" i="12"/>
  <c r="H9" i="12"/>
  <c r="L13" i="12"/>
  <c r="L15" i="12"/>
  <c r="H20" i="12"/>
  <c r="H22" i="12"/>
  <c r="H5" i="11"/>
  <c r="H7" i="11"/>
  <c r="H9" i="11"/>
  <c r="L13" i="11"/>
  <c r="L15" i="11"/>
  <c r="H20" i="11"/>
  <c r="H22" i="11"/>
  <c r="L28" i="11"/>
  <c r="L30" i="11"/>
  <c r="H13" i="10"/>
  <c r="H15" i="10"/>
  <c r="H5" i="10"/>
  <c r="H7" i="10"/>
  <c r="H9" i="10"/>
  <c r="H20" i="10"/>
  <c r="H22" i="10"/>
  <c r="L28" i="10"/>
  <c r="L30" i="10"/>
  <c r="C27" i="9"/>
  <c r="H5" i="9"/>
  <c r="H7" i="9"/>
  <c r="H9" i="9"/>
  <c r="L13" i="9"/>
  <c r="L15" i="9"/>
  <c r="H19" i="9"/>
  <c r="H21" i="9"/>
  <c r="L25" i="9"/>
  <c r="H5" i="8"/>
  <c r="H7" i="8"/>
  <c r="H9" i="8"/>
  <c r="H20" i="8"/>
  <c r="H22" i="8"/>
  <c r="H15" i="7"/>
  <c r="C18" i="7" s="1"/>
  <c r="H28" i="7"/>
  <c r="C32" i="7" s="1"/>
  <c r="H5" i="7"/>
  <c r="H7" i="7"/>
  <c r="H9" i="7"/>
  <c r="L13" i="7"/>
  <c r="H20" i="7"/>
  <c r="H22" i="7"/>
  <c r="L30" i="7"/>
  <c r="H13" i="6"/>
  <c r="H15" i="6"/>
  <c r="H5" i="6"/>
  <c r="H7" i="6"/>
  <c r="H9" i="6"/>
  <c r="H20" i="6"/>
  <c r="H22" i="6"/>
  <c r="L28" i="6"/>
  <c r="L30" i="6"/>
  <c r="C32" i="5"/>
  <c r="H13" i="5"/>
  <c r="C18" i="5" s="1"/>
  <c r="H5" i="5"/>
  <c r="H7" i="5"/>
  <c r="H9" i="5"/>
  <c r="L15" i="5"/>
  <c r="H20" i="5"/>
  <c r="H22" i="5"/>
  <c r="L28" i="5"/>
  <c r="L30" i="5"/>
  <c r="H5" i="4"/>
  <c r="H7" i="4"/>
  <c r="H9" i="4"/>
  <c r="L13" i="4"/>
  <c r="L15" i="4"/>
  <c r="H20" i="4"/>
  <c r="H22" i="4"/>
  <c r="L28" i="4"/>
  <c r="L30" i="4"/>
  <c r="H13" i="3"/>
  <c r="H15" i="3"/>
  <c r="H28" i="3"/>
  <c r="H30" i="3"/>
  <c r="H5" i="3"/>
  <c r="H7" i="3"/>
  <c r="H9" i="3"/>
  <c r="H20" i="3"/>
  <c r="H22" i="3"/>
  <c r="H27" i="2"/>
  <c r="H30" i="2"/>
  <c r="L21" i="2"/>
  <c r="H13" i="2"/>
  <c r="H16" i="2"/>
  <c r="Q31" i="2"/>
  <c r="Q33" i="2" s="1"/>
  <c r="E36" i="2" s="1"/>
  <c r="H15" i="2"/>
  <c r="L8" i="2"/>
  <c r="L23" i="2"/>
  <c r="H5" i="2"/>
  <c r="H7" i="2"/>
  <c r="H9" i="2"/>
  <c r="H20" i="2"/>
  <c r="H22" i="2"/>
  <c r="H30" i="1"/>
  <c r="L22" i="1"/>
  <c r="H15" i="1"/>
  <c r="Q31" i="1"/>
  <c r="Q33" i="1" s="1"/>
  <c r="E36" i="1" s="1"/>
  <c r="P31" i="1"/>
  <c r="P33" i="1" s="1"/>
  <c r="D36" i="1" s="1"/>
  <c r="L9" i="1"/>
  <c r="L5" i="1"/>
  <c r="C11" i="1"/>
  <c r="C25" i="1"/>
  <c r="L6" i="1"/>
  <c r="L8" i="1"/>
  <c r="L21" i="1"/>
  <c r="L23" i="1"/>
  <c r="D13" i="21" l="1"/>
  <c r="C25" i="13"/>
  <c r="C18" i="18"/>
  <c r="C25" i="19"/>
  <c r="C25" i="20"/>
  <c r="C25" i="17"/>
  <c r="C25" i="16"/>
  <c r="C25" i="14"/>
  <c r="C32" i="12"/>
  <c r="C25" i="11"/>
  <c r="C25" i="10"/>
  <c r="C23" i="9"/>
  <c r="C18" i="8"/>
  <c r="C25" i="6"/>
  <c r="C25" i="5"/>
  <c r="C25" i="4"/>
  <c r="C18" i="3"/>
  <c r="C32" i="3"/>
  <c r="C32" i="2"/>
  <c r="C32" i="1"/>
  <c r="G36" i="1"/>
  <c r="G36" i="20"/>
  <c r="C11" i="20"/>
  <c r="G36" i="19"/>
  <c r="C11" i="19"/>
  <c r="C25" i="18"/>
  <c r="G36" i="18"/>
  <c r="C11" i="18"/>
  <c r="C18" i="17"/>
  <c r="C11" i="17"/>
  <c r="C18" i="16"/>
  <c r="G36" i="16"/>
  <c r="C11" i="16"/>
  <c r="C25" i="15"/>
  <c r="G36" i="15"/>
  <c r="C11" i="15"/>
  <c r="G36" i="14"/>
  <c r="C11" i="14"/>
  <c r="C18" i="13"/>
  <c r="G36" i="13"/>
  <c r="C11" i="13"/>
  <c r="G36" i="12"/>
  <c r="C11" i="12"/>
  <c r="C25" i="12"/>
  <c r="G36" i="11"/>
  <c r="C11" i="11"/>
  <c r="C18" i="10"/>
  <c r="G36" i="10"/>
  <c r="C11" i="10"/>
  <c r="C11" i="9"/>
  <c r="G36" i="8"/>
  <c r="C11" i="8"/>
  <c r="C25" i="8"/>
  <c r="C25" i="7"/>
  <c r="G36" i="7"/>
  <c r="C11" i="7"/>
  <c r="C18" i="6"/>
  <c r="G36" i="6"/>
  <c r="C11" i="6"/>
  <c r="G36" i="5"/>
  <c r="C11" i="5"/>
  <c r="G36" i="4"/>
  <c r="C11" i="4"/>
  <c r="G36" i="3"/>
  <c r="C11" i="3"/>
  <c r="C25" i="3"/>
  <c r="C25" i="2"/>
  <c r="C18" i="2"/>
  <c r="G36" i="2"/>
  <c r="C11" i="2"/>
  <c r="Q29" i="17"/>
  <c r="Q28" i="17"/>
  <c r="Q30" i="17"/>
  <c r="L30" i="17"/>
  <c r="C29" i="17"/>
  <c r="L29" i="17" s="1"/>
  <c r="C28" i="17"/>
  <c r="L28" i="17" s="1"/>
  <c r="L27" i="17"/>
  <c r="Q27" i="17"/>
  <c r="Q31" i="17"/>
  <c r="Q33" i="17" s="1"/>
  <c r="E36" i="17" s="1"/>
  <c r="C36" i="9" l="1"/>
  <c r="C41" i="5"/>
  <c r="D21" i="21"/>
  <c r="C41" i="11"/>
  <c r="D5" i="21"/>
  <c r="C41" i="1"/>
  <c r="D7" i="21"/>
  <c r="C41" i="8"/>
  <c r="D16" i="21"/>
  <c r="C41" i="13"/>
  <c r="D19" i="21"/>
  <c r="C41" i="16"/>
  <c r="D18" i="21"/>
  <c r="C41" i="19"/>
  <c r="D10" i="21"/>
  <c r="C41" i="4"/>
  <c r="D22" i="21"/>
  <c r="C41" i="6"/>
  <c r="D6" i="21"/>
  <c r="C41" i="15"/>
  <c r="D12" i="21"/>
  <c r="C41" i="18"/>
  <c r="D17" i="21"/>
  <c r="C41" i="3"/>
  <c r="D11" i="21"/>
  <c r="C41" i="14"/>
  <c r="D20" i="21"/>
  <c r="C41" i="7"/>
  <c r="D14" i="21"/>
  <c r="C41" i="10"/>
  <c r="D15" i="21"/>
  <c r="H28" i="17"/>
  <c r="C41" i="2"/>
  <c r="D9" i="21"/>
  <c r="C41" i="12"/>
  <c r="D8" i="21"/>
  <c r="C41" i="20"/>
  <c r="D4" i="21"/>
  <c r="H27" i="17"/>
  <c r="H29" i="17"/>
  <c r="H30" i="17"/>
  <c r="C32" i="17" s="1"/>
  <c r="G36" i="17" l="1"/>
  <c r="C41" i="17" l="1"/>
  <c r="D23" i="21"/>
</calcChain>
</file>

<file path=xl/sharedStrings.xml><?xml version="1.0" encoding="utf-8"?>
<sst xmlns="http://schemas.openxmlformats.org/spreadsheetml/2006/main" count="1437" uniqueCount="90">
  <si>
    <t>MATIERES</t>
  </si>
  <si>
    <t>TRIM 1</t>
  </si>
  <si>
    <t>Coef</t>
  </si>
  <si>
    <t>Moy × Coef</t>
  </si>
  <si>
    <t xml:space="preserve">Moy Gle Classe </t>
  </si>
  <si>
    <t>Rang</t>
  </si>
  <si>
    <t>Appréciations</t>
  </si>
  <si>
    <t>Informatique</t>
  </si>
  <si>
    <t>Mathématiques</t>
  </si>
  <si>
    <t>SVTEEHB</t>
  </si>
  <si>
    <t xml:space="preserve">      Moyenne du Groupe :                                       </t>
  </si>
  <si>
    <t xml:space="preserve"> Rang de l’élève :</t>
  </si>
  <si>
    <t>Géographie</t>
  </si>
  <si>
    <t>Histoire</t>
  </si>
  <si>
    <t xml:space="preserve">       Moyenne du Groupe :                                       </t>
  </si>
  <si>
    <t>Anglais</t>
  </si>
  <si>
    <t>Travail Manuel</t>
  </si>
  <si>
    <t>Total Général (GI + GII + GIII+GIV) =</t>
  </si>
  <si>
    <r>
      <t xml:space="preserve">Moy Gle de la Classe :                             </t>
    </r>
    <r>
      <rPr>
        <b/>
        <sz val="12"/>
        <color theme="1"/>
        <rFont val="Times New Roman"/>
        <family val="1"/>
      </rPr>
      <t xml:space="preserve">                     </t>
    </r>
  </si>
  <si>
    <t xml:space="preserve"> Moy du 1er :  </t>
  </si>
  <si>
    <t xml:space="preserve"> Moy du Dernier :</t>
  </si>
  <si>
    <t xml:space="preserve">Moyennes de l’Elève :                                                            </t>
  </si>
  <si>
    <t>/20</t>
  </si>
  <si>
    <t xml:space="preserve">          Rang de l’élève :                           </t>
  </si>
  <si>
    <r>
      <t xml:space="preserve">DECISIONS ET OBSERVATIONS / </t>
    </r>
    <r>
      <rPr>
        <i/>
        <sz val="12"/>
        <color theme="1"/>
        <rFont val="Times New Roman"/>
        <family val="1"/>
      </rPr>
      <t>Décisions And Observations</t>
    </r>
  </si>
  <si>
    <r>
      <t>DISCIPLINE /</t>
    </r>
    <r>
      <rPr>
        <i/>
        <sz val="12"/>
        <color theme="1"/>
        <rFont val="Times New Roman"/>
        <family val="1"/>
      </rPr>
      <t xml:space="preserve"> Disciplin</t>
    </r>
  </si>
  <si>
    <t>Appréciation du travail de l’élève</t>
  </si>
  <si>
    <r>
      <t xml:space="preserve">TRAVAIL / </t>
    </r>
    <r>
      <rPr>
        <i/>
        <sz val="12"/>
        <color theme="1"/>
        <rFont val="Times New Roman"/>
        <family val="1"/>
      </rPr>
      <t>Academic Work</t>
    </r>
  </si>
  <si>
    <t>Nb d’Heures :</t>
  </si>
  <si>
    <t>Nb de jrnées :</t>
  </si>
  <si>
    <r>
      <t xml:space="preserve">Tableau d’honneur / </t>
    </r>
    <r>
      <rPr>
        <i/>
        <sz val="12"/>
        <color theme="1"/>
        <rFont val="Times New Roman"/>
        <family val="1"/>
      </rPr>
      <t>Honour roll</t>
    </r>
  </si>
  <si>
    <t>Observations et Visa du Principal</t>
  </si>
  <si>
    <r>
      <t>Exclusions /</t>
    </r>
    <r>
      <rPr>
        <i/>
        <sz val="12"/>
        <color theme="1"/>
        <rFont val="Times New Roman"/>
        <family val="1"/>
      </rPr>
      <t xml:space="preserve"> Suspensions</t>
    </r>
  </si>
  <si>
    <r>
      <t xml:space="preserve">Encouragements / </t>
    </r>
    <r>
      <rPr>
        <i/>
        <sz val="12"/>
        <color theme="1"/>
        <rFont val="Times New Roman"/>
        <family val="1"/>
      </rPr>
      <t>Encouragements</t>
    </r>
  </si>
  <si>
    <t>Observations and Signature of Principal</t>
  </si>
  <si>
    <r>
      <t xml:space="preserve">Blâme / </t>
    </r>
    <r>
      <rPr>
        <i/>
        <sz val="12"/>
        <color theme="1"/>
        <rFont val="Times New Roman"/>
        <family val="1"/>
      </rPr>
      <t>Blame</t>
    </r>
  </si>
  <si>
    <t>Observations et Remarques du Professeur Principal</t>
  </si>
  <si>
    <r>
      <t xml:space="preserve">Félicitations / </t>
    </r>
    <r>
      <rPr>
        <i/>
        <sz val="12"/>
        <color theme="1"/>
        <rFont val="Times New Roman"/>
        <family val="1"/>
      </rPr>
      <t>Congratulations</t>
    </r>
  </si>
  <si>
    <r>
      <t xml:space="preserve">Avertissements / </t>
    </r>
    <r>
      <rPr>
        <i/>
        <sz val="12"/>
        <color theme="1"/>
        <rFont val="Times New Roman"/>
        <family val="1"/>
      </rPr>
      <t>Warnings</t>
    </r>
  </si>
  <si>
    <t>Décisions du Conseil de Classe</t>
  </si>
  <si>
    <t>Yaoundé le</t>
  </si>
  <si>
    <t>Observations et Remarques du parent de l’élève</t>
  </si>
  <si>
    <t>Le Principal</t>
  </si>
  <si>
    <t>ECM</t>
  </si>
  <si>
    <t>EPS</t>
  </si>
  <si>
    <t>ESF</t>
  </si>
  <si>
    <t>Etude de Texte</t>
  </si>
  <si>
    <t>Expression Ecrite</t>
  </si>
  <si>
    <t>LCN</t>
  </si>
  <si>
    <t>EAC</t>
  </si>
  <si>
    <t>Cor Orthographique/ Dictée</t>
  </si>
  <si>
    <t>Langue Vivante II</t>
  </si>
  <si>
    <t>PCT</t>
  </si>
  <si>
    <t xml:space="preserve">Total du GROUPE IV  : </t>
  </si>
  <si>
    <t xml:space="preserve">Total du GROUPE I   : </t>
  </si>
  <si>
    <t xml:space="preserve">Total du GROUPE II  : </t>
  </si>
  <si>
    <t xml:space="preserve">Total du GROUPE III  : </t>
  </si>
  <si>
    <t>TRIM 3</t>
  </si>
  <si>
    <t>TRIM 2</t>
  </si>
  <si>
    <t>ANNUEL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</si>
  <si>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Annuelle n’est pas égale à la moyenne arithmétique des trimestres</t>
    </r>
  </si>
  <si>
    <t>MOY ANNUELLE</t>
  </si>
  <si>
    <t>KILAMA VICTOR</t>
  </si>
  <si>
    <t>ATIBALA MEDOULE DORCAS</t>
  </si>
  <si>
    <t>ABENA ONANA MARIE</t>
  </si>
  <si>
    <t>ALIMA Idriss</t>
  </si>
  <si>
    <t>ELOLONGUE MOUBITANG REINE TRESOR</t>
  </si>
  <si>
    <t>LIMI ZOULIKA JESSICA</t>
  </si>
  <si>
    <t>AGNANANE NADIA SOLEIL</t>
  </si>
  <si>
    <t>YAGA VICTORINE LIONNELLE</t>
  </si>
  <si>
    <t>NGO MINKA Marthe</t>
  </si>
  <si>
    <t>EYENGA SALOME</t>
  </si>
  <si>
    <t>FOE Salomé</t>
  </si>
  <si>
    <t>MASSE YANNICK</t>
  </si>
  <si>
    <t>TSELA DANG MARGUERITTE MERVEILLE</t>
  </si>
  <si>
    <t>HOTT Angela</t>
  </si>
  <si>
    <t>DJOUMKOUA ARIANE LADOUCE</t>
  </si>
  <si>
    <t>MEYEBE Bibiane Flore</t>
  </si>
  <si>
    <t>OBAMA MENGUE</t>
  </si>
  <si>
    <t>APOUBOUE Cynthia Adèle</t>
  </si>
  <si>
    <t>AMOUGOU Jade</t>
  </si>
  <si>
    <t>NGONO AYINA Angèle</t>
  </si>
  <si>
    <t>6ème</t>
  </si>
  <si>
    <t>ECA</t>
  </si>
  <si>
    <t>Chimie</t>
  </si>
  <si>
    <t>informatique</t>
  </si>
  <si>
    <t>mathématiques</t>
  </si>
  <si>
    <t>Physique</t>
  </si>
  <si>
    <t xml:space="preserve">Langue Francaise </t>
  </si>
  <si>
    <t>littérature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</si>
</sst>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i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2" fontId="4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2" fontId="4" fillId="0" borderId="3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2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2" fontId="3" fillId="2" borderId="0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4" fillId="0" borderId="15" xfId="0" applyNumberFormat="1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0" fontId="8" fillId="2" borderId="0" xfId="0" applyFont="1" applyFill="1" applyBorder="1" applyAlignment="1">
      <alignment horizontal="right" wrapText="1"/>
    </xf>
    <xf numFmtId="0" fontId="9" fillId="0" borderId="16" xfId="0" applyFont="1" applyBorder="1"/>
    <xf numFmtId="0" fontId="0" fillId="0" borderId="16" xfId="0" applyBorder="1"/>
    <xf numFmtId="2" fontId="0" fillId="0" borderId="0" xfId="0" applyNumberFormat="1"/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3" zoomScale="96" zoomScaleNormal="96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33.4257812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8.7166666666666668</v>
      </c>
      <c r="D5" s="2">
        <v>10</v>
      </c>
      <c r="E5" s="2">
        <v>7.4</v>
      </c>
      <c r="F5" s="2">
        <v>8.75</v>
      </c>
      <c r="G5" s="3">
        <v>3</v>
      </c>
      <c r="H5" s="4">
        <f>C5*G5</f>
        <v>26.15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30</v>
      </c>
      <c r="P5" s="5">
        <f>E5*G5</f>
        <v>22.200000000000003</v>
      </c>
      <c r="Q5" s="5">
        <f>G5*F5</f>
        <v>26.25</v>
      </c>
    </row>
    <row r="6" spans="2:29" ht="16.5" thickBot="1" x14ac:dyDescent="0.3">
      <c r="B6" s="24" t="s">
        <v>50</v>
      </c>
      <c r="C6" s="2">
        <f t="shared" ref="C6:C9" si="0">(D6+F6+E6)/3</f>
        <v>8.26</v>
      </c>
      <c r="D6" s="2">
        <v>5.5</v>
      </c>
      <c r="E6" s="2">
        <v>5.0299999999999994</v>
      </c>
      <c r="F6" s="2">
        <v>14.25</v>
      </c>
      <c r="G6" s="3">
        <v>1</v>
      </c>
      <c r="H6" s="4">
        <f t="shared" ref="H6:H9" si="1">C6*G6</f>
        <v>8.26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5.5</v>
      </c>
      <c r="P6" s="5">
        <f t="shared" ref="P6:P9" si="4">E6*G6</f>
        <v>5.0299999999999994</v>
      </c>
      <c r="Q6" s="5">
        <f t="shared" ref="Q6:Q9" si="5">G6*F6</f>
        <v>14.25</v>
      </c>
    </row>
    <row r="7" spans="2:29" ht="16.5" thickBot="1" x14ac:dyDescent="0.3">
      <c r="B7" s="24" t="s">
        <v>46</v>
      </c>
      <c r="C7" s="2">
        <f t="shared" si="0"/>
        <v>11.933333333333332</v>
      </c>
      <c r="D7" s="2">
        <v>13.4</v>
      </c>
      <c r="E7" s="2">
        <v>10.65</v>
      </c>
      <c r="F7" s="2">
        <v>11.75</v>
      </c>
      <c r="G7" s="3">
        <v>2</v>
      </c>
      <c r="H7" s="4">
        <f t="shared" si="1"/>
        <v>23.866666666666664</v>
      </c>
      <c r="I7" s="43"/>
      <c r="J7" s="44"/>
      <c r="K7" s="5"/>
      <c r="L7" s="5" t="str">
        <f t="shared" si="2"/>
        <v>ECA</v>
      </c>
      <c r="O7" s="5">
        <f t="shared" si="3"/>
        <v>26.8</v>
      </c>
      <c r="P7" s="5">
        <f t="shared" si="4"/>
        <v>21.3</v>
      </c>
      <c r="Q7" s="5">
        <f t="shared" si="5"/>
        <v>23.5</v>
      </c>
    </row>
    <row r="8" spans="2:29" ht="16.5" thickBot="1" x14ac:dyDescent="0.3">
      <c r="B8" s="24" t="s">
        <v>47</v>
      </c>
      <c r="C8" s="2">
        <f t="shared" si="0"/>
        <v>9.0399999999999991</v>
      </c>
      <c r="D8" s="2">
        <v>9.9</v>
      </c>
      <c r="E8" s="2">
        <v>8.2200000000000006</v>
      </c>
      <c r="F8" s="2">
        <v>9</v>
      </c>
      <c r="G8" s="3">
        <v>1</v>
      </c>
      <c r="H8" s="4">
        <f t="shared" si="1"/>
        <v>9.0399999999999991</v>
      </c>
      <c r="I8" s="43"/>
      <c r="J8" s="44"/>
      <c r="K8" s="5"/>
      <c r="L8" s="5" t="str">
        <f t="shared" si="2"/>
        <v>NA</v>
      </c>
      <c r="O8" s="5">
        <f t="shared" si="3"/>
        <v>9.9</v>
      </c>
      <c r="P8" s="5">
        <f t="shared" si="4"/>
        <v>8.2200000000000006</v>
      </c>
      <c r="Q8" s="5">
        <f t="shared" si="5"/>
        <v>9</v>
      </c>
    </row>
    <row r="9" spans="2:29" ht="16.5" thickBot="1" x14ac:dyDescent="0.3">
      <c r="B9" s="24" t="s">
        <v>51</v>
      </c>
      <c r="C9" s="2">
        <f t="shared" si="0"/>
        <v>10.883333333333335</v>
      </c>
      <c r="D9" s="2">
        <v>12.1</v>
      </c>
      <c r="E9" s="2">
        <v>11.8</v>
      </c>
      <c r="F9" s="2">
        <v>8.75</v>
      </c>
      <c r="G9" s="3">
        <v>2</v>
      </c>
      <c r="H9" s="4">
        <f t="shared" si="1"/>
        <v>21.766666666666669</v>
      </c>
      <c r="I9" s="43"/>
      <c r="J9" s="44"/>
      <c r="K9" s="5"/>
      <c r="L9" s="5" t="str">
        <f t="shared" si="2"/>
        <v>NA</v>
      </c>
      <c r="O9" s="5">
        <f t="shared" si="3"/>
        <v>24.2</v>
      </c>
      <c r="P9" s="5">
        <f t="shared" si="4"/>
        <v>23.6</v>
      </c>
      <c r="Q9" s="5">
        <f t="shared" si="5"/>
        <v>17.5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9.898148148148147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11.041666666666666</v>
      </c>
      <c r="D13" s="2">
        <v>11.25</v>
      </c>
      <c r="E13" s="2">
        <v>11.125</v>
      </c>
      <c r="F13" s="2">
        <v>10.75</v>
      </c>
      <c r="G13" s="3">
        <v>2</v>
      </c>
      <c r="H13" s="4">
        <f t="shared" ref="H13:H16" si="6">C13*G13</f>
        <v>22.083333333333332</v>
      </c>
      <c r="I13" s="43"/>
      <c r="J13" s="44"/>
      <c r="K13" s="5"/>
      <c r="L13" s="5" t="str">
        <f>IF(C13&lt;11,"NA",IF(C13&lt;15,"ECA",IF(C13&lt;18,"A",IF(C13&lt;20,"A+"))))</f>
        <v>ECA</v>
      </c>
      <c r="O13" s="5">
        <f t="shared" ref="O13:O16" si="7">D13*G13</f>
        <v>22.5</v>
      </c>
      <c r="P13" s="5">
        <f>E13*G13</f>
        <v>22.25</v>
      </c>
      <c r="Q13" s="5">
        <f>G13*F13</f>
        <v>21.5</v>
      </c>
    </row>
    <row r="14" spans="2:29" ht="16.5" thickBot="1" x14ac:dyDescent="0.3">
      <c r="B14" s="24" t="s">
        <v>12</v>
      </c>
      <c r="C14" s="2">
        <f t="shared" ref="C14:C16" si="8">(D14+F14+E14)/3</f>
        <v>10.758333333333333</v>
      </c>
      <c r="D14" s="2">
        <v>9.75</v>
      </c>
      <c r="E14" s="2">
        <v>10.6</v>
      </c>
      <c r="F14" s="2">
        <v>11.925000000000001</v>
      </c>
      <c r="G14" s="3">
        <v>1.5</v>
      </c>
      <c r="H14" s="4">
        <f t="shared" si="6"/>
        <v>16.137499999999999</v>
      </c>
      <c r="I14" s="43"/>
      <c r="J14" s="44"/>
      <c r="K14" s="5"/>
      <c r="L14" s="5" t="str">
        <f t="shared" ref="L14:L16" si="9">IF(C14&lt;11,"NA",IF(C14&lt;15,"ECA",IF(C14&lt;18,"A",IF(C14&lt;20,"A+"))))</f>
        <v>NA</v>
      </c>
      <c r="O14" s="5">
        <f t="shared" si="7"/>
        <v>14.625</v>
      </c>
      <c r="P14" s="5">
        <f t="shared" ref="P14:P16" si="10">E14*G14</f>
        <v>15.899999999999999</v>
      </c>
      <c r="Q14" s="5">
        <f t="shared" ref="Q14:Q16" si="11">G14*F14</f>
        <v>17.887500000000003</v>
      </c>
    </row>
    <row r="15" spans="2:29" ht="16.5" thickBot="1" x14ac:dyDescent="0.3">
      <c r="B15" s="24" t="s">
        <v>13</v>
      </c>
      <c r="C15" s="2">
        <f t="shared" si="8"/>
        <v>9.2666666666666675</v>
      </c>
      <c r="D15" s="2">
        <v>8.6</v>
      </c>
      <c r="E15" s="2">
        <v>9.4499999999999993</v>
      </c>
      <c r="F15" s="2">
        <v>9.75</v>
      </c>
      <c r="G15" s="3">
        <v>1.5</v>
      </c>
      <c r="H15" s="4">
        <f t="shared" si="6"/>
        <v>13.900000000000002</v>
      </c>
      <c r="I15" s="43"/>
      <c r="J15" s="44"/>
      <c r="K15" s="5"/>
      <c r="L15" s="5" t="str">
        <f t="shared" si="9"/>
        <v>NA</v>
      </c>
      <c r="O15" s="5">
        <f t="shared" si="7"/>
        <v>12.899999999999999</v>
      </c>
      <c r="P15" s="5">
        <f t="shared" si="10"/>
        <v>14.174999999999999</v>
      </c>
      <c r="Q15" s="5">
        <f t="shared" si="11"/>
        <v>14.625</v>
      </c>
    </row>
    <row r="16" spans="2:29" ht="16.5" thickBot="1" x14ac:dyDescent="0.3">
      <c r="B16" s="24" t="s">
        <v>48</v>
      </c>
      <c r="C16" s="2">
        <f t="shared" si="8"/>
        <v>10.583333333333334</v>
      </c>
      <c r="D16" s="2">
        <v>9.75</v>
      </c>
      <c r="E16" s="2">
        <v>10</v>
      </c>
      <c r="F16" s="2">
        <v>12</v>
      </c>
      <c r="G16" s="3">
        <v>1</v>
      </c>
      <c r="H16" s="4">
        <f t="shared" si="6"/>
        <v>10.583333333333334</v>
      </c>
      <c r="I16" s="43"/>
      <c r="J16" s="44"/>
      <c r="K16" s="5"/>
      <c r="L16" s="5" t="str">
        <f t="shared" si="9"/>
        <v>NA</v>
      </c>
      <c r="O16" s="5">
        <f t="shared" si="7"/>
        <v>9.75</v>
      </c>
      <c r="P16" s="5">
        <f t="shared" si="10"/>
        <v>10</v>
      </c>
      <c r="Q16" s="5">
        <f t="shared" si="11"/>
        <v>12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10.450694444444446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12.383333333333333</v>
      </c>
      <c r="D20" s="2">
        <v>11.4</v>
      </c>
      <c r="E20" s="2">
        <v>12.75</v>
      </c>
      <c r="F20" s="2">
        <v>13</v>
      </c>
      <c r="G20" s="3">
        <v>2</v>
      </c>
      <c r="H20" s="4">
        <f t="shared" ref="H20:H23" si="12">C20*G20</f>
        <v>24.766666666666666</v>
      </c>
      <c r="I20" s="43"/>
      <c r="J20" s="44"/>
      <c r="K20" s="5"/>
      <c r="L20" s="5" t="str">
        <f t="shared" ref="L20:L23" si="13">IF(C20&lt;11,"NA",IF(C20&lt;15,"ECA",IF(C20&lt;18,"A",IF(C20&lt;20,"A+"))))</f>
        <v>ECA</v>
      </c>
      <c r="O20" s="5">
        <f t="shared" ref="O20:O23" si="14">D20*G20</f>
        <v>22.8</v>
      </c>
      <c r="P20" s="5">
        <f>E20*G20</f>
        <v>25.5</v>
      </c>
      <c r="Q20" s="5">
        <f>G20*F20</f>
        <v>26</v>
      </c>
    </row>
    <row r="21" spans="2:17" ht="16.5" thickBot="1" x14ac:dyDescent="0.3">
      <c r="B21" s="24" t="s">
        <v>8</v>
      </c>
      <c r="C21" s="2">
        <f t="shared" ref="C21:C23" si="15">(D21+F21+E21)/3</f>
        <v>5.538333333333334</v>
      </c>
      <c r="D21" s="2">
        <v>6.37</v>
      </c>
      <c r="E21" s="2">
        <v>4.7949999999999999</v>
      </c>
      <c r="F21" s="2">
        <v>5.45</v>
      </c>
      <c r="G21" s="3">
        <v>4</v>
      </c>
      <c r="H21" s="4">
        <f t="shared" si="12"/>
        <v>22.153333333333336</v>
      </c>
      <c r="I21" s="43"/>
      <c r="J21" s="44"/>
      <c r="K21" s="5"/>
      <c r="L21" s="5" t="str">
        <f t="shared" si="13"/>
        <v>NA</v>
      </c>
      <c r="O21" s="5">
        <f t="shared" si="14"/>
        <v>25.48</v>
      </c>
      <c r="P21" s="5">
        <f t="shared" ref="P21:P23" si="16">E21*G21</f>
        <v>19.18</v>
      </c>
      <c r="Q21" s="5">
        <f t="shared" ref="Q21:Q23" si="17">G21*F21</f>
        <v>21.8</v>
      </c>
    </row>
    <row r="22" spans="2:17" ht="16.5" thickBot="1" x14ac:dyDescent="0.3">
      <c r="B22" s="24" t="s">
        <v>52</v>
      </c>
      <c r="C22" s="2">
        <f t="shared" si="15"/>
        <v>8.8416666666666668</v>
      </c>
      <c r="D22" s="2">
        <v>7.4</v>
      </c>
      <c r="E22" s="2">
        <v>10.725</v>
      </c>
      <c r="F22" s="2">
        <v>8.4</v>
      </c>
      <c r="G22" s="3">
        <v>2</v>
      </c>
      <c r="H22" s="4">
        <f t="shared" si="12"/>
        <v>17.683333333333334</v>
      </c>
      <c r="I22" s="43"/>
      <c r="J22" s="44"/>
      <c r="K22" s="5"/>
      <c r="L22" s="5" t="str">
        <f t="shared" si="13"/>
        <v>NA</v>
      </c>
      <c r="O22" s="5">
        <f t="shared" si="14"/>
        <v>14.8</v>
      </c>
      <c r="P22" s="5">
        <f t="shared" si="16"/>
        <v>21.45</v>
      </c>
      <c r="Q22" s="5">
        <f t="shared" si="17"/>
        <v>16.8</v>
      </c>
    </row>
    <row r="23" spans="2:17" ht="16.5" thickBot="1" x14ac:dyDescent="0.3">
      <c r="B23" s="24" t="s">
        <v>9</v>
      </c>
      <c r="C23" s="2">
        <f t="shared" si="15"/>
        <v>10.65</v>
      </c>
      <c r="D23" s="2">
        <v>11.1</v>
      </c>
      <c r="E23" s="2">
        <v>10.5</v>
      </c>
      <c r="F23" s="2">
        <v>10.35</v>
      </c>
      <c r="G23" s="3">
        <v>2</v>
      </c>
      <c r="H23" s="4">
        <f t="shared" si="12"/>
        <v>21.3</v>
      </c>
      <c r="I23" s="43"/>
      <c r="J23" s="44"/>
      <c r="K23" s="5"/>
      <c r="L23" s="5" t="str">
        <f t="shared" si="13"/>
        <v>NA</v>
      </c>
      <c r="O23" s="5">
        <f t="shared" si="14"/>
        <v>22.2</v>
      </c>
      <c r="P23" s="5">
        <f t="shared" si="16"/>
        <v>21</v>
      </c>
      <c r="Q23" s="5">
        <f t="shared" si="17"/>
        <v>20.7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8.5903333333333336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14.5</v>
      </c>
      <c r="D27" s="2">
        <v>17</v>
      </c>
      <c r="E27" s="34">
        <v>0</v>
      </c>
      <c r="F27" s="2">
        <v>12</v>
      </c>
      <c r="G27" s="3">
        <v>1</v>
      </c>
      <c r="H27" s="4">
        <f t="shared" ref="H27:H30" si="18">C27*G27</f>
        <v>14.5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17</v>
      </c>
      <c r="P27" s="5">
        <f>E27*G27</f>
        <v>0</v>
      </c>
      <c r="Q27" s="5">
        <f>G27*F27</f>
        <v>12</v>
      </c>
    </row>
    <row r="28" spans="2:17" ht="16.5" thickBot="1" x14ac:dyDescent="0.3">
      <c r="B28" s="24" t="s">
        <v>44</v>
      </c>
      <c r="C28" s="2">
        <f t="shared" ref="C28" si="21">(D28+F28+E28)/3</f>
        <v>12.833333333333334</v>
      </c>
      <c r="D28" s="2">
        <v>13.5</v>
      </c>
      <c r="E28" s="34">
        <v>12.25</v>
      </c>
      <c r="F28" s="2">
        <v>12.75</v>
      </c>
      <c r="G28" s="3">
        <v>2</v>
      </c>
      <c r="H28" s="4">
        <f t="shared" si="18"/>
        <v>25.666666666666668</v>
      </c>
      <c r="I28" s="43"/>
      <c r="J28" s="44"/>
      <c r="K28" s="5"/>
      <c r="L28" s="5" t="str">
        <f t="shared" si="19"/>
        <v>ECA</v>
      </c>
      <c r="O28" s="5">
        <f t="shared" si="20"/>
        <v>27</v>
      </c>
      <c r="P28" s="5">
        <f t="shared" ref="P28:P30" si="22">E28*G28</f>
        <v>24.5</v>
      </c>
      <c r="Q28" s="5">
        <f t="shared" ref="Q28:Q30" si="23">G28*F28</f>
        <v>25.5</v>
      </c>
    </row>
    <row r="29" spans="2:17" ht="16.5" thickBot="1" x14ac:dyDescent="0.3">
      <c r="B29" s="24" t="s">
        <v>45</v>
      </c>
      <c r="C29" s="2">
        <f>(D29+F29+E29)/2</f>
        <v>14</v>
      </c>
      <c r="D29" s="2">
        <v>13</v>
      </c>
      <c r="E29" s="34">
        <v>15</v>
      </c>
      <c r="F29" s="2">
        <v>0</v>
      </c>
      <c r="G29" s="3">
        <v>1</v>
      </c>
      <c r="H29" s="4">
        <f t="shared" si="18"/>
        <v>14</v>
      </c>
      <c r="I29" s="43"/>
      <c r="J29" s="44"/>
      <c r="K29" s="5"/>
      <c r="L29" s="5" t="str">
        <f t="shared" si="19"/>
        <v>ECA</v>
      </c>
      <c r="O29" s="5">
        <f t="shared" si="20"/>
        <v>13</v>
      </c>
      <c r="P29" s="5">
        <f t="shared" si="22"/>
        <v>15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13.75</v>
      </c>
      <c r="D30" s="2">
        <v>12</v>
      </c>
      <c r="E30" s="34">
        <v>0</v>
      </c>
      <c r="F30" s="2">
        <v>15.5</v>
      </c>
      <c r="G30" s="3">
        <v>1</v>
      </c>
      <c r="H30" s="4">
        <f t="shared" si="18"/>
        <v>13.75</v>
      </c>
      <c r="I30" s="43"/>
      <c r="J30" s="44"/>
      <c r="K30" s="5"/>
      <c r="L30" s="5" t="str">
        <f t="shared" si="19"/>
        <v>ECA</v>
      </c>
      <c r="O30" s="5">
        <f t="shared" si="20"/>
        <v>12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310.45500000000004</v>
      </c>
      <c r="P31" s="1">
        <f>SUM(P5:P30)</f>
        <v>269.30500000000001</v>
      </c>
      <c r="Q31" s="1">
        <f>SUM(Q5:Q30)</f>
        <v>294.8125</v>
      </c>
    </row>
    <row r="32" spans="2:17" ht="16.149999999999999" customHeight="1" thickBot="1" x14ac:dyDescent="0.3">
      <c r="B32" s="6" t="s">
        <v>14</v>
      </c>
      <c r="C32" s="45">
        <f>(SUM(H27:H30)/SUM(G27:G30))</f>
        <v>13.583333333333334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10.348500000000001</v>
      </c>
      <c r="P33" s="1">
        <f>P31/P32</f>
        <v>9.618035714285714</v>
      </c>
      <c r="Q33" s="1">
        <f>Q31/Q32</f>
        <v>10.165948275862069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10.348500000000001</v>
      </c>
      <c r="D36" s="14">
        <f>P33</f>
        <v>9.618035714285714</v>
      </c>
      <c r="E36" s="14">
        <f>Q33</f>
        <v>10.165948275862069</v>
      </c>
      <c r="F36" s="35" t="s">
        <v>61</v>
      </c>
      <c r="G36" s="16">
        <f>(H5+H6+H7+H8+H9+H13+H14+H15+H20+H16+H21+H22+H23+H27+H28+H29+H30)/30</f>
        <v>10.186916666666667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5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C46:F49"/>
    <mergeCell ref="G46:J49"/>
    <mergeCell ref="K46:L46"/>
    <mergeCell ref="K47:L47"/>
    <mergeCell ref="K48:L48"/>
    <mergeCell ref="K49:L49"/>
    <mergeCell ref="B38:L38"/>
    <mergeCell ref="B39:L39"/>
    <mergeCell ref="C40:F40"/>
    <mergeCell ref="G40:L41"/>
    <mergeCell ref="C41:F43"/>
    <mergeCell ref="G42:J42"/>
    <mergeCell ref="K42:L42"/>
    <mergeCell ref="G43:J43"/>
    <mergeCell ref="K43:L43"/>
    <mergeCell ref="G34:H34"/>
    <mergeCell ref="J34:K34"/>
    <mergeCell ref="I35:L35"/>
    <mergeCell ref="I36:J36"/>
    <mergeCell ref="B37:H37"/>
    <mergeCell ref="I37:L37"/>
    <mergeCell ref="B10:L10"/>
    <mergeCell ref="C11:F11"/>
    <mergeCell ref="G11:H11"/>
    <mergeCell ref="J11:L11"/>
    <mergeCell ref="B12:L12"/>
    <mergeCell ref="B24:L24"/>
    <mergeCell ref="G25:H25"/>
    <mergeCell ref="J25:L25"/>
    <mergeCell ref="C44:F45"/>
    <mergeCell ref="G44:J44"/>
    <mergeCell ref="K44:L44"/>
    <mergeCell ref="G45:J45"/>
    <mergeCell ref="K45:L45"/>
    <mergeCell ref="I27:J27"/>
    <mergeCell ref="I28:J28"/>
    <mergeCell ref="I29:J29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I8:J8"/>
    <mergeCell ref="B26:L26"/>
    <mergeCell ref="I9:J9"/>
    <mergeCell ref="I13:J13"/>
    <mergeCell ref="I14:J14"/>
    <mergeCell ref="I15:J15"/>
    <mergeCell ref="I16:J16"/>
    <mergeCell ref="C25:F25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</mergeCells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6" zoomScale="80" zoomScaleNormal="80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7.1499999999999995</v>
      </c>
      <c r="D5" s="2">
        <v>7.5</v>
      </c>
      <c r="E5" s="2">
        <v>6.7</v>
      </c>
      <c r="F5" s="2">
        <v>7.25</v>
      </c>
      <c r="G5" s="3">
        <v>3</v>
      </c>
      <c r="H5" s="4">
        <f>C5*G5</f>
        <v>21.45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22.5</v>
      </c>
      <c r="P5" s="5">
        <f>E5*G5</f>
        <v>20.100000000000001</v>
      </c>
      <c r="Q5" s="5">
        <f>G5*F5</f>
        <v>21.75</v>
      </c>
    </row>
    <row r="6" spans="2:29" ht="16.5" thickBot="1" x14ac:dyDescent="0.3">
      <c r="B6" s="24" t="s">
        <v>50</v>
      </c>
      <c r="C6" s="2">
        <f t="shared" ref="C6:C9" si="0">(D6+F6+E6)/3</f>
        <v>8.4550000000000001</v>
      </c>
      <c r="D6" s="2">
        <v>6.1</v>
      </c>
      <c r="E6" s="2">
        <v>5.0149999999999997</v>
      </c>
      <c r="F6" s="2">
        <v>14.25</v>
      </c>
      <c r="G6" s="3">
        <v>1</v>
      </c>
      <c r="H6" s="4">
        <f t="shared" ref="H6:H9" si="1">C6*G6</f>
        <v>8.4550000000000001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6.1</v>
      </c>
      <c r="P6" s="5">
        <f t="shared" ref="P6:P9" si="4">E6*G6</f>
        <v>5.0149999999999997</v>
      </c>
      <c r="Q6" s="5">
        <f t="shared" ref="Q6:Q9" si="5">G6*F6</f>
        <v>14.25</v>
      </c>
    </row>
    <row r="7" spans="2:29" ht="16.5" thickBot="1" x14ac:dyDescent="0.3">
      <c r="B7" s="24" t="s">
        <v>46</v>
      </c>
      <c r="C7" s="2">
        <f t="shared" si="0"/>
        <v>9.6216666666666661</v>
      </c>
      <c r="D7" s="2">
        <v>9.15</v>
      </c>
      <c r="E7" s="2">
        <v>9.9649999999999999</v>
      </c>
      <c r="F7" s="2">
        <v>9.75</v>
      </c>
      <c r="G7" s="3">
        <v>2</v>
      </c>
      <c r="H7" s="4">
        <f t="shared" si="1"/>
        <v>19.243333333333332</v>
      </c>
      <c r="I7" s="43"/>
      <c r="J7" s="44"/>
      <c r="K7" s="5"/>
      <c r="L7" s="5" t="str">
        <f t="shared" si="2"/>
        <v>NA</v>
      </c>
      <c r="O7" s="5">
        <f t="shared" si="3"/>
        <v>18.3</v>
      </c>
      <c r="P7" s="5">
        <f t="shared" si="4"/>
        <v>19.93</v>
      </c>
      <c r="Q7" s="5">
        <f t="shared" si="5"/>
        <v>19.5</v>
      </c>
    </row>
    <row r="8" spans="2:29" ht="16.5" thickBot="1" x14ac:dyDescent="0.3">
      <c r="B8" s="24" t="s">
        <v>47</v>
      </c>
      <c r="C8" s="2">
        <f t="shared" si="0"/>
        <v>9.2333333333333325</v>
      </c>
      <c r="D8" s="2">
        <v>9.9149999999999991</v>
      </c>
      <c r="E8" s="2">
        <v>8.7850000000000001</v>
      </c>
      <c r="F8" s="2">
        <v>9</v>
      </c>
      <c r="G8" s="3">
        <v>1</v>
      </c>
      <c r="H8" s="4">
        <f t="shared" si="1"/>
        <v>9.2333333333333325</v>
      </c>
      <c r="I8" s="43"/>
      <c r="J8" s="44"/>
      <c r="K8" s="5"/>
      <c r="L8" s="5" t="str">
        <f t="shared" si="2"/>
        <v>NA</v>
      </c>
      <c r="O8" s="5">
        <f t="shared" si="3"/>
        <v>9.9149999999999991</v>
      </c>
      <c r="P8" s="5">
        <f t="shared" si="4"/>
        <v>8.7850000000000001</v>
      </c>
      <c r="Q8" s="5">
        <f t="shared" si="5"/>
        <v>9</v>
      </c>
    </row>
    <row r="9" spans="2:29" ht="16.5" thickBot="1" x14ac:dyDescent="0.3">
      <c r="B9" s="24" t="s">
        <v>51</v>
      </c>
      <c r="C9" s="2">
        <f t="shared" si="0"/>
        <v>10.458333333333334</v>
      </c>
      <c r="D9" s="2">
        <v>13.9</v>
      </c>
      <c r="E9" s="2">
        <v>10.600000000000001</v>
      </c>
      <c r="F9" s="2">
        <v>6.875</v>
      </c>
      <c r="G9" s="3">
        <v>2</v>
      </c>
      <c r="H9" s="4">
        <f t="shared" si="1"/>
        <v>20.916666666666668</v>
      </c>
      <c r="I9" s="43"/>
      <c r="J9" s="44"/>
      <c r="K9" s="5"/>
      <c r="L9" s="5" t="str">
        <f t="shared" si="2"/>
        <v>NA</v>
      </c>
      <c r="O9" s="5">
        <f t="shared" si="3"/>
        <v>27.8</v>
      </c>
      <c r="P9" s="5">
        <f t="shared" si="4"/>
        <v>21.200000000000003</v>
      </c>
      <c r="Q9" s="5">
        <f t="shared" si="5"/>
        <v>13.75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8.8109259259259254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11.633333333333333</v>
      </c>
      <c r="D13" s="2">
        <v>13.074999999999999</v>
      </c>
      <c r="E13" s="2">
        <v>10.824999999999999</v>
      </c>
      <c r="F13" s="2">
        <v>11</v>
      </c>
      <c r="G13" s="3">
        <v>2</v>
      </c>
      <c r="H13" s="4">
        <f t="shared" ref="H13:H16" si="6">C13*G13</f>
        <v>23.266666666666666</v>
      </c>
      <c r="I13" s="43"/>
      <c r="J13" s="44"/>
      <c r="K13" s="5"/>
      <c r="L13" s="5" t="str">
        <f>IF(C13&lt;11,"NA",IF(C13&lt;15,"ECA",IF(C13&lt;18,"A",IF(C13&lt;20,"A+"))))</f>
        <v>ECA</v>
      </c>
      <c r="O13" s="5">
        <f t="shared" ref="O13:O16" si="7">D13*G13</f>
        <v>26.15</v>
      </c>
      <c r="P13" s="5">
        <f>E13*G13</f>
        <v>21.65</v>
      </c>
      <c r="Q13" s="5">
        <f>G13*F13</f>
        <v>22</v>
      </c>
    </row>
    <row r="14" spans="2:29" ht="16.5" thickBot="1" x14ac:dyDescent="0.3">
      <c r="B14" s="24" t="s">
        <v>12</v>
      </c>
      <c r="C14" s="2">
        <f t="shared" ref="C14:C16" si="8">(D14+F14+E14)/3</f>
        <v>12.083333333333334</v>
      </c>
      <c r="D14" s="2">
        <v>8.875</v>
      </c>
      <c r="E14" s="2">
        <v>14</v>
      </c>
      <c r="F14" s="2">
        <v>13.375</v>
      </c>
      <c r="G14" s="3">
        <v>1.5</v>
      </c>
      <c r="H14" s="4">
        <f t="shared" si="6"/>
        <v>18.125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13.3125</v>
      </c>
      <c r="P14" s="5">
        <f t="shared" ref="P14:P16" si="10">E14*G14</f>
        <v>21</v>
      </c>
      <c r="Q14" s="5">
        <f t="shared" ref="Q14:Q16" si="11">G14*F14</f>
        <v>20.0625</v>
      </c>
    </row>
    <row r="15" spans="2:29" ht="16.5" thickBot="1" x14ac:dyDescent="0.3">
      <c r="B15" s="24" t="s">
        <v>13</v>
      </c>
      <c r="C15" s="2">
        <f t="shared" si="8"/>
        <v>8.7833333333333332</v>
      </c>
      <c r="D15" s="2">
        <v>8.8000000000000007</v>
      </c>
      <c r="E15" s="2">
        <v>8.0500000000000007</v>
      </c>
      <c r="F15" s="2">
        <v>9.5</v>
      </c>
      <c r="G15" s="3">
        <v>1.5</v>
      </c>
      <c r="H15" s="4">
        <f t="shared" si="6"/>
        <v>13.175000000000001</v>
      </c>
      <c r="I15" s="43"/>
      <c r="J15" s="44"/>
      <c r="K15" s="5"/>
      <c r="L15" s="5" t="str">
        <f t="shared" si="9"/>
        <v>NA</v>
      </c>
      <c r="O15" s="5">
        <f t="shared" si="7"/>
        <v>13.200000000000001</v>
      </c>
      <c r="P15" s="5">
        <f t="shared" si="10"/>
        <v>12.075000000000001</v>
      </c>
      <c r="Q15" s="5">
        <f t="shared" si="11"/>
        <v>14.25</v>
      </c>
    </row>
    <row r="16" spans="2:29" ht="16.5" thickBot="1" x14ac:dyDescent="0.3">
      <c r="B16" s="24" t="s">
        <v>48</v>
      </c>
      <c r="C16" s="2">
        <f t="shared" si="8"/>
        <v>12.166666666666666</v>
      </c>
      <c r="D16" s="2">
        <v>12</v>
      </c>
      <c r="E16" s="2">
        <v>13.5</v>
      </c>
      <c r="F16" s="2">
        <v>11</v>
      </c>
      <c r="G16" s="3">
        <v>1</v>
      </c>
      <c r="H16" s="4">
        <f t="shared" si="6"/>
        <v>12.166666666666666</v>
      </c>
      <c r="I16" s="43"/>
      <c r="J16" s="44"/>
      <c r="K16" s="5"/>
      <c r="L16" s="5" t="str">
        <f t="shared" si="9"/>
        <v>ECA</v>
      </c>
      <c r="O16" s="5">
        <f t="shared" si="7"/>
        <v>12</v>
      </c>
      <c r="P16" s="5">
        <f t="shared" si="10"/>
        <v>13.5</v>
      </c>
      <c r="Q16" s="5">
        <f t="shared" si="11"/>
        <v>11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11.122222222222222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8.4916666666666671</v>
      </c>
      <c r="D20" s="2">
        <v>5.6</v>
      </c>
      <c r="E20" s="2">
        <v>9</v>
      </c>
      <c r="F20" s="2">
        <v>10.875</v>
      </c>
      <c r="G20" s="3">
        <v>2</v>
      </c>
      <c r="H20" s="4">
        <f t="shared" ref="H20:H23" si="12">C20*G20</f>
        <v>16.983333333333334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11.2</v>
      </c>
      <c r="P20" s="5">
        <f>E20*G20</f>
        <v>18</v>
      </c>
      <c r="Q20" s="5">
        <f>G20*F20</f>
        <v>21.75</v>
      </c>
    </row>
    <row r="21" spans="2:17" ht="16.5" thickBot="1" x14ac:dyDescent="0.3">
      <c r="B21" s="24" t="s">
        <v>8</v>
      </c>
      <c r="C21" s="2">
        <f t="shared" ref="C21:C23" si="15">(D21+F21+E21)/3</f>
        <v>5.503333333333333</v>
      </c>
      <c r="D21" s="2">
        <v>5.375</v>
      </c>
      <c r="E21" s="2">
        <v>6.51</v>
      </c>
      <c r="F21" s="2">
        <v>4.625</v>
      </c>
      <c r="G21" s="3">
        <v>4</v>
      </c>
      <c r="H21" s="4">
        <f t="shared" si="12"/>
        <v>22.013333333333332</v>
      </c>
      <c r="I21" s="43"/>
      <c r="J21" s="44"/>
      <c r="K21" s="5"/>
      <c r="L21" s="5" t="str">
        <f t="shared" si="13"/>
        <v>NA</v>
      </c>
      <c r="O21" s="5">
        <f t="shared" si="14"/>
        <v>21.5</v>
      </c>
      <c r="P21" s="5">
        <f t="shared" ref="P21:P23" si="16">E21*G21</f>
        <v>26.04</v>
      </c>
      <c r="Q21" s="5">
        <f t="shared" ref="Q21:Q23" si="17">G21*F21</f>
        <v>18.5</v>
      </c>
    </row>
    <row r="22" spans="2:17" ht="16.5" thickBot="1" x14ac:dyDescent="0.3">
      <c r="B22" s="24" t="s">
        <v>52</v>
      </c>
      <c r="C22" s="2">
        <f t="shared" si="15"/>
        <v>8.7416666666666671</v>
      </c>
      <c r="D22" s="2">
        <v>8.1</v>
      </c>
      <c r="E22" s="2">
        <v>10.225</v>
      </c>
      <c r="F22" s="2">
        <v>7.9</v>
      </c>
      <c r="G22" s="3">
        <v>2</v>
      </c>
      <c r="H22" s="4">
        <f t="shared" si="12"/>
        <v>17.483333333333334</v>
      </c>
      <c r="I22" s="43"/>
      <c r="J22" s="44"/>
      <c r="K22" s="5"/>
      <c r="L22" s="5" t="str">
        <f t="shared" si="13"/>
        <v>NA</v>
      </c>
      <c r="O22" s="5">
        <f t="shared" si="14"/>
        <v>16.2</v>
      </c>
      <c r="P22" s="5">
        <f t="shared" si="16"/>
        <v>20.45</v>
      </c>
      <c r="Q22" s="5">
        <f t="shared" si="17"/>
        <v>15.8</v>
      </c>
    </row>
    <row r="23" spans="2:17" ht="16.5" thickBot="1" x14ac:dyDescent="0.3">
      <c r="B23" s="24" t="s">
        <v>9</v>
      </c>
      <c r="C23" s="2">
        <f t="shared" si="15"/>
        <v>9.65</v>
      </c>
      <c r="D23" s="2">
        <v>10.324999999999999</v>
      </c>
      <c r="E23" s="2">
        <v>9.25</v>
      </c>
      <c r="F23" s="2">
        <v>9.375</v>
      </c>
      <c r="G23" s="3">
        <v>2</v>
      </c>
      <c r="H23" s="4">
        <f t="shared" si="12"/>
        <v>19.3</v>
      </c>
      <c r="I23" s="43"/>
      <c r="J23" s="44"/>
      <c r="K23" s="5"/>
      <c r="L23" s="5" t="str">
        <f t="shared" si="13"/>
        <v>NA</v>
      </c>
      <c r="O23" s="5">
        <f t="shared" si="14"/>
        <v>20.65</v>
      </c>
      <c r="P23" s="5">
        <f t="shared" si="16"/>
        <v>18.5</v>
      </c>
      <c r="Q23" s="5">
        <f t="shared" si="17"/>
        <v>18.75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7.5780000000000003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15.75</v>
      </c>
      <c r="D27" s="2">
        <v>13.5</v>
      </c>
      <c r="E27" s="2">
        <v>0</v>
      </c>
      <c r="F27" s="2">
        <v>18</v>
      </c>
      <c r="G27" s="3">
        <v>1</v>
      </c>
      <c r="H27" s="4">
        <f t="shared" ref="H27:H30" si="18">C27*G27</f>
        <v>15.75</v>
      </c>
      <c r="I27" s="43"/>
      <c r="J27" s="44"/>
      <c r="K27" s="5"/>
      <c r="L27" s="5" t="str">
        <f t="shared" ref="L27:L30" si="19">IF(C27&lt;11,"NA",IF(C27&lt;15,"ECA",IF(C27&lt;18,"A",IF(C27&lt;20,"A+"))))</f>
        <v>A</v>
      </c>
      <c r="O27" s="5">
        <f t="shared" ref="O27:O30" si="20">D27*G27</f>
        <v>13.5</v>
      </c>
      <c r="P27" s="5">
        <f>E27*G27</f>
        <v>0</v>
      </c>
      <c r="Q27" s="5">
        <f>G27*F27</f>
        <v>18</v>
      </c>
    </row>
    <row r="28" spans="2:17" ht="16.5" thickBot="1" x14ac:dyDescent="0.3">
      <c r="B28" s="24" t="s">
        <v>44</v>
      </c>
      <c r="C28" s="2">
        <f t="shared" ref="C28" si="21">(D28+F28+E28)/3</f>
        <v>12.25</v>
      </c>
      <c r="D28" s="2">
        <v>14.25</v>
      </c>
      <c r="E28" s="2">
        <v>11</v>
      </c>
      <c r="F28" s="2">
        <v>11.5</v>
      </c>
      <c r="G28" s="3">
        <v>2</v>
      </c>
      <c r="H28" s="4">
        <f t="shared" si="18"/>
        <v>24.5</v>
      </c>
      <c r="I28" s="43"/>
      <c r="J28" s="44"/>
      <c r="K28" s="5"/>
      <c r="L28" s="5" t="str">
        <f t="shared" si="19"/>
        <v>ECA</v>
      </c>
      <c r="O28" s="5">
        <f t="shared" si="20"/>
        <v>28.5</v>
      </c>
      <c r="P28" s="5">
        <f t="shared" ref="P28:P30" si="22">E28*G28</f>
        <v>22</v>
      </c>
      <c r="Q28" s="5">
        <f t="shared" ref="Q28:Q30" si="23">G28*F28</f>
        <v>23</v>
      </c>
    </row>
    <row r="29" spans="2:17" ht="16.5" thickBot="1" x14ac:dyDescent="0.3">
      <c r="B29" s="24" t="s">
        <v>45</v>
      </c>
      <c r="C29" s="2">
        <f>(D29+F29+E29)/2</f>
        <v>16.5</v>
      </c>
      <c r="D29" s="2">
        <v>15</v>
      </c>
      <c r="E29" s="2">
        <v>18</v>
      </c>
      <c r="F29" s="2">
        <v>0</v>
      </c>
      <c r="G29" s="3">
        <v>1</v>
      </c>
      <c r="H29" s="4">
        <f t="shared" si="18"/>
        <v>16.5</v>
      </c>
      <c r="I29" s="43"/>
      <c r="J29" s="44"/>
      <c r="K29" s="5"/>
      <c r="L29" s="5" t="str">
        <f t="shared" si="19"/>
        <v>A</v>
      </c>
      <c r="O29" s="5">
        <f t="shared" si="20"/>
        <v>15</v>
      </c>
      <c r="P29" s="5">
        <f t="shared" si="22"/>
        <v>18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</v>
      </c>
      <c r="D30" s="2">
        <v>14.5</v>
      </c>
      <c r="E30" s="2">
        <v>0</v>
      </c>
      <c r="F30" s="2">
        <v>15.5</v>
      </c>
      <c r="G30" s="3">
        <v>1</v>
      </c>
      <c r="H30" s="4">
        <f t="shared" si="18"/>
        <v>15</v>
      </c>
      <c r="I30" s="43"/>
      <c r="J30" s="44"/>
      <c r="K30" s="5"/>
      <c r="L30" s="5" t="str">
        <f t="shared" si="19"/>
        <v>A</v>
      </c>
      <c r="O30" s="5">
        <f t="shared" si="20"/>
        <v>14.5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290.32749999999999</v>
      </c>
      <c r="P31" s="1">
        <f>SUM(P5:P30)</f>
        <v>266.245</v>
      </c>
      <c r="Q31" s="1">
        <f>SUM(Q5:Q30)</f>
        <v>276.86250000000001</v>
      </c>
    </row>
    <row r="32" spans="2:17" ht="16.149999999999999" customHeight="1" thickBot="1" x14ac:dyDescent="0.3">
      <c r="B32" s="6" t="s">
        <v>14</v>
      </c>
      <c r="C32" s="45">
        <f>(SUM(H27:H30)/SUM(G27:G30))</f>
        <v>14.35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9.6775833333333328</v>
      </c>
      <c r="P33" s="1">
        <f>P31/P32</f>
        <v>9.5087500000000009</v>
      </c>
      <c r="Q33" s="1">
        <f>Q31/Q32</f>
        <v>9.5469827586206897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9.6775833333333328</v>
      </c>
      <c r="D36" s="14">
        <f>P33</f>
        <v>9.5087500000000009</v>
      </c>
      <c r="E36" s="14">
        <f>Q33</f>
        <v>9.5469827586206897</v>
      </c>
      <c r="F36" s="35" t="s">
        <v>61</v>
      </c>
      <c r="G36" s="16">
        <f>(H5+H6+H7+H8+H9+H13+H14+H15+H20+H16+H21+H22+H23+H27+H28+H29+H30)/30</f>
        <v>9.7853888888888889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K49:L49"/>
    <mergeCell ref="I23:J23"/>
    <mergeCell ref="B24:L24"/>
    <mergeCell ref="I35:L35"/>
    <mergeCell ref="B26:L26"/>
    <mergeCell ref="I27:J27"/>
    <mergeCell ref="I28:J28"/>
    <mergeCell ref="I29:J29"/>
    <mergeCell ref="I30:J30"/>
    <mergeCell ref="C32:F32"/>
    <mergeCell ref="G32:H32"/>
    <mergeCell ref="J32:L32"/>
    <mergeCell ref="B33:L33"/>
    <mergeCell ref="G34:H34"/>
    <mergeCell ref="J34:K34"/>
    <mergeCell ref="I4:J4"/>
    <mergeCell ref="I5:J5"/>
    <mergeCell ref="I6:J6"/>
    <mergeCell ref="I7:J7"/>
    <mergeCell ref="I8:J8"/>
    <mergeCell ref="I9:J9"/>
    <mergeCell ref="B10:L10"/>
    <mergeCell ref="C11:F11"/>
    <mergeCell ref="G11:H11"/>
    <mergeCell ref="J11:L11"/>
    <mergeCell ref="B12:L12"/>
    <mergeCell ref="I13:J13"/>
    <mergeCell ref="C25:F25"/>
    <mergeCell ref="G25:H25"/>
    <mergeCell ref="J25:L25"/>
    <mergeCell ref="I14:J14"/>
    <mergeCell ref="I15:J15"/>
    <mergeCell ref="I16:J16"/>
    <mergeCell ref="B17:L17"/>
    <mergeCell ref="I20:J20"/>
    <mergeCell ref="C18:F18"/>
    <mergeCell ref="G18:H18"/>
    <mergeCell ref="J18:L18"/>
    <mergeCell ref="B19:L19"/>
    <mergeCell ref="I21:J21"/>
    <mergeCell ref="I22:J22"/>
    <mergeCell ref="C40:F40"/>
    <mergeCell ref="G40:L41"/>
    <mergeCell ref="C41:F43"/>
    <mergeCell ref="I36:J36"/>
    <mergeCell ref="B37:H37"/>
    <mergeCell ref="I37:L37"/>
    <mergeCell ref="B38:L38"/>
    <mergeCell ref="B39:L39"/>
    <mergeCell ref="G42:J42"/>
    <mergeCell ref="K42:L42"/>
    <mergeCell ref="G43:J43"/>
    <mergeCell ref="K43:L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B9" zoomScale="89" zoomScaleNormal="89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7.958333333333333</v>
      </c>
      <c r="D5" s="2">
        <v>7</v>
      </c>
      <c r="E5" s="2">
        <v>8.5</v>
      </c>
      <c r="F5" s="2">
        <v>8.375</v>
      </c>
      <c r="G5" s="3">
        <v>3</v>
      </c>
      <c r="H5" s="4">
        <f>C5*G5</f>
        <v>23.875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21</v>
      </c>
      <c r="P5" s="5">
        <f>E5*G5</f>
        <v>25.5</v>
      </c>
      <c r="Q5" s="5">
        <f>G5*F5</f>
        <v>25.125</v>
      </c>
    </row>
    <row r="6" spans="2:29" ht="16.5" thickBot="1" x14ac:dyDescent="0.3">
      <c r="B6" s="24" t="s">
        <v>50</v>
      </c>
      <c r="C6" s="2">
        <f t="shared" ref="C6:C9" si="0">(D6+F6+E6)/3</f>
        <v>4.0916666666666668</v>
      </c>
      <c r="D6" s="2">
        <v>1.3</v>
      </c>
      <c r="E6" s="2">
        <v>3.6</v>
      </c>
      <c r="F6" s="2">
        <v>7.375</v>
      </c>
      <c r="G6" s="3">
        <v>1</v>
      </c>
      <c r="H6" s="4">
        <f t="shared" ref="H6:H9" si="1">C6*G6</f>
        <v>4.0916666666666668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1.3</v>
      </c>
      <c r="P6" s="5">
        <f t="shared" ref="P6:P9" si="4">E6*G6</f>
        <v>3.6</v>
      </c>
      <c r="Q6" s="5">
        <f t="shared" ref="Q6:Q9" si="5">G6*F6</f>
        <v>7.375</v>
      </c>
    </row>
    <row r="7" spans="2:29" ht="16.5" thickBot="1" x14ac:dyDescent="0.3">
      <c r="B7" s="24" t="s">
        <v>46</v>
      </c>
      <c r="C7" s="2">
        <f t="shared" si="0"/>
        <v>10.645000000000001</v>
      </c>
      <c r="D7" s="2">
        <v>8.3000000000000007</v>
      </c>
      <c r="E7" s="2">
        <v>10.135</v>
      </c>
      <c r="F7" s="2">
        <v>13.5</v>
      </c>
      <c r="G7" s="3">
        <v>2</v>
      </c>
      <c r="H7" s="4">
        <f t="shared" si="1"/>
        <v>21.290000000000003</v>
      </c>
      <c r="I7" s="43"/>
      <c r="J7" s="44"/>
      <c r="K7" s="5"/>
      <c r="L7" s="5" t="str">
        <f t="shared" si="2"/>
        <v>NA</v>
      </c>
      <c r="O7" s="5">
        <f t="shared" si="3"/>
        <v>16.600000000000001</v>
      </c>
      <c r="P7" s="5">
        <f t="shared" si="4"/>
        <v>20.27</v>
      </c>
      <c r="Q7" s="5">
        <f t="shared" si="5"/>
        <v>27</v>
      </c>
    </row>
    <row r="8" spans="2:29" ht="16.5" thickBot="1" x14ac:dyDescent="0.3">
      <c r="B8" s="24" t="s">
        <v>47</v>
      </c>
      <c r="C8" s="2">
        <f t="shared" si="0"/>
        <v>8.26</v>
      </c>
      <c r="D8" s="2">
        <v>6.9</v>
      </c>
      <c r="E8" s="2">
        <v>7.88</v>
      </c>
      <c r="F8" s="2">
        <v>10</v>
      </c>
      <c r="G8" s="3">
        <v>1</v>
      </c>
      <c r="H8" s="4">
        <f t="shared" si="1"/>
        <v>8.26</v>
      </c>
      <c r="I8" s="43"/>
      <c r="J8" s="44"/>
      <c r="K8" s="5"/>
      <c r="L8" s="5" t="str">
        <f t="shared" si="2"/>
        <v>NA</v>
      </c>
      <c r="O8" s="5">
        <f t="shared" si="3"/>
        <v>6.9</v>
      </c>
      <c r="P8" s="5">
        <f t="shared" si="4"/>
        <v>7.88</v>
      </c>
      <c r="Q8" s="5">
        <f t="shared" si="5"/>
        <v>10</v>
      </c>
    </row>
    <row r="9" spans="2:29" ht="16.5" thickBot="1" x14ac:dyDescent="0.3">
      <c r="B9" s="24" t="s">
        <v>51</v>
      </c>
      <c r="C9" s="2">
        <f t="shared" si="0"/>
        <v>10.65</v>
      </c>
      <c r="D9" s="2">
        <v>11.8</v>
      </c>
      <c r="E9" s="2">
        <v>11.9</v>
      </c>
      <c r="F9" s="2">
        <v>8.25</v>
      </c>
      <c r="G9" s="3">
        <v>2</v>
      </c>
      <c r="H9" s="4">
        <f t="shared" si="1"/>
        <v>21.3</v>
      </c>
      <c r="I9" s="43"/>
      <c r="J9" s="44"/>
      <c r="K9" s="5"/>
      <c r="L9" s="5" t="str">
        <f t="shared" si="2"/>
        <v>NA</v>
      </c>
      <c r="O9" s="5">
        <f t="shared" si="3"/>
        <v>23.6</v>
      </c>
      <c r="P9" s="5">
        <f t="shared" si="4"/>
        <v>23.8</v>
      </c>
      <c r="Q9" s="5">
        <f t="shared" si="5"/>
        <v>16.5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8.757407407407408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10.875</v>
      </c>
      <c r="D13" s="2">
        <v>9.4499999999999993</v>
      </c>
      <c r="E13" s="2">
        <v>12.175000000000001</v>
      </c>
      <c r="F13" s="2">
        <v>11</v>
      </c>
      <c r="G13" s="3">
        <v>2</v>
      </c>
      <c r="H13" s="4">
        <f t="shared" ref="H13:H16" si="6">C13*G13</f>
        <v>21.75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18.899999999999999</v>
      </c>
      <c r="P13" s="5">
        <f>E13*G13</f>
        <v>24.35</v>
      </c>
      <c r="Q13" s="5">
        <f>G13*F13</f>
        <v>22</v>
      </c>
    </row>
    <row r="14" spans="2:29" ht="16.5" thickBot="1" x14ac:dyDescent="0.3">
      <c r="B14" s="24" t="s">
        <v>12</v>
      </c>
      <c r="C14" s="2">
        <f t="shared" ref="C14:C16" si="8">(D14+F14+E14)/3</f>
        <v>13.208333333333334</v>
      </c>
      <c r="D14" s="2">
        <v>11</v>
      </c>
      <c r="E14" s="2">
        <v>12.875</v>
      </c>
      <c r="F14" s="2">
        <v>15.75</v>
      </c>
      <c r="G14" s="3">
        <v>1.5</v>
      </c>
      <c r="H14" s="4">
        <f t="shared" si="6"/>
        <v>19.8125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16.5</v>
      </c>
      <c r="P14" s="5">
        <f t="shared" ref="P14:P16" si="10">E14*G14</f>
        <v>19.3125</v>
      </c>
      <c r="Q14" s="5">
        <f t="shared" ref="Q14:Q16" si="11">G14*F14</f>
        <v>23.625</v>
      </c>
    </row>
    <row r="15" spans="2:29" ht="16.5" thickBot="1" x14ac:dyDescent="0.3">
      <c r="B15" s="24" t="s">
        <v>13</v>
      </c>
      <c r="C15" s="2">
        <f t="shared" si="8"/>
        <v>10.15</v>
      </c>
      <c r="D15" s="2">
        <v>8.5</v>
      </c>
      <c r="E15" s="2">
        <v>10.7</v>
      </c>
      <c r="F15" s="2">
        <v>11.25</v>
      </c>
      <c r="G15" s="3">
        <v>1.5</v>
      </c>
      <c r="H15" s="4">
        <f t="shared" si="6"/>
        <v>15.225000000000001</v>
      </c>
      <c r="I15" s="43"/>
      <c r="J15" s="44"/>
      <c r="K15" s="5"/>
      <c r="L15" s="5" t="str">
        <f t="shared" si="9"/>
        <v>NA</v>
      </c>
      <c r="O15" s="5">
        <f t="shared" si="7"/>
        <v>12.75</v>
      </c>
      <c r="P15" s="5">
        <f t="shared" si="10"/>
        <v>16.049999999999997</v>
      </c>
      <c r="Q15" s="5">
        <f t="shared" si="11"/>
        <v>16.875</v>
      </c>
    </row>
    <row r="16" spans="2:29" ht="16.5" thickBot="1" x14ac:dyDescent="0.3">
      <c r="B16" s="24" t="s">
        <v>48</v>
      </c>
      <c r="C16" s="2">
        <f t="shared" si="8"/>
        <v>12.333333333333334</v>
      </c>
      <c r="D16" s="2">
        <v>14.5</v>
      </c>
      <c r="E16" s="2">
        <v>10</v>
      </c>
      <c r="F16" s="2">
        <v>12.5</v>
      </c>
      <c r="G16" s="3">
        <v>1</v>
      </c>
      <c r="H16" s="4">
        <f t="shared" si="6"/>
        <v>12.333333333333334</v>
      </c>
      <c r="I16" s="43"/>
      <c r="J16" s="44"/>
      <c r="K16" s="5"/>
      <c r="L16" s="5" t="str">
        <f t="shared" si="9"/>
        <v>ECA</v>
      </c>
      <c r="O16" s="5">
        <f t="shared" si="7"/>
        <v>14.5</v>
      </c>
      <c r="P16" s="5">
        <f t="shared" si="10"/>
        <v>10</v>
      </c>
      <c r="Q16" s="5">
        <f t="shared" si="11"/>
        <v>12.5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5" customHeight="1" thickBot="1" x14ac:dyDescent="0.3">
      <c r="B18" s="6" t="s">
        <v>14</v>
      </c>
      <c r="C18" s="45">
        <f>(SUM(H13:H16)/SUM(G13:G16))</f>
        <v>11.520138888888889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11.083333333333334</v>
      </c>
      <c r="D20" s="2">
        <v>12.25</v>
      </c>
      <c r="E20" s="2">
        <v>9.75</v>
      </c>
      <c r="F20" s="2">
        <v>11.25</v>
      </c>
      <c r="G20" s="3">
        <v>2</v>
      </c>
      <c r="H20" s="4">
        <f t="shared" ref="H20:H23" si="12">C20*G20</f>
        <v>22.166666666666668</v>
      </c>
      <c r="I20" s="43"/>
      <c r="J20" s="44"/>
      <c r="K20" s="5"/>
      <c r="L20" s="5" t="str">
        <f t="shared" ref="L20:L23" si="13">IF(C20&lt;11,"NA",IF(C20&lt;15,"ECA",IF(C20&lt;18,"A",IF(C20&lt;20,"A+"))))</f>
        <v>ECA</v>
      </c>
      <c r="O20" s="5">
        <f t="shared" ref="O20:O23" si="14">D20*G20</f>
        <v>24.5</v>
      </c>
      <c r="P20" s="5">
        <f>E20*G20</f>
        <v>19.5</v>
      </c>
      <c r="Q20" s="5">
        <f>G20*F20</f>
        <v>22.5</v>
      </c>
    </row>
    <row r="21" spans="2:17" ht="16.5" thickBot="1" x14ac:dyDescent="0.3">
      <c r="B21" s="24" t="s">
        <v>8</v>
      </c>
      <c r="C21" s="2">
        <f t="shared" ref="C21:C23" si="15">(D21+F21+E21)/3</f>
        <v>3.4433333333333334</v>
      </c>
      <c r="D21" s="2">
        <v>2.13</v>
      </c>
      <c r="E21" s="2">
        <v>3.95</v>
      </c>
      <c r="F21" s="2">
        <v>4.25</v>
      </c>
      <c r="G21" s="3">
        <v>4</v>
      </c>
      <c r="H21" s="4">
        <f t="shared" si="12"/>
        <v>13.773333333333333</v>
      </c>
      <c r="I21" s="43"/>
      <c r="J21" s="44"/>
      <c r="K21" s="5"/>
      <c r="L21" s="5" t="str">
        <f t="shared" si="13"/>
        <v>NA</v>
      </c>
      <c r="O21" s="5">
        <f t="shared" si="14"/>
        <v>8.52</v>
      </c>
      <c r="P21" s="5">
        <f t="shared" ref="P21:P23" si="16">E21*G21</f>
        <v>15.8</v>
      </c>
      <c r="Q21" s="5">
        <f t="shared" ref="Q21:Q23" si="17">G21*F21</f>
        <v>17</v>
      </c>
    </row>
    <row r="22" spans="2:17" ht="16.5" thickBot="1" x14ac:dyDescent="0.3">
      <c r="B22" s="24" t="s">
        <v>52</v>
      </c>
      <c r="C22" s="2">
        <f t="shared" si="15"/>
        <v>5.7666666666666666</v>
      </c>
      <c r="D22" s="2">
        <v>3.95</v>
      </c>
      <c r="E22" s="2">
        <v>4.875</v>
      </c>
      <c r="F22" s="2">
        <v>8.4749999999999996</v>
      </c>
      <c r="G22" s="3">
        <v>2</v>
      </c>
      <c r="H22" s="4">
        <f t="shared" si="12"/>
        <v>11.533333333333333</v>
      </c>
      <c r="I22" s="43"/>
      <c r="J22" s="44"/>
      <c r="K22" s="5"/>
      <c r="L22" s="5" t="str">
        <f t="shared" si="13"/>
        <v>NA</v>
      </c>
      <c r="O22" s="5">
        <f t="shared" si="14"/>
        <v>7.9</v>
      </c>
      <c r="P22" s="5">
        <f t="shared" si="16"/>
        <v>9.75</v>
      </c>
      <c r="Q22" s="5">
        <f t="shared" si="17"/>
        <v>16.95</v>
      </c>
    </row>
    <row r="23" spans="2:17" ht="16.5" thickBot="1" x14ac:dyDescent="0.3">
      <c r="B23" s="24" t="s">
        <v>9</v>
      </c>
      <c r="C23" s="2">
        <f t="shared" si="15"/>
        <v>9.1749999999999989</v>
      </c>
      <c r="D23" s="2">
        <v>8.6999999999999993</v>
      </c>
      <c r="E23" s="2">
        <v>8.6</v>
      </c>
      <c r="F23" s="2">
        <v>10.225</v>
      </c>
      <c r="G23" s="3">
        <v>2</v>
      </c>
      <c r="H23" s="4">
        <f t="shared" si="12"/>
        <v>18.349999999999998</v>
      </c>
      <c r="I23" s="43"/>
      <c r="J23" s="44"/>
      <c r="K23" s="5"/>
      <c r="L23" s="5" t="str">
        <f t="shared" si="13"/>
        <v>NA</v>
      </c>
      <c r="O23" s="5">
        <f t="shared" si="14"/>
        <v>17.399999999999999</v>
      </c>
      <c r="P23" s="5">
        <f t="shared" si="16"/>
        <v>17.2</v>
      </c>
      <c r="Q23" s="5">
        <f t="shared" si="17"/>
        <v>20.45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5" customHeight="1" thickBot="1" x14ac:dyDescent="0.3">
      <c r="B25" s="6" t="s">
        <v>10</v>
      </c>
      <c r="C25" s="45">
        <f>(SUM(H20:H23)/SUM(G20:G23))</f>
        <v>6.5823333333333327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13.5</v>
      </c>
      <c r="D27" s="2">
        <v>14</v>
      </c>
      <c r="E27" s="2">
        <v>0</v>
      </c>
      <c r="F27" s="2">
        <v>13</v>
      </c>
      <c r="G27" s="3">
        <v>1</v>
      </c>
      <c r="H27" s="4">
        <f t="shared" ref="H27:H30" si="18">C27*G27</f>
        <v>13.5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14</v>
      </c>
      <c r="P27" s="5">
        <f>E27*G27</f>
        <v>0</v>
      </c>
      <c r="Q27" s="5">
        <f>G27*F27</f>
        <v>13</v>
      </c>
    </row>
    <row r="28" spans="2:17" ht="16.5" thickBot="1" x14ac:dyDescent="0.3">
      <c r="B28" s="24" t="s">
        <v>44</v>
      </c>
      <c r="C28" s="2">
        <f t="shared" ref="C28" si="21">(D28+F28+E28)/3</f>
        <v>13.25</v>
      </c>
      <c r="D28" s="2">
        <v>12</v>
      </c>
      <c r="E28" s="2">
        <v>14.5</v>
      </c>
      <c r="F28" s="2">
        <v>13.25</v>
      </c>
      <c r="G28" s="3">
        <v>2</v>
      </c>
      <c r="H28" s="4">
        <f t="shared" si="18"/>
        <v>26.5</v>
      </c>
      <c r="I28" s="43"/>
      <c r="J28" s="44"/>
      <c r="K28" s="5"/>
      <c r="L28" s="5" t="str">
        <f t="shared" si="19"/>
        <v>ECA</v>
      </c>
      <c r="O28" s="5">
        <f t="shared" si="20"/>
        <v>24</v>
      </c>
      <c r="P28" s="5">
        <f t="shared" ref="P28:P30" si="22">E28*G28</f>
        <v>29</v>
      </c>
      <c r="Q28" s="5">
        <f t="shared" ref="Q28:Q30" si="23">G28*F28</f>
        <v>26.5</v>
      </c>
    </row>
    <row r="29" spans="2:17" ht="16.5" thickBot="1" x14ac:dyDescent="0.3">
      <c r="B29" s="24" t="s">
        <v>45</v>
      </c>
      <c r="C29" s="2">
        <f>(D29+F29+E29)/2</f>
        <v>13</v>
      </c>
      <c r="D29" s="2">
        <v>13</v>
      </c>
      <c r="E29" s="2">
        <v>13</v>
      </c>
      <c r="F29" s="2">
        <v>0</v>
      </c>
      <c r="G29" s="3">
        <v>1</v>
      </c>
      <c r="H29" s="4">
        <f t="shared" si="18"/>
        <v>13</v>
      </c>
      <c r="I29" s="43"/>
      <c r="J29" s="44"/>
      <c r="K29" s="5"/>
      <c r="L29" s="5" t="str">
        <f t="shared" si="19"/>
        <v>ECA</v>
      </c>
      <c r="O29" s="5">
        <f t="shared" si="20"/>
        <v>13</v>
      </c>
      <c r="P29" s="5">
        <f t="shared" si="22"/>
        <v>13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15.75</v>
      </c>
      <c r="D30" s="2">
        <v>16</v>
      </c>
      <c r="E30" s="2">
        <v>0</v>
      </c>
      <c r="F30" s="2">
        <v>15.5</v>
      </c>
      <c r="G30" s="3">
        <v>1</v>
      </c>
      <c r="H30" s="4">
        <f t="shared" si="18"/>
        <v>15.75</v>
      </c>
      <c r="I30" s="43"/>
      <c r="J30" s="44"/>
      <c r="K30" s="5"/>
      <c r="L30" s="5" t="str">
        <f t="shared" si="19"/>
        <v>A</v>
      </c>
      <c r="O30" s="5">
        <f t="shared" si="20"/>
        <v>16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257.37</v>
      </c>
      <c r="P31" s="1">
        <f>SUM(P5:P30)</f>
        <v>255.01249999999999</v>
      </c>
      <c r="Q31" s="1">
        <f>SUM(Q5:Q30)</f>
        <v>292.89999999999998</v>
      </c>
    </row>
    <row r="32" spans="2:17" ht="16.5" customHeight="1" thickBot="1" x14ac:dyDescent="0.3">
      <c r="B32" s="6" t="s">
        <v>14</v>
      </c>
      <c r="C32" s="45">
        <f>(SUM(H27:H30)/SUM(G27:G30))</f>
        <v>13.75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8.5790000000000006</v>
      </c>
      <c r="P33" s="1">
        <f>P31/P32</f>
        <v>9.1075892857142851</v>
      </c>
      <c r="Q33" s="1">
        <f>Q31/Q32</f>
        <v>10.1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8.5790000000000006</v>
      </c>
      <c r="D36" s="14">
        <f>P33</f>
        <v>9.1075892857142851</v>
      </c>
      <c r="E36" s="14">
        <f>Q33</f>
        <v>10.1</v>
      </c>
      <c r="F36" s="35" t="s">
        <v>61</v>
      </c>
      <c r="G36" s="16">
        <f>(H5+H6+H7+H8+H9+H13+H14+H15+H20+H16+H21+H22+H23+H27+H28+H29+H30)/30</f>
        <v>9.4170277777777791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5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5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5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5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5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5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5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12:L12"/>
    <mergeCell ref="I9:J9"/>
    <mergeCell ref="B10:L10"/>
    <mergeCell ref="C11:F11"/>
    <mergeCell ref="G11:H11"/>
    <mergeCell ref="J11:L11"/>
    <mergeCell ref="I4:J4"/>
    <mergeCell ref="I5:J5"/>
    <mergeCell ref="I6:J6"/>
    <mergeCell ref="I7:J7"/>
    <mergeCell ref="I8:J8"/>
    <mergeCell ref="B33:L33"/>
    <mergeCell ref="G34:H34"/>
    <mergeCell ref="I13:J13"/>
    <mergeCell ref="I14:J14"/>
    <mergeCell ref="I15:J15"/>
    <mergeCell ref="I16:J16"/>
    <mergeCell ref="I28:J28"/>
    <mergeCell ref="I29:J29"/>
    <mergeCell ref="I30:J30"/>
    <mergeCell ref="C32:F32"/>
    <mergeCell ref="G32:H32"/>
    <mergeCell ref="J32:L32"/>
    <mergeCell ref="C25:F25"/>
    <mergeCell ref="G25:H25"/>
    <mergeCell ref="J25:L25"/>
    <mergeCell ref="B26:L26"/>
    <mergeCell ref="I27:J27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  <mergeCell ref="B24:L24"/>
    <mergeCell ref="J34:K34"/>
    <mergeCell ref="I35:L35"/>
    <mergeCell ref="I36:J36"/>
    <mergeCell ref="B37:H37"/>
    <mergeCell ref="I37:L37"/>
    <mergeCell ref="B38:L38"/>
    <mergeCell ref="B39:L39"/>
    <mergeCell ref="C40:F40"/>
    <mergeCell ref="G40:L41"/>
    <mergeCell ref="C41:F43"/>
    <mergeCell ref="G42:J42"/>
    <mergeCell ref="K42:L42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K49:L49"/>
  </mergeCells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3" zoomScale="88" zoomScaleNormal="88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4.75</v>
      </c>
      <c r="D5" s="2">
        <v>5.5</v>
      </c>
      <c r="E5" s="2">
        <v>3</v>
      </c>
      <c r="F5" s="2">
        <v>5.75</v>
      </c>
      <c r="G5" s="3">
        <v>3</v>
      </c>
      <c r="H5" s="4">
        <f>C5*G5</f>
        <v>14.25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16.5</v>
      </c>
      <c r="P5" s="5">
        <f>E5*G5</f>
        <v>9</v>
      </c>
      <c r="Q5" s="5">
        <f>G5*F5</f>
        <v>17.25</v>
      </c>
    </row>
    <row r="6" spans="2:29" ht="16.5" thickBot="1" x14ac:dyDescent="0.3">
      <c r="B6" s="24" t="s">
        <v>50</v>
      </c>
      <c r="C6" s="2">
        <f t="shared" ref="C6:C8" si="0">(D6+F6+E6)/3</f>
        <v>1.9083333333333332</v>
      </c>
      <c r="D6" s="2">
        <v>1.6</v>
      </c>
      <c r="E6" s="2">
        <v>1</v>
      </c>
      <c r="F6" s="2">
        <v>3.125</v>
      </c>
      <c r="G6" s="3">
        <v>1</v>
      </c>
      <c r="H6" s="4">
        <f t="shared" ref="H6:H9" si="1">C6*G6</f>
        <v>1.9083333333333332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1.6</v>
      </c>
      <c r="P6" s="5">
        <f t="shared" ref="P6:P9" si="4">E6*G6</f>
        <v>1</v>
      </c>
      <c r="Q6" s="5">
        <f t="shared" ref="Q6:Q9" si="5">G6*F6</f>
        <v>3.125</v>
      </c>
    </row>
    <row r="7" spans="2:29" ht="16.5" thickBot="1" x14ac:dyDescent="0.3">
      <c r="B7" s="24" t="s">
        <v>46</v>
      </c>
      <c r="C7" s="2">
        <f t="shared" si="0"/>
        <v>4.75</v>
      </c>
      <c r="D7" s="2">
        <v>6.5</v>
      </c>
      <c r="E7" s="2">
        <v>1</v>
      </c>
      <c r="F7" s="2">
        <v>6.75</v>
      </c>
      <c r="G7" s="3">
        <v>2</v>
      </c>
      <c r="H7" s="4">
        <f t="shared" si="1"/>
        <v>9.5</v>
      </c>
      <c r="I7" s="43"/>
      <c r="J7" s="44"/>
      <c r="K7" s="5"/>
      <c r="L7" s="5" t="str">
        <f t="shared" si="2"/>
        <v>NA</v>
      </c>
      <c r="O7" s="5">
        <f t="shared" si="3"/>
        <v>13</v>
      </c>
      <c r="P7" s="5">
        <f t="shared" si="4"/>
        <v>2</v>
      </c>
      <c r="Q7" s="5">
        <f t="shared" si="5"/>
        <v>13.5</v>
      </c>
    </row>
    <row r="8" spans="2:29" ht="16.5" thickBot="1" x14ac:dyDescent="0.3">
      <c r="B8" s="24" t="s">
        <v>47</v>
      </c>
      <c r="C8" s="2">
        <f t="shared" si="0"/>
        <v>6.3150000000000004</v>
      </c>
      <c r="D8" s="2">
        <v>5.5150000000000006</v>
      </c>
      <c r="E8" s="2">
        <v>7.93</v>
      </c>
      <c r="F8" s="2">
        <v>5.5</v>
      </c>
      <c r="G8" s="3">
        <v>1</v>
      </c>
      <c r="H8" s="4">
        <f t="shared" si="1"/>
        <v>6.3150000000000004</v>
      </c>
      <c r="I8" s="43"/>
      <c r="J8" s="44"/>
      <c r="K8" s="5"/>
      <c r="L8" s="5" t="str">
        <f t="shared" si="2"/>
        <v>NA</v>
      </c>
      <c r="O8" s="5">
        <f t="shared" si="3"/>
        <v>5.5150000000000006</v>
      </c>
      <c r="P8" s="5">
        <f t="shared" si="4"/>
        <v>7.93</v>
      </c>
      <c r="Q8" s="5">
        <f t="shared" si="5"/>
        <v>5.5</v>
      </c>
    </row>
    <row r="9" spans="2:29" ht="16.5" thickBot="1" x14ac:dyDescent="0.3">
      <c r="B9" s="24" t="s">
        <v>51</v>
      </c>
      <c r="C9" s="2">
        <f>(D9+F9+E9)/2</f>
        <v>7.5</v>
      </c>
      <c r="D9" s="2">
        <v>7.25</v>
      </c>
      <c r="E9" s="2">
        <v>0</v>
      </c>
      <c r="F9" s="2">
        <v>7.75</v>
      </c>
      <c r="G9" s="3">
        <v>2</v>
      </c>
      <c r="H9" s="4">
        <f t="shared" si="1"/>
        <v>15</v>
      </c>
      <c r="I9" s="43"/>
      <c r="J9" s="44"/>
      <c r="K9" s="5"/>
      <c r="L9" s="5" t="str">
        <f t="shared" si="2"/>
        <v>NA</v>
      </c>
      <c r="O9" s="5">
        <f t="shared" si="3"/>
        <v>14.5</v>
      </c>
      <c r="P9" s="5">
        <f t="shared" si="4"/>
        <v>0</v>
      </c>
      <c r="Q9" s="5">
        <f t="shared" si="5"/>
        <v>15.5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5.2192592592592586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9.2666666666666675</v>
      </c>
      <c r="D13" s="2">
        <v>11.425000000000001</v>
      </c>
      <c r="E13" s="2">
        <v>10.5</v>
      </c>
      <c r="F13" s="2">
        <v>5.875</v>
      </c>
      <c r="G13" s="3">
        <v>2</v>
      </c>
      <c r="H13" s="4">
        <f t="shared" ref="H13:H16" si="6">C13*G13</f>
        <v>18.533333333333335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22.85</v>
      </c>
      <c r="P13" s="5">
        <f>E13*G13</f>
        <v>21</v>
      </c>
      <c r="Q13" s="5">
        <f>G13*F13</f>
        <v>11.75</v>
      </c>
    </row>
    <row r="14" spans="2:29" ht="16.5" thickBot="1" x14ac:dyDescent="0.3">
      <c r="B14" s="24" t="s">
        <v>12</v>
      </c>
      <c r="C14" s="2">
        <f t="shared" ref="C14:C16" si="8">(D14+F14+E14)/3</f>
        <v>6.916666666666667</v>
      </c>
      <c r="D14" s="2">
        <v>3</v>
      </c>
      <c r="E14" s="2">
        <v>10</v>
      </c>
      <c r="F14" s="2">
        <v>7.75</v>
      </c>
      <c r="G14" s="3">
        <v>1.5</v>
      </c>
      <c r="H14" s="4">
        <f t="shared" si="6"/>
        <v>10.375</v>
      </c>
      <c r="I14" s="43"/>
      <c r="J14" s="44"/>
      <c r="K14" s="5"/>
      <c r="L14" s="5" t="str">
        <f t="shared" ref="L14:L16" si="9">IF(C14&lt;11,"NA",IF(C14&lt;15,"ECA",IF(C14&lt;18,"A",IF(C14&lt;20,"A+"))))</f>
        <v>NA</v>
      </c>
      <c r="O14" s="5">
        <f t="shared" si="7"/>
        <v>4.5</v>
      </c>
      <c r="P14" s="5">
        <f t="shared" ref="P14:P16" si="10">E14*G14</f>
        <v>15</v>
      </c>
      <c r="Q14" s="5">
        <f t="shared" ref="Q14:Q16" si="11">G14*F14</f>
        <v>11.625</v>
      </c>
    </row>
    <row r="15" spans="2:29" ht="16.5" thickBot="1" x14ac:dyDescent="0.3">
      <c r="B15" s="24" t="s">
        <v>13</v>
      </c>
      <c r="C15" s="2">
        <f t="shared" si="8"/>
        <v>8.5</v>
      </c>
      <c r="D15" s="2">
        <v>8.5</v>
      </c>
      <c r="E15" s="2">
        <v>10.5</v>
      </c>
      <c r="F15" s="2">
        <v>6.5</v>
      </c>
      <c r="G15" s="3">
        <v>1.5</v>
      </c>
      <c r="H15" s="4">
        <f t="shared" si="6"/>
        <v>12.75</v>
      </c>
      <c r="I15" s="43"/>
      <c r="J15" s="44"/>
      <c r="K15" s="5"/>
      <c r="L15" s="5" t="str">
        <f t="shared" si="9"/>
        <v>NA</v>
      </c>
      <c r="O15" s="5">
        <f t="shared" si="7"/>
        <v>12.75</v>
      </c>
      <c r="P15" s="5">
        <f t="shared" si="10"/>
        <v>15.75</v>
      </c>
      <c r="Q15" s="5">
        <f t="shared" si="11"/>
        <v>9.75</v>
      </c>
    </row>
    <row r="16" spans="2:29" ht="16.5" thickBot="1" x14ac:dyDescent="0.3">
      <c r="B16" s="24" t="s">
        <v>48</v>
      </c>
      <c r="C16" s="2">
        <f t="shared" si="8"/>
        <v>8.9583333333333339</v>
      </c>
      <c r="D16" s="2">
        <v>8.875</v>
      </c>
      <c r="E16" s="2">
        <v>8</v>
      </c>
      <c r="F16" s="2">
        <v>10</v>
      </c>
      <c r="G16" s="3">
        <v>1</v>
      </c>
      <c r="H16" s="4">
        <f t="shared" si="6"/>
        <v>8.9583333333333339</v>
      </c>
      <c r="I16" s="43"/>
      <c r="J16" s="44"/>
      <c r="K16" s="5"/>
      <c r="L16" s="5" t="str">
        <f t="shared" si="9"/>
        <v>NA</v>
      </c>
      <c r="O16" s="5">
        <f t="shared" si="7"/>
        <v>8.875</v>
      </c>
      <c r="P16" s="5">
        <f t="shared" si="10"/>
        <v>8</v>
      </c>
      <c r="Q16" s="5">
        <f t="shared" si="11"/>
        <v>10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5" customHeight="1" thickBot="1" x14ac:dyDescent="0.3">
      <c r="B18" s="6" t="s">
        <v>14</v>
      </c>
      <c r="C18" s="45">
        <f>(SUM(H13:H16)/SUM(G13:G16))</f>
        <v>8.4361111111111118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6.6166666666666671</v>
      </c>
      <c r="D20" s="2">
        <v>5.1750000000000007</v>
      </c>
      <c r="E20" s="2">
        <v>7.55</v>
      </c>
      <c r="F20" s="2">
        <v>7.125</v>
      </c>
      <c r="G20" s="3">
        <v>2</v>
      </c>
      <c r="H20" s="4">
        <f t="shared" ref="H20:H23" si="12">C20*G20</f>
        <v>13.233333333333334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10.350000000000001</v>
      </c>
      <c r="P20" s="5">
        <f>E20*G20</f>
        <v>15.1</v>
      </c>
      <c r="Q20" s="5">
        <f>G20*F20</f>
        <v>14.25</v>
      </c>
    </row>
    <row r="21" spans="2:17" ht="16.5" thickBot="1" x14ac:dyDescent="0.3">
      <c r="B21" s="24" t="s">
        <v>8</v>
      </c>
      <c r="C21" s="2">
        <f t="shared" ref="C21:C23" si="15">(D21+F21+E21)/3</f>
        <v>4.8633333333333333</v>
      </c>
      <c r="D21" s="2">
        <v>3.9400000000000004</v>
      </c>
      <c r="E21" s="2">
        <v>6.75</v>
      </c>
      <c r="F21" s="2">
        <v>3.9</v>
      </c>
      <c r="G21" s="3">
        <v>4</v>
      </c>
      <c r="H21" s="4">
        <f t="shared" si="12"/>
        <v>19.453333333333333</v>
      </c>
      <c r="I21" s="43"/>
      <c r="J21" s="44"/>
      <c r="K21" s="5"/>
      <c r="L21" s="5" t="str">
        <f t="shared" si="13"/>
        <v>NA</v>
      </c>
      <c r="O21" s="5">
        <f t="shared" si="14"/>
        <v>15.760000000000002</v>
      </c>
      <c r="P21" s="5">
        <f t="shared" ref="P21:P23" si="16">E21*G21</f>
        <v>27</v>
      </c>
      <c r="Q21" s="5">
        <f t="shared" ref="Q21:Q23" si="17">G21*F21</f>
        <v>15.6</v>
      </c>
    </row>
    <row r="22" spans="2:17" ht="16.5" thickBot="1" x14ac:dyDescent="0.3">
      <c r="B22" s="24" t="s">
        <v>52</v>
      </c>
      <c r="C22" s="2">
        <f t="shared" si="15"/>
        <v>5.2583333333333337</v>
      </c>
      <c r="D22" s="2">
        <v>7.0500000000000007</v>
      </c>
      <c r="E22" s="2">
        <v>4.7</v>
      </c>
      <c r="F22" s="2">
        <v>4.0250000000000004</v>
      </c>
      <c r="G22" s="3">
        <v>2</v>
      </c>
      <c r="H22" s="4">
        <f t="shared" si="12"/>
        <v>10.516666666666667</v>
      </c>
      <c r="I22" s="43"/>
      <c r="J22" s="44"/>
      <c r="K22" s="5"/>
      <c r="L22" s="5" t="str">
        <f t="shared" si="13"/>
        <v>NA</v>
      </c>
      <c r="O22" s="5">
        <f t="shared" si="14"/>
        <v>14.100000000000001</v>
      </c>
      <c r="P22" s="5">
        <f t="shared" si="16"/>
        <v>9.4</v>
      </c>
      <c r="Q22" s="5">
        <f t="shared" si="17"/>
        <v>8.0500000000000007</v>
      </c>
    </row>
    <row r="23" spans="2:17" ht="16.5" thickBot="1" x14ac:dyDescent="0.3">
      <c r="B23" s="24" t="s">
        <v>9</v>
      </c>
      <c r="C23" s="2">
        <f t="shared" si="15"/>
        <v>7.7166666666666659</v>
      </c>
      <c r="D23" s="2">
        <v>9.375</v>
      </c>
      <c r="E23" s="2">
        <v>5.6</v>
      </c>
      <c r="F23" s="2">
        <v>8.1750000000000007</v>
      </c>
      <c r="G23" s="3">
        <v>2</v>
      </c>
      <c r="H23" s="4">
        <f t="shared" si="12"/>
        <v>15.433333333333332</v>
      </c>
      <c r="I23" s="43"/>
      <c r="J23" s="44"/>
      <c r="K23" s="5"/>
      <c r="L23" s="5" t="str">
        <f t="shared" si="13"/>
        <v>NA</v>
      </c>
      <c r="O23" s="5">
        <f t="shared" si="14"/>
        <v>18.75</v>
      </c>
      <c r="P23" s="5">
        <f t="shared" si="16"/>
        <v>11.2</v>
      </c>
      <c r="Q23" s="5">
        <f t="shared" si="17"/>
        <v>16.350000000000001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5" customHeight="1" thickBot="1" x14ac:dyDescent="0.3">
      <c r="B25" s="6" t="s">
        <v>10</v>
      </c>
      <c r="C25" s="45">
        <f>(SUM(H20:H23)/SUM(G20:G23))</f>
        <v>5.8636666666666661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11.75</v>
      </c>
      <c r="D27" s="2">
        <v>11.5</v>
      </c>
      <c r="E27" s="2">
        <v>0</v>
      </c>
      <c r="F27" s="2">
        <v>12</v>
      </c>
      <c r="G27" s="3">
        <v>1</v>
      </c>
      <c r="H27" s="4">
        <f t="shared" ref="H27:H30" si="18">C27*G27</f>
        <v>11.75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11.5</v>
      </c>
      <c r="P27" s="5">
        <f>E27*G27</f>
        <v>0</v>
      </c>
      <c r="Q27" s="5">
        <f>G27*F27</f>
        <v>12</v>
      </c>
    </row>
    <row r="28" spans="2:17" ht="16.5" thickBot="1" x14ac:dyDescent="0.3">
      <c r="B28" s="24" t="s">
        <v>44</v>
      </c>
      <c r="C28" s="2">
        <f t="shared" ref="C28" si="21">(D28+F28+E28)/3</f>
        <v>11.708333333333334</v>
      </c>
      <c r="D28" s="2">
        <v>13.25</v>
      </c>
      <c r="E28" s="2">
        <v>14</v>
      </c>
      <c r="F28" s="2">
        <v>7.875</v>
      </c>
      <c r="G28" s="3">
        <v>2</v>
      </c>
      <c r="H28" s="4">
        <f t="shared" si="18"/>
        <v>23.416666666666668</v>
      </c>
      <c r="I28" s="43"/>
      <c r="J28" s="44"/>
      <c r="K28" s="5"/>
      <c r="L28" s="5" t="str">
        <f t="shared" si="19"/>
        <v>ECA</v>
      </c>
      <c r="O28" s="5">
        <f t="shared" si="20"/>
        <v>26.5</v>
      </c>
      <c r="P28" s="5">
        <f t="shared" ref="P28:P30" si="22">E28*G28</f>
        <v>28</v>
      </c>
      <c r="Q28" s="5">
        <f t="shared" ref="Q28:Q30" si="23">G28*F28</f>
        <v>15.75</v>
      </c>
    </row>
    <row r="29" spans="2:17" ht="16.5" thickBot="1" x14ac:dyDescent="0.3">
      <c r="B29" s="24" t="s">
        <v>45</v>
      </c>
      <c r="C29" s="2">
        <f>(D29+F29+E29)</f>
        <v>11</v>
      </c>
      <c r="D29" s="2">
        <v>11</v>
      </c>
      <c r="E29" s="2">
        <v>0</v>
      </c>
      <c r="F29" s="2">
        <v>0</v>
      </c>
      <c r="G29" s="3">
        <v>1</v>
      </c>
      <c r="H29" s="4">
        <f t="shared" si="18"/>
        <v>11</v>
      </c>
      <c r="I29" s="43"/>
      <c r="J29" s="44"/>
      <c r="K29" s="5"/>
      <c r="L29" s="5" t="str">
        <f t="shared" si="19"/>
        <v>ECA</v>
      </c>
      <c r="O29" s="5">
        <f t="shared" si="20"/>
        <v>11</v>
      </c>
      <c r="P29" s="5">
        <f t="shared" si="22"/>
        <v>0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14.75</v>
      </c>
      <c r="D30" s="2">
        <v>14</v>
      </c>
      <c r="E30" s="2">
        <v>0</v>
      </c>
      <c r="F30" s="2">
        <v>15.5</v>
      </c>
      <c r="G30" s="3">
        <v>1</v>
      </c>
      <c r="H30" s="4">
        <f t="shared" si="18"/>
        <v>14.75</v>
      </c>
      <c r="I30" s="43"/>
      <c r="J30" s="44"/>
      <c r="K30" s="5"/>
      <c r="L30" s="5" t="str">
        <f t="shared" si="19"/>
        <v>ECA</v>
      </c>
      <c r="O30" s="5">
        <f t="shared" si="20"/>
        <v>14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222.05</v>
      </c>
      <c r="P31" s="1">
        <f>SUM(P5:P30)</f>
        <v>170.38</v>
      </c>
      <c r="Q31" s="1">
        <f>SUM(Q5:Q30)</f>
        <v>195.5</v>
      </c>
    </row>
    <row r="32" spans="2:17" ht="16.5" customHeight="1" thickBot="1" x14ac:dyDescent="0.3">
      <c r="B32" s="6" t="s">
        <v>14</v>
      </c>
      <c r="C32" s="45">
        <f>(SUM(H27:H30)/SUM(G27:G30))</f>
        <v>12.183333333333334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26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7.4016666666666673</v>
      </c>
      <c r="P33" s="1">
        <f>P31/P32</f>
        <v>6.5530769230769232</v>
      </c>
      <c r="Q33" s="1">
        <f>Q31/Q32</f>
        <v>6.7413793103448274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7.4016666666666673</v>
      </c>
      <c r="D36" s="14">
        <f>P33</f>
        <v>6.5530769230769232</v>
      </c>
      <c r="E36" s="14">
        <f>Q33</f>
        <v>6.7413793103448274</v>
      </c>
      <c r="F36" s="35" t="s">
        <v>61</v>
      </c>
      <c r="G36" s="16">
        <f>(H5+H6+H7+H8+H9+H13+H14+H15+H20+H16+H21+H22+H23+H27+H28+H29+H30)/30</f>
        <v>7.2381111111111105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5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5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5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5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5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5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5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12:L12"/>
    <mergeCell ref="I9:J9"/>
    <mergeCell ref="B10:L10"/>
    <mergeCell ref="C11:F11"/>
    <mergeCell ref="G11:H11"/>
    <mergeCell ref="J11:L11"/>
    <mergeCell ref="I4:J4"/>
    <mergeCell ref="I5:J5"/>
    <mergeCell ref="I6:J6"/>
    <mergeCell ref="I7:J7"/>
    <mergeCell ref="I8:J8"/>
    <mergeCell ref="B33:L33"/>
    <mergeCell ref="G34:H34"/>
    <mergeCell ref="I13:J13"/>
    <mergeCell ref="I14:J14"/>
    <mergeCell ref="I15:J15"/>
    <mergeCell ref="I16:J16"/>
    <mergeCell ref="I28:J28"/>
    <mergeCell ref="I29:J29"/>
    <mergeCell ref="I30:J30"/>
    <mergeCell ref="C32:F32"/>
    <mergeCell ref="G32:H32"/>
    <mergeCell ref="J32:L32"/>
    <mergeCell ref="C25:F25"/>
    <mergeCell ref="G25:H25"/>
    <mergeCell ref="J25:L25"/>
    <mergeCell ref="B26:L26"/>
    <mergeCell ref="I27:J27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  <mergeCell ref="B24:L24"/>
    <mergeCell ref="J34:K34"/>
    <mergeCell ref="I35:L35"/>
    <mergeCell ref="I36:J36"/>
    <mergeCell ref="B37:H37"/>
    <mergeCell ref="I37:L37"/>
    <mergeCell ref="B38:L38"/>
    <mergeCell ref="B39:L39"/>
    <mergeCell ref="C40:F40"/>
    <mergeCell ref="G40:L41"/>
    <mergeCell ref="C41:F43"/>
    <mergeCell ref="G42:J42"/>
    <mergeCell ref="K42:L42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K49:L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6" zoomScale="82" zoomScaleNormal="82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4.0666666666666664</v>
      </c>
      <c r="D5" s="2">
        <v>3.5</v>
      </c>
      <c r="E5" s="2">
        <v>4.7</v>
      </c>
      <c r="F5" s="2">
        <v>4</v>
      </c>
      <c r="G5" s="3">
        <v>3</v>
      </c>
      <c r="H5" s="4">
        <f>C5*G5</f>
        <v>12.2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10.5</v>
      </c>
      <c r="P5" s="5">
        <f>E5*G5</f>
        <v>14.100000000000001</v>
      </c>
      <c r="Q5" s="5">
        <f>G5*F5</f>
        <v>12</v>
      </c>
    </row>
    <row r="6" spans="2:29" ht="16.5" thickBot="1" x14ac:dyDescent="0.3">
      <c r="B6" s="24" t="s">
        <v>50</v>
      </c>
      <c r="C6" s="2">
        <f t="shared" ref="C6:C9" si="0">(D6+F6+E6)/3</f>
        <v>3.0333333333333332</v>
      </c>
      <c r="D6" s="2">
        <v>1.35</v>
      </c>
      <c r="E6" s="2">
        <v>1.25</v>
      </c>
      <c r="F6" s="2">
        <v>6.5</v>
      </c>
      <c r="G6" s="3">
        <v>1</v>
      </c>
      <c r="H6" s="4">
        <f t="shared" ref="H6:H9" si="1">C6*G6</f>
        <v>3.0333333333333332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1.35</v>
      </c>
      <c r="P6" s="5">
        <f t="shared" ref="P6:P9" si="4">E6*G6</f>
        <v>1.25</v>
      </c>
      <c r="Q6" s="5">
        <f t="shared" ref="Q6:Q9" si="5">G6*F6</f>
        <v>6.5</v>
      </c>
    </row>
    <row r="7" spans="2:29" ht="16.5" thickBot="1" x14ac:dyDescent="0.3">
      <c r="B7" s="24" t="s">
        <v>46</v>
      </c>
      <c r="C7" s="2">
        <f t="shared" si="0"/>
        <v>9.6</v>
      </c>
      <c r="D7" s="2">
        <v>8.6</v>
      </c>
      <c r="E7" s="2">
        <v>7.2</v>
      </c>
      <c r="F7" s="2">
        <v>13</v>
      </c>
      <c r="G7" s="3">
        <v>2</v>
      </c>
      <c r="H7" s="4">
        <f t="shared" si="1"/>
        <v>19.2</v>
      </c>
      <c r="I7" s="43"/>
      <c r="J7" s="44"/>
      <c r="K7" s="5"/>
      <c r="L7" s="5" t="str">
        <f t="shared" si="2"/>
        <v>NA</v>
      </c>
      <c r="O7" s="5">
        <f t="shared" si="3"/>
        <v>17.2</v>
      </c>
      <c r="P7" s="5">
        <f t="shared" si="4"/>
        <v>14.4</v>
      </c>
      <c r="Q7" s="5">
        <f t="shared" si="5"/>
        <v>26</v>
      </c>
    </row>
    <row r="8" spans="2:29" ht="16.5" thickBot="1" x14ac:dyDescent="0.3">
      <c r="B8" s="24" t="s">
        <v>47</v>
      </c>
      <c r="C8" s="2">
        <f t="shared" si="0"/>
        <v>7.5283333333333333</v>
      </c>
      <c r="D8" s="2">
        <v>6.835</v>
      </c>
      <c r="E8" s="2">
        <v>6.75</v>
      </c>
      <c r="F8" s="2">
        <v>9</v>
      </c>
      <c r="G8" s="3">
        <v>1</v>
      </c>
      <c r="H8" s="4">
        <f t="shared" si="1"/>
        <v>7.5283333333333333</v>
      </c>
      <c r="I8" s="43"/>
      <c r="J8" s="44"/>
      <c r="K8" s="5"/>
      <c r="L8" s="5" t="str">
        <f t="shared" si="2"/>
        <v>NA</v>
      </c>
      <c r="O8" s="5">
        <f t="shared" si="3"/>
        <v>6.835</v>
      </c>
      <c r="P8" s="5">
        <f t="shared" si="4"/>
        <v>6.75</v>
      </c>
      <c r="Q8" s="5">
        <f t="shared" si="5"/>
        <v>9</v>
      </c>
    </row>
    <row r="9" spans="2:29" ht="16.5" thickBot="1" x14ac:dyDescent="0.3">
      <c r="B9" s="24" t="s">
        <v>51</v>
      </c>
      <c r="C9" s="2">
        <f t="shared" si="0"/>
        <v>6.0250000000000012</v>
      </c>
      <c r="D9" s="2">
        <v>6.05</v>
      </c>
      <c r="E9" s="2">
        <v>6.7750000000000004</v>
      </c>
      <c r="F9" s="2">
        <v>5.25</v>
      </c>
      <c r="G9" s="3">
        <v>2</v>
      </c>
      <c r="H9" s="4">
        <f t="shared" si="1"/>
        <v>12.050000000000002</v>
      </c>
      <c r="I9" s="43"/>
      <c r="J9" s="44"/>
      <c r="K9" s="5"/>
      <c r="L9" s="5" t="str">
        <f t="shared" si="2"/>
        <v>NA</v>
      </c>
      <c r="O9" s="5">
        <f t="shared" si="3"/>
        <v>12.1</v>
      </c>
      <c r="P9" s="5">
        <f t="shared" si="4"/>
        <v>13.55</v>
      </c>
      <c r="Q9" s="5">
        <f t="shared" si="5"/>
        <v>10.5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6.0012962962962968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8.2249999999999996</v>
      </c>
      <c r="D13" s="2">
        <v>8.875</v>
      </c>
      <c r="E13" s="2">
        <v>8.8000000000000007</v>
      </c>
      <c r="F13" s="2">
        <v>7</v>
      </c>
      <c r="G13" s="3">
        <v>2</v>
      </c>
      <c r="H13" s="4">
        <f t="shared" ref="H13:H16" si="6">C13*G13</f>
        <v>16.45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17.75</v>
      </c>
      <c r="P13" s="5">
        <f>E13*G13</f>
        <v>17.600000000000001</v>
      </c>
      <c r="Q13" s="5">
        <f>G13*F13</f>
        <v>14</v>
      </c>
    </row>
    <row r="14" spans="2:29" ht="16.5" thickBot="1" x14ac:dyDescent="0.3">
      <c r="B14" s="24" t="s">
        <v>12</v>
      </c>
      <c r="C14" s="2">
        <f t="shared" ref="C14:C16" si="8">(D14+F14+E14)/3</f>
        <v>10.408333333333333</v>
      </c>
      <c r="D14" s="2">
        <v>7.375</v>
      </c>
      <c r="E14" s="2">
        <v>11.85</v>
      </c>
      <c r="F14" s="2">
        <v>12</v>
      </c>
      <c r="G14" s="3">
        <v>1.5</v>
      </c>
      <c r="H14" s="4">
        <f t="shared" si="6"/>
        <v>15.612500000000001</v>
      </c>
      <c r="I14" s="43"/>
      <c r="J14" s="44"/>
      <c r="K14" s="5"/>
      <c r="L14" s="5" t="str">
        <f t="shared" ref="L14:L16" si="9">IF(C14&lt;11,"NA",IF(C14&lt;15,"ECA",IF(C14&lt;18,"A",IF(C14&lt;20,"A+"))))</f>
        <v>NA</v>
      </c>
      <c r="O14" s="5">
        <f t="shared" si="7"/>
        <v>11.0625</v>
      </c>
      <c r="P14" s="5">
        <f t="shared" ref="P14:P16" si="10">E14*G14</f>
        <v>17.774999999999999</v>
      </c>
      <c r="Q14" s="5">
        <f t="shared" ref="Q14:Q16" si="11">G14*F14</f>
        <v>18</v>
      </c>
    </row>
    <row r="15" spans="2:29" ht="16.5" thickBot="1" x14ac:dyDescent="0.3">
      <c r="B15" s="24" t="s">
        <v>13</v>
      </c>
      <c r="C15" s="2">
        <f t="shared" si="8"/>
        <v>8.3833333333333329</v>
      </c>
      <c r="D15" s="2">
        <v>7.2</v>
      </c>
      <c r="E15" s="2">
        <v>9.4499999999999993</v>
      </c>
      <c r="F15" s="2">
        <v>8.5</v>
      </c>
      <c r="G15" s="3">
        <v>1.5</v>
      </c>
      <c r="H15" s="4">
        <f t="shared" si="6"/>
        <v>12.574999999999999</v>
      </c>
      <c r="I15" s="43"/>
      <c r="J15" s="44"/>
      <c r="K15" s="5"/>
      <c r="L15" s="5" t="str">
        <f t="shared" si="9"/>
        <v>NA</v>
      </c>
      <c r="O15" s="5">
        <f t="shared" si="7"/>
        <v>10.8</v>
      </c>
      <c r="P15" s="5">
        <f t="shared" si="10"/>
        <v>14.174999999999999</v>
      </c>
      <c r="Q15" s="5">
        <f t="shared" si="11"/>
        <v>12.75</v>
      </c>
    </row>
    <row r="16" spans="2:29" ht="16.5" thickBot="1" x14ac:dyDescent="0.3">
      <c r="B16" s="24" t="s">
        <v>48</v>
      </c>
      <c r="C16" s="2">
        <f t="shared" si="8"/>
        <v>10.608333333333333</v>
      </c>
      <c r="D16" s="2">
        <v>9.625</v>
      </c>
      <c r="E16" s="2">
        <v>12.2</v>
      </c>
      <c r="F16" s="2">
        <v>10</v>
      </c>
      <c r="G16" s="3">
        <v>1</v>
      </c>
      <c r="H16" s="4">
        <f t="shared" si="6"/>
        <v>10.608333333333333</v>
      </c>
      <c r="I16" s="43"/>
      <c r="J16" s="44"/>
      <c r="K16" s="5"/>
      <c r="L16" s="5" t="str">
        <f t="shared" si="9"/>
        <v>NA</v>
      </c>
      <c r="O16" s="5">
        <f t="shared" si="7"/>
        <v>9.625</v>
      </c>
      <c r="P16" s="5">
        <f t="shared" si="10"/>
        <v>12.2</v>
      </c>
      <c r="Q16" s="5">
        <f t="shared" si="11"/>
        <v>10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5" customHeight="1" thickBot="1" x14ac:dyDescent="0.3">
      <c r="B18" s="6" t="s">
        <v>14</v>
      </c>
      <c r="C18" s="45">
        <f>(SUM(H13:H16)/SUM(G13:G16))</f>
        <v>9.2076388888888889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7.7250000000000005</v>
      </c>
      <c r="D20" s="2">
        <v>4.55</v>
      </c>
      <c r="E20" s="2">
        <v>9.375</v>
      </c>
      <c r="F20" s="2">
        <v>9.25</v>
      </c>
      <c r="G20" s="3">
        <v>2</v>
      </c>
      <c r="H20" s="4">
        <f t="shared" ref="H20:H23" si="12">C20*G20</f>
        <v>15.450000000000001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9.1</v>
      </c>
      <c r="P20" s="5">
        <f>E20*G20</f>
        <v>18.75</v>
      </c>
      <c r="Q20" s="5">
        <f>G20*F20</f>
        <v>18.5</v>
      </c>
    </row>
    <row r="21" spans="2:17" ht="16.5" thickBot="1" x14ac:dyDescent="0.3">
      <c r="B21" s="24" t="s">
        <v>8</v>
      </c>
      <c r="C21" s="2">
        <f t="shared" ref="C21:C23" si="15">(D21+F21+E21)/3</f>
        <v>4.083333333333333</v>
      </c>
      <c r="D21" s="2">
        <v>5.0749999999999993</v>
      </c>
      <c r="E21" s="2">
        <v>5.1749999999999998</v>
      </c>
      <c r="F21" s="2">
        <v>2</v>
      </c>
      <c r="G21" s="3">
        <v>4</v>
      </c>
      <c r="H21" s="4">
        <f t="shared" si="12"/>
        <v>16.333333333333332</v>
      </c>
      <c r="I21" s="43"/>
      <c r="J21" s="44"/>
      <c r="K21" s="5"/>
      <c r="L21" s="5" t="str">
        <f t="shared" si="13"/>
        <v>NA</v>
      </c>
      <c r="O21" s="5">
        <f t="shared" si="14"/>
        <v>20.299999999999997</v>
      </c>
      <c r="P21" s="5">
        <f t="shared" ref="P21:P23" si="16">E21*G21</f>
        <v>20.7</v>
      </c>
      <c r="Q21" s="5">
        <f t="shared" ref="Q21:Q23" si="17">G21*F21</f>
        <v>8</v>
      </c>
    </row>
    <row r="22" spans="2:17" ht="16.5" thickBot="1" x14ac:dyDescent="0.3">
      <c r="B22" s="24" t="s">
        <v>52</v>
      </c>
      <c r="C22" s="2">
        <f t="shared" si="15"/>
        <v>5.7583333333333329</v>
      </c>
      <c r="D22" s="2">
        <v>3.95</v>
      </c>
      <c r="E22" s="2">
        <v>9.0749999999999993</v>
      </c>
      <c r="F22" s="2">
        <v>4.25</v>
      </c>
      <c r="G22" s="3">
        <v>2</v>
      </c>
      <c r="H22" s="4">
        <f t="shared" si="12"/>
        <v>11.516666666666666</v>
      </c>
      <c r="I22" s="43"/>
      <c r="J22" s="44"/>
      <c r="K22" s="5"/>
      <c r="L22" s="5" t="str">
        <f t="shared" si="13"/>
        <v>NA</v>
      </c>
      <c r="O22" s="5">
        <f t="shared" si="14"/>
        <v>7.9</v>
      </c>
      <c r="P22" s="5">
        <f t="shared" si="16"/>
        <v>18.149999999999999</v>
      </c>
      <c r="Q22" s="5">
        <f t="shared" si="17"/>
        <v>8.5</v>
      </c>
    </row>
    <row r="23" spans="2:17" ht="16.5" thickBot="1" x14ac:dyDescent="0.3">
      <c r="B23" s="24" t="s">
        <v>9</v>
      </c>
      <c r="C23" s="2">
        <f t="shared" si="15"/>
        <v>7.0083333333333337</v>
      </c>
      <c r="D23" s="2">
        <v>8.4750000000000014</v>
      </c>
      <c r="E23" s="2">
        <v>6.3</v>
      </c>
      <c r="F23" s="2">
        <v>6.25</v>
      </c>
      <c r="G23" s="3">
        <v>2</v>
      </c>
      <c r="H23" s="4">
        <f t="shared" si="12"/>
        <v>14.016666666666667</v>
      </c>
      <c r="I23" s="43"/>
      <c r="J23" s="44"/>
      <c r="K23" s="5"/>
      <c r="L23" s="5" t="str">
        <f t="shared" si="13"/>
        <v>NA</v>
      </c>
      <c r="O23" s="5">
        <f t="shared" si="14"/>
        <v>16.950000000000003</v>
      </c>
      <c r="P23" s="5">
        <f t="shared" si="16"/>
        <v>12.6</v>
      </c>
      <c r="Q23" s="5">
        <f t="shared" si="17"/>
        <v>12.5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5" customHeight="1" thickBot="1" x14ac:dyDescent="0.3">
      <c r="B25" s="6" t="s">
        <v>10</v>
      </c>
      <c r="C25" s="45">
        <f>(SUM(H20:H23)/SUM(G20:G23))</f>
        <v>5.7316666666666665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</f>
        <v>13.5</v>
      </c>
      <c r="D27" s="2">
        <v>13.5</v>
      </c>
      <c r="E27" s="2">
        <v>0</v>
      </c>
      <c r="F27" s="2">
        <v>0</v>
      </c>
      <c r="G27" s="3">
        <v>1</v>
      </c>
      <c r="H27" s="4">
        <f t="shared" ref="H27:H30" si="18">C27*G27</f>
        <v>13.5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13.5</v>
      </c>
      <c r="P27" s="5">
        <f>E27*G27</f>
        <v>0</v>
      </c>
      <c r="Q27" s="5">
        <f>G27*F27</f>
        <v>0</v>
      </c>
    </row>
    <row r="28" spans="2:17" ht="16.5" thickBot="1" x14ac:dyDescent="0.3">
      <c r="B28" s="24" t="s">
        <v>44</v>
      </c>
      <c r="C28" s="2">
        <f t="shared" ref="C28" si="21">(D28+F28+E28)/3</f>
        <v>10.083333333333334</v>
      </c>
      <c r="D28" s="2">
        <v>12.5</v>
      </c>
      <c r="E28" s="2">
        <v>11.75</v>
      </c>
      <c r="F28" s="2">
        <v>6</v>
      </c>
      <c r="G28" s="3">
        <v>2</v>
      </c>
      <c r="H28" s="4">
        <f t="shared" si="18"/>
        <v>20.166666666666668</v>
      </c>
      <c r="I28" s="43"/>
      <c r="J28" s="44"/>
      <c r="K28" s="5"/>
      <c r="L28" s="5" t="str">
        <f t="shared" si="19"/>
        <v>NA</v>
      </c>
      <c r="O28" s="5">
        <f t="shared" si="20"/>
        <v>25</v>
      </c>
      <c r="P28" s="5">
        <f t="shared" ref="P28:P30" si="22">E28*G28</f>
        <v>23.5</v>
      </c>
      <c r="Q28" s="5">
        <f t="shared" ref="Q28:Q30" si="23">G28*F28</f>
        <v>12</v>
      </c>
    </row>
    <row r="29" spans="2:17" ht="16.5" thickBot="1" x14ac:dyDescent="0.3">
      <c r="B29" s="24" t="s">
        <v>45</v>
      </c>
      <c r="C29" s="2">
        <f>(D29+F29+E29)/2</f>
        <v>13.75</v>
      </c>
      <c r="D29" s="2">
        <v>13.5</v>
      </c>
      <c r="E29" s="2">
        <v>14</v>
      </c>
      <c r="F29" s="2">
        <v>0</v>
      </c>
      <c r="G29" s="3">
        <v>1</v>
      </c>
      <c r="H29" s="4">
        <f t="shared" si="18"/>
        <v>13.75</v>
      </c>
      <c r="I29" s="43"/>
      <c r="J29" s="44"/>
      <c r="K29" s="5"/>
      <c r="L29" s="5" t="str">
        <f t="shared" si="19"/>
        <v>ECA</v>
      </c>
      <c r="O29" s="5">
        <f t="shared" si="20"/>
        <v>13.5</v>
      </c>
      <c r="P29" s="5">
        <f t="shared" si="22"/>
        <v>14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15.75</v>
      </c>
      <c r="D30" s="2">
        <v>14.5</v>
      </c>
      <c r="E30" s="2">
        <v>0</v>
      </c>
      <c r="F30" s="2">
        <v>17</v>
      </c>
      <c r="G30" s="3">
        <v>1</v>
      </c>
      <c r="H30" s="4">
        <f t="shared" si="18"/>
        <v>15.75</v>
      </c>
      <c r="I30" s="43"/>
      <c r="J30" s="44"/>
      <c r="K30" s="5"/>
      <c r="L30" s="5" t="str">
        <f t="shared" si="19"/>
        <v>A</v>
      </c>
      <c r="O30" s="5">
        <f t="shared" si="20"/>
        <v>14.5</v>
      </c>
      <c r="P30" s="5">
        <f t="shared" si="22"/>
        <v>0</v>
      </c>
      <c r="Q30" s="5">
        <f t="shared" si="23"/>
        <v>17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217.97249999999997</v>
      </c>
      <c r="P31" s="1">
        <f>SUM(P5:P30)</f>
        <v>219.5</v>
      </c>
      <c r="Q31" s="1">
        <f>SUM(Q5:Q30)</f>
        <v>195.25</v>
      </c>
    </row>
    <row r="32" spans="2:17" ht="16.5" customHeight="1" thickBot="1" x14ac:dyDescent="0.3">
      <c r="B32" s="6" t="s">
        <v>14</v>
      </c>
      <c r="C32" s="45">
        <f>(SUM(H27:H30)/SUM(G27:G30))</f>
        <v>12.633333333333335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28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7.2657499999999988</v>
      </c>
      <c r="P33" s="1">
        <f>P31/P32</f>
        <v>7.8392857142857144</v>
      </c>
      <c r="Q33" s="1">
        <f>Q31/Q32</f>
        <v>6.9732142857142856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7.2657499999999988</v>
      </c>
      <c r="D36" s="14">
        <f>P33</f>
        <v>7.8392857142857144</v>
      </c>
      <c r="E36" s="14">
        <f>Q33</f>
        <v>6.9732142857142856</v>
      </c>
      <c r="F36" s="35" t="s">
        <v>61</v>
      </c>
      <c r="G36" s="16">
        <f>(H5+H6+H7+H8+H9+H13+H14+H15+H20+H16+H21+H22+H23+H27+H28+H29+H30)/30</f>
        <v>7.6580277777777779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5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5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5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5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5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5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5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12:L12"/>
    <mergeCell ref="I9:J9"/>
    <mergeCell ref="B10:L10"/>
    <mergeCell ref="C11:F11"/>
    <mergeCell ref="G11:H11"/>
    <mergeCell ref="J11:L11"/>
    <mergeCell ref="I4:J4"/>
    <mergeCell ref="I5:J5"/>
    <mergeCell ref="I6:J6"/>
    <mergeCell ref="I7:J7"/>
    <mergeCell ref="I8:J8"/>
    <mergeCell ref="B33:L33"/>
    <mergeCell ref="G34:H34"/>
    <mergeCell ref="I13:J13"/>
    <mergeCell ref="I14:J14"/>
    <mergeCell ref="I15:J15"/>
    <mergeCell ref="I16:J16"/>
    <mergeCell ref="I28:J28"/>
    <mergeCell ref="I29:J29"/>
    <mergeCell ref="I30:J30"/>
    <mergeCell ref="C32:F32"/>
    <mergeCell ref="G32:H32"/>
    <mergeCell ref="J32:L32"/>
    <mergeCell ref="C25:F25"/>
    <mergeCell ref="G25:H25"/>
    <mergeCell ref="J25:L25"/>
    <mergeCell ref="B26:L26"/>
    <mergeCell ref="I27:J27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  <mergeCell ref="B24:L24"/>
    <mergeCell ref="J34:K34"/>
    <mergeCell ref="I35:L35"/>
    <mergeCell ref="I36:J36"/>
    <mergeCell ref="B37:H37"/>
    <mergeCell ref="I37:L37"/>
    <mergeCell ref="B38:L38"/>
    <mergeCell ref="B39:L39"/>
    <mergeCell ref="C40:F40"/>
    <mergeCell ref="G40:L41"/>
    <mergeCell ref="C41:F43"/>
    <mergeCell ref="G42:J42"/>
    <mergeCell ref="K42:L42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K49:L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1" zoomScale="91" zoomScaleNormal="91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9.4749999999999996</v>
      </c>
      <c r="D5" s="2">
        <v>9.6999999999999993</v>
      </c>
      <c r="E5" s="2">
        <v>9.6</v>
      </c>
      <c r="F5" s="2">
        <v>9.125</v>
      </c>
      <c r="G5" s="3">
        <v>3</v>
      </c>
      <c r="H5" s="4">
        <f>C5*G5</f>
        <v>28.424999999999997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29.099999999999998</v>
      </c>
      <c r="P5" s="5">
        <f>E5*G5</f>
        <v>28.799999999999997</v>
      </c>
      <c r="Q5" s="5">
        <f>G5*F5</f>
        <v>27.375</v>
      </c>
    </row>
    <row r="6" spans="2:29" ht="16.5" thickBot="1" x14ac:dyDescent="0.3">
      <c r="B6" s="24" t="s">
        <v>50</v>
      </c>
      <c r="C6" s="2">
        <f t="shared" ref="C6:C9" si="0">(D6+F6+E6)/3</f>
        <v>5.8883333333333328</v>
      </c>
      <c r="D6" s="2">
        <v>3.9</v>
      </c>
      <c r="E6" s="2">
        <v>3.5150000000000001</v>
      </c>
      <c r="F6" s="2">
        <v>10.25</v>
      </c>
      <c r="G6" s="3">
        <v>1</v>
      </c>
      <c r="H6" s="4">
        <f t="shared" ref="H6:H9" si="1">C6*G6</f>
        <v>5.8883333333333328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3.9</v>
      </c>
      <c r="P6" s="5">
        <f t="shared" ref="P6:P9" si="4">E6*G6</f>
        <v>3.5150000000000001</v>
      </c>
      <c r="Q6" s="5">
        <f t="shared" ref="Q6:Q9" si="5">G6*F6</f>
        <v>10.25</v>
      </c>
    </row>
    <row r="7" spans="2:29" ht="16.5" thickBot="1" x14ac:dyDescent="0.3">
      <c r="B7" s="24" t="s">
        <v>46</v>
      </c>
      <c r="C7" s="2">
        <f t="shared" si="0"/>
        <v>11.571666666666667</v>
      </c>
      <c r="D7" s="2">
        <v>11</v>
      </c>
      <c r="E7" s="2">
        <v>11.965</v>
      </c>
      <c r="F7" s="2">
        <v>11.75</v>
      </c>
      <c r="G7" s="3">
        <v>2</v>
      </c>
      <c r="H7" s="4">
        <f t="shared" si="1"/>
        <v>23.143333333333334</v>
      </c>
      <c r="I7" s="43"/>
      <c r="J7" s="44"/>
      <c r="K7" s="5"/>
      <c r="L7" s="5" t="str">
        <f t="shared" si="2"/>
        <v>ECA</v>
      </c>
      <c r="O7" s="5">
        <f t="shared" si="3"/>
        <v>22</v>
      </c>
      <c r="P7" s="5">
        <f t="shared" si="4"/>
        <v>23.93</v>
      </c>
      <c r="Q7" s="5">
        <f t="shared" si="5"/>
        <v>23.5</v>
      </c>
    </row>
    <row r="8" spans="2:29" ht="16.5" thickBot="1" x14ac:dyDescent="0.3">
      <c r="B8" s="24" t="s">
        <v>47</v>
      </c>
      <c r="C8" s="2">
        <f t="shared" si="0"/>
        <v>10.638333333333334</v>
      </c>
      <c r="D8" s="2">
        <v>11.065</v>
      </c>
      <c r="E8" s="2">
        <v>11.1</v>
      </c>
      <c r="F8" s="2">
        <v>9.75</v>
      </c>
      <c r="G8" s="3">
        <v>1</v>
      </c>
      <c r="H8" s="4">
        <f t="shared" si="1"/>
        <v>10.638333333333334</v>
      </c>
      <c r="I8" s="43"/>
      <c r="J8" s="44"/>
      <c r="K8" s="5"/>
      <c r="L8" s="5" t="str">
        <f t="shared" si="2"/>
        <v>NA</v>
      </c>
      <c r="O8" s="5">
        <f t="shared" si="3"/>
        <v>11.065</v>
      </c>
      <c r="P8" s="5">
        <f t="shared" si="4"/>
        <v>11.1</v>
      </c>
      <c r="Q8" s="5">
        <f t="shared" si="5"/>
        <v>9.75</v>
      </c>
    </row>
    <row r="9" spans="2:29" ht="16.5" thickBot="1" x14ac:dyDescent="0.3">
      <c r="B9" s="24" t="s">
        <v>51</v>
      </c>
      <c r="C9" s="2">
        <f t="shared" si="0"/>
        <v>9.9216666666666669</v>
      </c>
      <c r="D9" s="2">
        <v>6</v>
      </c>
      <c r="E9" s="2">
        <v>12.899999999999999</v>
      </c>
      <c r="F9" s="2">
        <v>10.865</v>
      </c>
      <c r="G9" s="3">
        <v>2</v>
      </c>
      <c r="H9" s="4">
        <f t="shared" si="1"/>
        <v>19.843333333333334</v>
      </c>
      <c r="I9" s="43"/>
      <c r="J9" s="44"/>
      <c r="K9" s="5"/>
      <c r="L9" s="5" t="str">
        <f t="shared" si="2"/>
        <v>NA</v>
      </c>
      <c r="O9" s="5">
        <f t="shared" si="3"/>
        <v>12</v>
      </c>
      <c r="P9" s="5">
        <f t="shared" si="4"/>
        <v>25.799999999999997</v>
      </c>
      <c r="Q9" s="5">
        <f t="shared" si="5"/>
        <v>21.73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9.7709259259259262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11.091666666666667</v>
      </c>
      <c r="D13" s="2">
        <v>13</v>
      </c>
      <c r="E13" s="2">
        <v>12.15</v>
      </c>
      <c r="F13" s="2">
        <v>8.125</v>
      </c>
      <c r="G13" s="3">
        <v>2</v>
      </c>
      <c r="H13" s="4">
        <f t="shared" ref="H13:H16" si="6">C13*G13</f>
        <v>22.183333333333334</v>
      </c>
      <c r="I13" s="43"/>
      <c r="J13" s="44"/>
      <c r="K13" s="5"/>
      <c r="L13" s="5" t="str">
        <f>IF(C13&lt;11,"NA",IF(C13&lt;15,"ECA",IF(C13&lt;18,"A",IF(C13&lt;20,"A+"))))</f>
        <v>ECA</v>
      </c>
      <c r="O13" s="5">
        <f t="shared" ref="O13:O16" si="7">D13*G13</f>
        <v>26</v>
      </c>
      <c r="P13" s="5">
        <f>E13*G13</f>
        <v>24.3</v>
      </c>
      <c r="Q13" s="5">
        <f>G13*F13</f>
        <v>16.25</v>
      </c>
    </row>
    <row r="14" spans="2:29" ht="16.5" thickBot="1" x14ac:dyDescent="0.3">
      <c r="B14" s="24" t="s">
        <v>12</v>
      </c>
      <c r="C14" s="2">
        <f t="shared" ref="C14:C16" si="8">(D14+F14+E14)/3</f>
        <v>12.508333333333333</v>
      </c>
      <c r="D14" s="2">
        <v>9.25</v>
      </c>
      <c r="E14" s="2">
        <v>14.25</v>
      </c>
      <c r="F14" s="2">
        <v>14.025</v>
      </c>
      <c r="G14" s="3">
        <v>1.5</v>
      </c>
      <c r="H14" s="4">
        <f t="shared" si="6"/>
        <v>18.762499999999999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13.875</v>
      </c>
      <c r="P14" s="5">
        <f t="shared" ref="P14:P16" si="10">E14*G14</f>
        <v>21.375</v>
      </c>
      <c r="Q14" s="5">
        <f t="shared" ref="Q14:Q16" si="11">G14*F14</f>
        <v>21.037500000000001</v>
      </c>
    </row>
    <row r="15" spans="2:29" ht="16.5" thickBot="1" x14ac:dyDescent="0.3">
      <c r="B15" s="24" t="s">
        <v>13</v>
      </c>
      <c r="C15" s="2">
        <f t="shared" si="8"/>
        <v>10.216666666666667</v>
      </c>
      <c r="D15" s="2">
        <v>10.55</v>
      </c>
      <c r="E15" s="2">
        <v>10.85</v>
      </c>
      <c r="F15" s="2">
        <v>9.25</v>
      </c>
      <c r="G15" s="3">
        <v>1.5</v>
      </c>
      <c r="H15" s="4">
        <f t="shared" si="6"/>
        <v>15.324999999999999</v>
      </c>
      <c r="I15" s="43"/>
      <c r="J15" s="44"/>
      <c r="K15" s="5"/>
      <c r="L15" s="5" t="str">
        <f t="shared" si="9"/>
        <v>NA</v>
      </c>
      <c r="O15" s="5">
        <f t="shared" si="7"/>
        <v>15.825000000000001</v>
      </c>
      <c r="P15" s="5">
        <f t="shared" si="10"/>
        <v>16.274999999999999</v>
      </c>
      <c r="Q15" s="5">
        <f t="shared" si="11"/>
        <v>13.875</v>
      </c>
    </row>
    <row r="16" spans="2:29" ht="16.5" thickBot="1" x14ac:dyDescent="0.3">
      <c r="B16" s="24" t="s">
        <v>48</v>
      </c>
      <c r="C16" s="2">
        <f t="shared" si="8"/>
        <v>12.058333333333332</v>
      </c>
      <c r="D16" s="2">
        <v>10.875</v>
      </c>
      <c r="E16" s="2">
        <v>12.3</v>
      </c>
      <c r="F16" s="2">
        <v>13</v>
      </c>
      <c r="G16" s="3">
        <v>1</v>
      </c>
      <c r="H16" s="4">
        <f t="shared" si="6"/>
        <v>12.058333333333332</v>
      </c>
      <c r="I16" s="43"/>
      <c r="J16" s="44"/>
      <c r="K16" s="5"/>
      <c r="L16" s="5" t="str">
        <f t="shared" si="9"/>
        <v>ECA</v>
      </c>
      <c r="O16" s="5">
        <f t="shared" si="7"/>
        <v>10.875</v>
      </c>
      <c r="P16" s="5">
        <f t="shared" si="10"/>
        <v>12.3</v>
      </c>
      <c r="Q16" s="5">
        <f t="shared" si="11"/>
        <v>13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11.388194444444444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10.200000000000001</v>
      </c>
      <c r="D20" s="2">
        <v>10.350000000000001</v>
      </c>
      <c r="E20" s="2">
        <v>10.25</v>
      </c>
      <c r="F20" s="2">
        <v>10</v>
      </c>
      <c r="G20" s="3">
        <v>2</v>
      </c>
      <c r="H20" s="4">
        <f t="shared" ref="H20:H23" si="12">C20*G20</f>
        <v>20.400000000000002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20.700000000000003</v>
      </c>
      <c r="P20" s="5">
        <f>E20*G20</f>
        <v>20.5</v>
      </c>
      <c r="Q20" s="5">
        <f>G20*F20</f>
        <v>20</v>
      </c>
    </row>
    <row r="21" spans="2:17" ht="16.5" thickBot="1" x14ac:dyDescent="0.3">
      <c r="B21" s="24" t="s">
        <v>8</v>
      </c>
      <c r="C21" s="2">
        <f t="shared" ref="C21:C23" si="15">(D21+F21+E21)/3</f>
        <v>4.8966666666666665</v>
      </c>
      <c r="D21" s="2">
        <v>5.9</v>
      </c>
      <c r="E21" s="2">
        <v>4.49</v>
      </c>
      <c r="F21" s="2">
        <v>4.3</v>
      </c>
      <c r="G21" s="3">
        <v>4</v>
      </c>
      <c r="H21" s="4">
        <f t="shared" si="12"/>
        <v>19.586666666666666</v>
      </c>
      <c r="I21" s="43"/>
      <c r="J21" s="44"/>
      <c r="K21" s="5"/>
      <c r="L21" s="5" t="str">
        <f t="shared" si="13"/>
        <v>NA</v>
      </c>
      <c r="O21" s="5">
        <f t="shared" si="14"/>
        <v>23.6</v>
      </c>
      <c r="P21" s="5">
        <f t="shared" ref="P21:P23" si="16">E21*G21</f>
        <v>17.96</v>
      </c>
      <c r="Q21" s="5">
        <f t="shared" ref="Q21:Q23" si="17">G21*F21</f>
        <v>17.2</v>
      </c>
    </row>
    <row r="22" spans="2:17" ht="16.5" thickBot="1" x14ac:dyDescent="0.3">
      <c r="B22" s="24" t="s">
        <v>52</v>
      </c>
      <c r="C22" s="2">
        <f t="shared" si="15"/>
        <v>8.9166666666666661</v>
      </c>
      <c r="D22" s="2">
        <v>8.25</v>
      </c>
      <c r="E22" s="2">
        <v>9.9</v>
      </c>
      <c r="F22" s="2">
        <v>8.6</v>
      </c>
      <c r="G22" s="3">
        <v>2</v>
      </c>
      <c r="H22" s="4">
        <f t="shared" si="12"/>
        <v>17.833333333333332</v>
      </c>
      <c r="I22" s="43"/>
      <c r="J22" s="44"/>
      <c r="K22" s="5"/>
      <c r="L22" s="5" t="str">
        <f t="shared" si="13"/>
        <v>NA</v>
      </c>
      <c r="O22" s="5">
        <f t="shared" si="14"/>
        <v>16.5</v>
      </c>
      <c r="P22" s="5">
        <f t="shared" si="16"/>
        <v>19.8</v>
      </c>
      <c r="Q22" s="5">
        <f t="shared" si="17"/>
        <v>17.2</v>
      </c>
    </row>
    <row r="23" spans="2:17" ht="16.5" thickBot="1" x14ac:dyDescent="0.3">
      <c r="B23" s="24" t="s">
        <v>9</v>
      </c>
      <c r="C23" s="2">
        <f t="shared" si="15"/>
        <v>12.616666666666667</v>
      </c>
      <c r="D23" s="2">
        <v>13.35</v>
      </c>
      <c r="E23" s="2">
        <v>11.9</v>
      </c>
      <c r="F23" s="2">
        <v>12.6</v>
      </c>
      <c r="G23" s="3">
        <v>2</v>
      </c>
      <c r="H23" s="4">
        <f t="shared" si="12"/>
        <v>25.233333333333334</v>
      </c>
      <c r="I23" s="43"/>
      <c r="J23" s="44"/>
      <c r="K23" s="5"/>
      <c r="L23" s="5" t="str">
        <f t="shared" si="13"/>
        <v>ECA</v>
      </c>
      <c r="O23" s="5">
        <f t="shared" si="14"/>
        <v>26.7</v>
      </c>
      <c r="P23" s="5">
        <f t="shared" si="16"/>
        <v>23.8</v>
      </c>
      <c r="Q23" s="5">
        <f t="shared" si="17"/>
        <v>25.2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8.3053333333333335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13.75</v>
      </c>
      <c r="D27" s="2">
        <v>13.5</v>
      </c>
      <c r="E27" s="2">
        <v>0</v>
      </c>
      <c r="F27" s="2">
        <v>14</v>
      </c>
      <c r="G27" s="3">
        <v>1</v>
      </c>
      <c r="H27" s="4">
        <f t="shared" ref="H27:H30" si="18">C27*G27</f>
        <v>13.75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13.5</v>
      </c>
      <c r="P27" s="5">
        <f>E27*G27</f>
        <v>0</v>
      </c>
      <c r="Q27" s="5">
        <f>G27*F27</f>
        <v>14</v>
      </c>
    </row>
    <row r="28" spans="2:17" ht="16.5" thickBot="1" x14ac:dyDescent="0.3">
      <c r="B28" s="24" t="s">
        <v>44</v>
      </c>
      <c r="C28" s="2">
        <f t="shared" ref="C28" si="21">(D28+F28+E28)/3</f>
        <v>13.416666666666666</v>
      </c>
      <c r="D28" s="2">
        <v>12.75</v>
      </c>
      <c r="E28" s="2">
        <v>15.125</v>
      </c>
      <c r="F28" s="2">
        <v>12.375</v>
      </c>
      <c r="G28" s="3">
        <v>2</v>
      </c>
      <c r="H28" s="4">
        <f t="shared" si="18"/>
        <v>26.833333333333332</v>
      </c>
      <c r="I28" s="43"/>
      <c r="J28" s="44"/>
      <c r="K28" s="5"/>
      <c r="L28" s="5" t="str">
        <f t="shared" si="19"/>
        <v>ECA</v>
      </c>
      <c r="O28" s="5">
        <f t="shared" si="20"/>
        <v>25.5</v>
      </c>
      <c r="P28" s="5">
        <f t="shared" ref="P28:P30" si="22">E28*G28</f>
        <v>30.25</v>
      </c>
      <c r="Q28" s="5">
        <f t="shared" ref="Q28:Q30" si="23">G28*F28</f>
        <v>24.75</v>
      </c>
    </row>
    <row r="29" spans="2:17" ht="16.5" thickBot="1" x14ac:dyDescent="0.3">
      <c r="B29" s="24" t="s">
        <v>45</v>
      </c>
      <c r="C29" s="2">
        <f>(D29+F29+E29)/2</f>
        <v>13.75</v>
      </c>
      <c r="D29" s="2">
        <v>14</v>
      </c>
      <c r="E29" s="2">
        <v>13.5</v>
      </c>
      <c r="F29" s="2">
        <v>0</v>
      </c>
      <c r="G29" s="3">
        <v>1</v>
      </c>
      <c r="H29" s="4">
        <f t="shared" si="18"/>
        <v>13.75</v>
      </c>
      <c r="I29" s="43"/>
      <c r="J29" s="44"/>
      <c r="K29" s="5"/>
      <c r="L29" s="5" t="str">
        <f t="shared" si="19"/>
        <v>ECA</v>
      </c>
      <c r="O29" s="5">
        <f t="shared" si="20"/>
        <v>14</v>
      </c>
      <c r="P29" s="5">
        <f t="shared" si="22"/>
        <v>13.5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</v>
      </c>
      <c r="D30" s="2">
        <v>14.5</v>
      </c>
      <c r="E30" s="2">
        <v>0</v>
      </c>
      <c r="F30" s="2">
        <v>15.5</v>
      </c>
      <c r="G30" s="3">
        <v>1</v>
      </c>
      <c r="H30" s="4">
        <f t="shared" si="18"/>
        <v>15</v>
      </c>
      <c r="I30" s="43"/>
      <c r="J30" s="44"/>
      <c r="K30" s="5"/>
      <c r="L30" s="5" t="str">
        <f t="shared" si="19"/>
        <v>A</v>
      </c>
      <c r="O30" s="5">
        <f t="shared" si="20"/>
        <v>14.5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299.64</v>
      </c>
      <c r="P31" s="1">
        <f>SUM(P5:P30)</f>
        <v>293.20500000000004</v>
      </c>
      <c r="Q31" s="1">
        <f>SUM(Q5:Q30)</f>
        <v>290.61749999999995</v>
      </c>
    </row>
    <row r="32" spans="2:17" ht="16.149999999999999" customHeight="1" thickBot="1" x14ac:dyDescent="0.3">
      <c r="B32" s="6" t="s">
        <v>14</v>
      </c>
      <c r="C32" s="45">
        <f>(SUM(H27:H30)/SUM(G27:G30))</f>
        <v>13.866666666666665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9.9879999999999995</v>
      </c>
      <c r="P33" s="1">
        <f>P31/P32</f>
        <v>10.471607142857144</v>
      </c>
      <c r="Q33" s="1">
        <f>Q31/Q32</f>
        <v>10.021293103448274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9.9879999999999995</v>
      </c>
      <c r="D36" s="14">
        <f>P33</f>
        <v>10.471607142857144</v>
      </c>
      <c r="E36" s="14">
        <f>Q33</f>
        <v>10.021293103448274</v>
      </c>
      <c r="F36" s="35" t="s">
        <v>61</v>
      </c>
      <c r="G36" s="16">
        <f>(H5+H6+H7+H8+H9+H13+H14+H15+H20+H16+H21+H22+H23+H27+H28+H29+H30)/30</f>
        <v>10.288472222222222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9" zoomScale="82" zoomScaleNormal="82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7.6083333333333343</v>
      </c>
      <c r="D5" s="2">
        <v>8.4</v>
      </c>
      <c r="E5" s="2">
        <v>8.8000000000000007</v>
      </c>
      <c r="F5" s="2">
        <v>5.625</v>
      </c>
      <c r="G5" s="3">
        <v>3</v>
      </c>
      <c r="H5" s="4">
        <f>C5*G5</f>
        <v>22.825000000000003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25.200000000000003</v>
      </c>
      <c r="P5" s="5">
        <f>E5*G5</f>
        <v>26.400000000000002</v>
      </c>
      <c r="Q5" s="5">
        <f>G5*F5</f>
        <v>16.875</v>
      </c>
    </row>
    <row r="6" spans="2:29" ht="16.5" thickBot="1" x14ac:dyDescent="0.3">
      <c r="B6" s="24" t="s">
        <v>50</v>
      </c>
      <c r="C6" s="2">
        <f t="shared" ref="C6:C9" si="0">(D6+F6+E6)/3</f>
        <v>6.9266666666666667</v>
      </c>
      <c r="D6" s="2">
        <v>4.05</v>
      </c>
      <c r="E6" s="2">
        <v>3.4799999999999995</v>
      </c>
      <c r="F6" s="2">
        <v>13.25</v>
      </c>
      <c r="G6" s="3">
        <v>1</v>
      </c>
      <c r="H6" s="4">
        <f t="shared" ref="H6:H9" si="1">C6*G6</f>
        <v>6.9266666666666667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4.05</v>
      </c>
      <c r="P6" s="5">
        <f t="shared" ref="P6:P9" si="4">E6*G6</f>
        <v>3.4799999999999995</v>
      </c>
      <c r="Q6" s="5">
        <f t="shared" ref="Q6:Q9" si="5">G6*F6</f>
        <v>13.25</v>
      </c>
    </row>
    <row r="7" spans="2:29" ht="16.5" thickBot="1" x14ac:dyDescent="0.3">
      <c r="B7" s="24" t="s">
        <v>46</v>
      </c>
      <c r="C7" s="2">
        <f t="shared" si="0"/>
        <v>10.299999999999999</v>
      </c>
      <c r="D7" s="2">
        <v>12.149999999999999</v>
      </c>
      <c r="E7" s="2">
        <v>11</v>
      </c>
      <c r="F7" s="2">
        <v>7.75</v>
      </c>
      <c r="G7" s="3">
        <v>2</v>
      </c>
      <c r="H7" s="4">
        <f t="shared" si="1"/>
        <v>20.599999999999998</v>
      </c>
      <c r="I7" s="43"/>
      <c r="J7" s="44"/>
      <c r="K7" s="5"/>
      <c r="L7" s="5" t="str">
        <f t="shared" si="2"/>
        <v>NA</v>
      </c>
      <c r="O7" s="5">
        <f t="shared" si="3"/>
        <v>24.299999999999997</v>
      </c>
      <c r="P7" s="5">
        <f t="shared" si="4"/>
        <v>22</v>
      </c>
      <c r="Q7" s="5">
        <f t="shared" si="5"/>
        <v>15.5</v>
      </c>
    </row>
    <row r="8" spans="2:29" ht="16.5" thickBot="1" x14ac:dyDescent="0.3">
      <c r="B8" s="24" t="s">
        <v>47</v>
      </c>
      <c r="C8" s="2">
        <f t="shared" si="0"/>
        <v>9.461666666666666</v>
      </c>
      <c r="D8" s="2">
        <v>9.7850000000000001</v>
      </c>
      <c r="E8" s="2">
        <v>8.1</v>
      </c>
      <c r="F8" s="2">
        <v>10.5</v>
      </c>
      <c r="G8" s="3">
        <v>1</v>
      </c>
      <c r="H8" s="4">
        <f t="shared" si="1"/>
        <v>9.461666666666666</v>
      </c>
      <c r="I8" s="43"/>
      <c r="J8" s="44"/>
      <c r="K8" s="5"/>
      <c r="L8" s="5" t="str">
        <f t="shared" si="2"/>
        <v>NA</v>
      </c>
      <c r="O8" s="5">
        <f t="shared" si="3"/>
        <v>9.7850000000000001</v>
      </c>
      <c r="P8" s="5">
        <f t="shared" si="4"/>
        <v>8.1</v>
      </c>
      <c r="Q8" s="5">
        <f t="shared" si="5"/>
        <v>10.5</v>
      </c>
    </row>
    <row r="9" spans="2:29" ht="16.5" thickBot="1" x14ac:dyDescent="0.3">
      <c r="B9" s="24" t="s">
        <v>51</v>
      </c>
      <c r="C9" s="2">
        <f t="shared" si="0"/>
        <v>9.9083333333333332</v>
      </c>
      <c r="D9" s="2">
        <v>12.15</v>
      </c>
      <c r="E9" s="2">
        <v>10.7</v>
      </c>
      <c r="F9" s="2">
        <v>6.875</v>
      </c>
      <c r="G9" s="3">
        <v>2</v>
      </c>
      <c r="H9" s="4">
        <f t="shared" si="1"/>
        <v>19.816666666666666</v>
      </c>
      <c r="I9" s="43"/>
      <c r="J9" s="44"/>
      <c r="K9" s="5"/>
      <c r="L9" s="5" t="str">
        <f t="shared" si="2"/>
        <v>NA</v>
      </c>
      <c r="O9" s="5">
        <f t="shared" si="3"/>
        <v>24.3</v>
      </c>
      <c r="P9" s="5">
        <f t="shared" si="4"/>
        <v>21.4</v>
      </c>
      <c r="Q9" s="5">
        <f t="shared" si="5"/>
        <v>13.75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8.8477777777777771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10.266666666666666</v>
      </c>
      <c r="D13" s="2">
        <v>10.4</v>
      </c>
      <c r="E13" s="2">
        <v>11.15</v>
      </c>
      <c r="F13" s="2">
        <v>9.25</v>
      </c>
      <c r="G13" s="3">
        <v>2</v>
      </c>
      <c r="H13" s="4">
        <f t="shared" ref="H13:H16" si="6">C13*G13</f>
        <v>20.533333333333331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20.8</v>
      </c>
      <c r="P13" s="5">
        <f>E13*G13</f>
        <v>22.3</v>
      </c>
      <c r="Q13" s="5">
        <f>G13*F13</f>
        <v>18.5</v>
      </c>
    </row>
    <row r="14" spans="2:29" ht="16.5" thickBot="1" x14ac:dyDescent="0.3">
      <c r="B14" s="24" t="s">
        <v>12</v>
      </c>
      <c r="C14" s="2">
        <f t="shared" ref="C14:C16" si="8">(D14+F14+E14)/3</f>
        <v>11.258333333333333</v>
      </c>
      <c r="D14" s="2">
        <v>6.25</v>
      </c>
      <c r="E14" s="2">
        <v>13.75</v>
      </c>
      <c r="F14" s="2">
        <v>13.775</v>
      </c>
      <c r="G14" s="3">
        <v>1.5</v>
      </c>
      <c r="H14" s="4">
        <f t="shared" si="6"/>
        <v>16.887499999999999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9.375</v>
      </c>
      <c r="P14" s="5">
        <f t="shared" ref="P14:P16" si="10">E14*G14</f>
        <v>20.625</v>
      </c>
      <c r="Q14" s="5">
        <f t="shared" ref="Q14:Q16" si="11">G14*F14</f>
        <v>20.662500000000001</v>
      </c>
    </row>
    <row r="15" spans="2:29" ht="16.5" thickBot="1" x14ac:dyDescent="0.3">
      <c r="B15" s="24" t="s">
        <v>13</v>
      </c>
      <c r="C15" s="2">
        <f t="shared" si="8"/>
        <v>7.9666666666666677</v>
      </c>
      <c r="D15" s="2">
        <v>8.35</v>
      </c>
      <c r="E15" s="2">
        <v>7.55</v>
      </c>
      <c r="F15" s="2">
        <v>8</v>
      </c>
      <c r="G15" s="3">
        <v>1.5</v>
      </c>
      <c r="H15" s="4">
        <f t="shared" si="6"/>
        <v>11.950000000000001</v>
      </c>
      <c r="I15" s="43"/>
      <c r="J15" s="44"/>
      <c r="K15" s="5"/>
      <c r="L15" s="5" t="str">
        <f t="shared" si="9"/>
        <v>NA</v>
      </c>
      <c r="O15" s="5">
        <f t="shared" si="7"/>
        <v>12.524999999999999</v>
      </c>
      <c r="P15" s="5">
        <f t="shared" si="10"/>
        <v>11.324999999999999</v>
      </c>
      <c r="Q15" s="5">
        <f t="shared" si="11"/>
        <v>12</v>
      </c>
    </row>
    <row r="16" spans="2:29" ht="16.5" thickBot="1" x14ac:dyDescent="0.3">
      <c r="B16" s="24" t="s">
        <v>48</v>
      </c>
      <c r="C16" s="2">
        <f t="shared" si="8"/>
        <v>10.1</v>
      </c>
      <c r="D16" s="2">
        <v>8.5</v>
      </c>
      <c r="E16" s="2">
        <v>11.8</v>
      </c>
      <c r="F16" s="2">
        <v>10</v>
      </c>
      <c r="G16" s="3">
        <v>1</v>
      </c>
      <c r="H16" s="4">
        <f t="shared" si="6"/>
        <v>10.1</v>
      </c>
      <c r="I16" s="43"/>
      <c r="J16" s="44"/>
      <c r="K16" s="5"/>
      <c r="L16" s="5" t="str">
        <f t="shared" si="9"/>
        <v>NA</v>
      </c>
      <c r="O16" s="5">
        <f t="shared" si="7"/>
        <v>8.5</v>
      </c>
      <c r="P16" s="5">
        <f t="shared" si="10"/>
        <v>11.8</v>
      </c>
      <c r="Q16" s="5">
        <f t="shared" si="11"/>
        <v>10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9.9118055555555564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9.8416666666666668</v>
      </c>
      <c r="D20" s="2">
        <v>9.15</v>
      </c>
      <c r="E20" s="2">
        <v>10.125</v>
      </c>
      <c r="F20" s="2">
        <v>10.25</v>
      </c>
      <c r="G20" s="3">
        <v>2</v>
      </c>
      <c r="H20" s="4">
        <f t="shared" ref="H20:H23" si="12">C20*G20</f>
        <v>19.683333333333334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18.3</v>
      </c>
      <c r="P20" s="5">
        <f>E20*G20</f>
        <v>20.25</v>
      </c>
      <c r="Q20" s="5">
        <f>G20*F20</f>
        <v>20.5</v>
      </c>
    </row>
    <row r="21" spans="2:17" ht="16.5" thickBot="1" x14ac:dyDescent="0.3">
      <c r="B21" s="24" t="s">
        <v>8</v>
      </c>
      <c r="C21" s="2">
        <f t="shared" ref="C21:C23" si="15">(D21+F21+E21)/3</f>
        <v>5.2583333333333337</v>
      </c>
      <c r="D21" s="2">
        <v>7.2350000000000003</v>
      </c>
      <c r="E21" s="2">
        <v>4.09</v>
      </c>
      <c r="F21" s="2">
        <v>4.45</v>
      </c>
      <c r="G21" s="3">
        <v>4</v>
      </c>
      <c r="H21" s="4">
        <f t="shared" si="12"/>
        <v>21.033333333333335</v>
      </c>
      <c r="I21" s="43"/>
      <c r="J21" s="44"/>
      <c r="K21" s="5"/>
      <c r="L21" s="5" t="str">
        <f t="shared" si="13"/>
        <v>NA</v>
      </c>
      <c r="O21" s="5">
        <f t="shared" si="14"/>
        <v>28.94</v>
      </c>
      <c r="P21" s="5">
        <f t="shared" ref="P21:P23" si="16">E21*G21</f>
        <v>16.36</v>
      </c>
      <c r="Q21" s="5">
        <f t="shared" ref="Q21:Q23" si="17">G21*F21</f>
        <v>17.8</v>
      </c>
    </row>
    <row r="22" spans="2:17" ht="16.5" thickBot="1" x14ac:dyDescent="0.3">
      <c r="B22" s="24" t="s">
        <v>52</v>
      </c>
      <c r="C22" s="2">
        <f t="shared" si="15"/>
        <v>6.2583333333333329</v>
      </c>
      <c r="D22" s="2">
        <v>7.8</v>
      </c>
      <c r="E22" s="2">
        <v>4.9749999999999996</v>
      </c>
      <c r="F22" s="2">
        <v>6</v>
      </c>
      <c r="G22" s="3">
        <v>2</v>
      </c>
      <c r="H22" s="4">
        <f t="shared" si="12"/>
        <v>12.516666666666666</v>
      </c>
      <c r="I22" s="43"/>
      <c r="J22" s="44"/>
      <c r="K22" s="5"/>
      <c r="L22" s="5" t="str">
        <f t="shared" si="13"/>
        <v>NA</v>
      </c>
      <c r="O22" s="5">
        <f t="shared" si="14"/>
        <v>15.6</v>
      </c>
      <c r="P22" s="5">
        <f t="shared" si="16"/>
        <v>9.9499999999999993</v>
      </c>
      <c r="Q22" s="5">
        <f t="shared" si="17"/>
        <v>12</v>
      </c>
    </row>
    <row r="23" spans="2:17" ht="16.5" thickBot="1" x14ac:dyDescent="0.3">
      <c r="B23" s="24" t="s">
        <v>9</v>
      </c>
      <c r="C23" s="2">
        <f t="shared" si="15"/>
        <v>9.6749999999999989</v>
      </c>
      <c r="D23" s="2">
        <v>9.4</v>
      </c>
      <c r="E23" s="2">
        <v>11.5</v>
      </c>
      <c r="F23" s="2">
        <v>8.125</v>
      </c>
      <c r="G23" s="3">
        <v>2</v>
      </c>
      <c r="H23" s="4">
        <f t="shared" si="12"/>
        <v>19.349999999999998</v>
      </c>
      <c r="I23" s="43"/>
      <c r="J23" s="44"/>
      <c r="K23" s="5"/>
      <c r="L23" s="5" t="str">
        <f t="shared" si="13"/>
        <v>NA</v>
      </c>
      <c r="O23" s="5">
        <f t="shared" si="14"/>
        <v>18.8</v>
      </c>
      <c r="P23" s="5">
        <f t="shared" si="16"/>
        <v>23</v>
      </c>
      <c r="Q23" s="5">
        <f t="shared" si="17"/>
        <v>16.25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7.2583333333333329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(D27+F27+E27)/3</f>
        <v>9.6666666666666661</v>
      </c>
      <c r="D27" s="2">
        <v>12</v>
      </c>
      <c r="E27" s="2">
        <v>0</v>
      </c>
      <c r="F27" s="2">
        <v>17</v>
      </c>
      <c r="G27" s="3">
        <v>1</v>
      </c>
      <c r="H27" s="4">
        <f t="shared" ref="H27:H30" si="18">C27*G27</f>
        <v>9.6666666666666661</v>
      </c>
      <c r="I27" s="43"/>
      <c r="J27" s="44"/>
      <c r="K27" s="5"/>
      <c r="L27" s="5" t="str">
        <f t="shared" ref="L27:L30" si="19">IF(C27&lt;11,"NA",IF(C27&lt;15,"ECA",IF(C27&lt;18,"A",IF(C27&lt;20,"A+"))))</f>
        <v>NA</v>
      </c>
      <c r="O27" s="5">
        <f t="shared" ref="O27:O30" si="20">D27*G27</f>
        <v>12</v>
      </c>
      <c r="P27" s="5">
        <f>E27*G27</f>
        <v>0</v>
      </c>
      <c r="Q27" s="5">
        <f>G27*F27</f>
        <v>17</v>
      </c>
    </row>
    <row r="28" spans="2:17" ht="16.5" thickBot="1" x14ac:dyDescent="0.3">
      <c r="B28" s="24" t="s">
        <v>44</v>
      </c>
      <c r="C28" s="2">
        <f t="shared" ref="C28:C30" si="21">(D28+F28+E28)/3</f>
        <v>12.208333333333334</v>
      </c>
      <c r="D28" s="2">
        <v>12.5</v>
      </c>
      <c r="E28" s="2">
        <v>14.125</v>
      </c>
      <c r="F28" s="2">
        <v>10</v>
      </c>
      <c r="G28" s="3">
        <v>2</v>
      </c>
      <c r="H28" s="4">
        <f t="shared" si="18"/>
        <v>24.416666666666668</v>
      </c>
      <c r="I28" s="43"/>
      <c r="J28" s="44"/>
      <c r="K28" s="5"/>
      <c r="L28" s="5" t="str">
        <f t="shared" si="19"/>
        <v>ECA</v>
      </c>
      <c r="O28" s="5">
        <f t="shared" si="20"/>
        <v>25</v>
      </c>
      <c r="P28" s="5">
        <f t="shared" ref="P28:P30" si="22">E28*G28</f>
        <v>28.25</v>
      </c>
      <c r="Q28" s="5">
        <f t="shared" ref="Q28:Q30" si="23">G28*F28</f>
        <v>20</v>
      </c>
    </row>
    <row r="29" spans="2:17" ht="16.5" thickBot="1" x14ac:dyDescent="0.3">
      <c r="B29" s="24" t="s">
        <v>45</v>
      </c>
      <c r="C29" s="2">
        <f>(D29+F29+E29)/2</f>
        <v>15</v>
      </c>
      <c r="D29" s="2">
        <v>13</v>
      </c>
      <c r="E29" s="2">
        <v>17</v>
      </c>
      <c r="F29" s="2">
        <v>0</v>
      </c>
      <c r="G29" s="3">
        <v>1</v>
      </c>
      <c r="H29" s="4">
        <f t="shared" si="18"/>
        <v>15</v>
      </c>
      <c r="I29" s="43"/>
      <c r="J29" s="44"/>
      <c r="K29" s="5"/>
      <c r="L29" s="5" t="str">
        <f t="shared" si="19"/>
        <v>A</v>
      </c>
      <c r="O29" s="5">
        <f t="shared" si="20"/>
        <v>13</v>
      </c>
      <c r="P29" s="5">
        <f t="shared" si="22"/>
        <v>17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 t="shared" si="21"/>
        <v>10.166666666666666</v>
      </c>
      <c r="D30" s="2">
        <v>15</v>
      </c>
      <c r="E30" s="2">
        <v>0</v>
      </c>
      <c r="F30" s="2">
        <v>15.5</v>
      </c>
      <c r="G30" s="3">
        <v>1</v>
      </c>
      <c r="H30" s="4">
        <f t="shared" si="18"/>
        <v>10.166666666666666</v>
      </c>
      <c r="I30" s="43"/>
      <c r="J30" s="44"/>
      <c r="K30" s="5"/>
      <c r="L30" s="5" t="str">
        <f t="shared" si="19"/>
        <v>NA</v>
      </c>
      <c r="O30" s="5">
        <f t="shared" si="20"/>
        <v>15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285.47500000000002</v>
      </c>
      <c r="P31" s="1">
        <f>SUM(P5:P30)</f>
        <v>262.24</v>
      </c>
      <c r="Q31" s="1">
        <f>SUM(Q5:Q30)</f>
        <v>250.08750000000001</v>
      </c>
    </row>
    <row r="32" spans="2:17" ht="16.149999999999999" customHeight="1" thickBot="1" x14ac:dyDescent="0.3">
      <c r="B32" s="6" t="s">
        <v>14</v>
      </c>
      <c r="C32" s="45">
        <f>(SUM(H27:H30)/SUM(G27:G30))</f>
        <v>11.85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9.5158333333333349</v>
      </c>
      <c r="P33" s="1">
        <f>P31/P32</f>
        <v>9.3657142857142865</v>
      </c>
      <c r="Q33" s="1">
        <f>Q31/Q32</f>
        <v>8.6237068965517238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9.5158333333333349</v>
      </c>
      <c r="D36" s="14">
        <f>P33</f>
        <v>9.3657142857142865</v>
      </c>
      <c r="E36" s="14">
        <f>Q33</f>
        <v>8.6237068965517238</v>
      </c>
      <c r="F36" s="35" t="s">
        <v>61</v>
      </c>
      <c r="G36" s="16">
        <f>(H5+H6+H7+H8+H9+H13+H14+H15+H20+H16+H21+H22+H23+H27+H28+H29+H30)/30</f>
        <v>9.0311388888888864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6" zoomScale="80" zoomScaleNormal="80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(D5+F5+E5)/2</f>
        <v>5.7874999999999996</v>
      </c>
      <c r="D5" s="2">
        <v>5.7</v>
      </c>
      <c r="E5" s="2"/>
      <c r="F5" s="2">
        <v>5.875</v>
      </c>
      <c r="G5" s="3">
        <v>3</v>
      </c>
      <c r="H5" s="4">
        <f>C5*G5</f>
        <v>17.362499999999997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17.100000000000001</v>
      </c>
      <c r="P5" s="5">
        <f>E5*G5</f>
        <v>0</v>
      </c>
      <c r="Q5" s="5">
        <f>G5*F5</f>
        <v>17.625</v>
      </c>
    </row>
    <row r="6" spans="2:29" ht="16.5" thickBot="1" x14ac:dyDescent="0.3">
      <c r="B6" s="24" t="s">
        <v>50</v>
      </c>
      <c r="C6" s="2">
        <f>(D6+F6+E6)/2</f>
        <v>8.15</v>
      </c>
      <c r="D6" s="2">
        <v>3.55</v>
      </c>
      <c r="E6" s="2"/>
      <c r="F6" s="2">
        <v>12.75</v>
      </c>
      <c r="G6" s="3">
        <v>1</v>
      </c>
      <c r="H6" s="4">
        <f t="shared" ref="H6:H9" si="0">C6*G6</f>
        <v>8.15</v>
      </c>
      <c r="I6" s="43"/>
      <c r="J6" s="44"/>
      <c r="K6" s="5"/>
      <c r="L6" s="5" t="str">
        <f t="shared" ref="L6:L9" si="1">IF(C6&lt;11,"NA",IF(C6&lt;15,"ECA",IF(C6&lt;18,"A",IF(C6&lt;20,"A+"))))</f>
        <v>NA</v>
      </c>
      <c r="O6" s="5">
        <f t="shared" ref="O6:O9" si="2">D6*G6</f>
        <v>3.55</v>
      </c>
      <c r="P6" s="5">
        <f t="shared" ref="P6:P9" si="3">E6*G6</f>
        <v>0</v>
      </c>
      <c r="Q6" s="5">
        <f t="shared" ref="Q6:Q9" si="4">G6*F6</f>
        <v>12.75</v>
      </c>
    </row>
    <row r="7" spans="2:29" ht="16.5" thickBot="1" x14ac:dyDescent="0.3">
      <c r="B7" s="24" t="s">
        <v>46</v>
      </c>
      <c r="C7" s="2">
        <f>(D7+F7+E7)/2</f>
        <v>9.625</v>
      </c>
      <c r="D7" s="2">
        <v>10</v>
      </c>
      <c r="E7" s="2"/>
      <c r="F7" s="2">
        <v>9.25</v>
      </c>
      <c r="G7" s="3">
        <v>2</v>
      </c>
      <c r="H7" s="4">
        <f t="shared" si="0"/>
        <v>19.25</v>
      </c>
      <c r="I7" s="43"/>
      <c r="J7" s="44"/>
      <c r="K7" s="5"/>
      <c r="L7" s="5" t="str">
        <f t="shared" si="1"/>
        <v>NA</v>
      </c>
      <c r="O7" s="5">
        <f t="shared" si="2"/>
        <v>20</v>
      </c>
      <c r="P7" s="5">
        <f t="shared" si="3"/>
        <v>0</v>
      </c>
      <c r="Q7" s="5">
        <f t="shared" si="4"/>
        <v>18.5</v>
      </c>
    </row>
    <row r="8" spans="2:29" ht="16.5" thickBot="1" x14ac:dyDescent="0.3">
      <c r="B8" s="24" t="s">
        <v>47</v>
      </c>
      <c r="C8" s="2">
        <f>(D8+F8+E8)/2</f>
        <v>8.9574999999999996</v>
      </c>
      <c r="D8" s="2">
        <v>9.4149999999999991</v>
      </c>
      <c r="E8" s="2"/>
      <c r="F8" s="2">
        <v>8.5</v>
      </c>
      <c r="G8" s="3">
        <v>1</v>
      </c>
      <c r="H8" s="4">
        <f t="shared" si="0"/>
        <v>8.9574999999999996</v>
      </c>
      <c r="I8" s="43"/>
      <c r="J8" s="44"/>
      <c r="K8" s="5"/>
      <c r="L8" s="5" t="str">
        <f t="shared" si="1"/>
        <v>NA</v>
      </c>
      <c r="O8" s="5">
        <f t="shared" si="2"/>
        <v>9.4149999999999991</v>
      </c>
      <c r="P8" s="5">
        <f t="shared" si="3"/>
        <v>0</v>
      </c>
      <c r="Q8" s="5">
        <f t="shared" si="4"/>
        <v>8.5</v>
      </c>
    </row>
    <row r="9" spans="2:29" ht="16.5" thickBot="1" x14ac:dyDescent="0.3">
      <c r="B9" s="24" t="s">
        <v>51</v>
      </c>
      <c r="C9" s="2">
        <f>(D9+F9+E9)/2</f>
        <v>8.9250000000000007</v>
      </c>
      <c r="D9" s="2">
        <v>11.850000000000001</v>
      </c>
      <c r="E9" s="2"/>
      <c r="F9" s="2">
        <v>6</v>
      </c>
      <c r="G9" s="3">
        <v>2</v>
      </c>
      <c r="H9" s="4">
        <f t="shared" si="0"/>
        <v>17.850000000000001</v>
      </c>
      <c r="I9" s="43"/>
      <c r="J9" s="44"/>
      <c r="K9" s="5"/>
      <c r="L9" s="5" t="str">
        <f t="shared" si="1"/>
        <v>NA</v>
      </c>
      <c r="O9" s="5">
        <f t="shared" si="2"/>
        <v>23.700000000000003</v>
      </c>
      <c r="P9" s="5">
        <f t="shared" si="3"/>
        <v>0</v>
      </c>
      <c r="Q9" s="5">
        <f t="shared" si="4"/>
        <v>12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7.9522222222222219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(D13+F13+E13)/2</f>
        <v>8.4250000000000007</v>
      </c>
      <c r="D13" s="2">
        <v>8.9749999999999996</v>
      </c>
      <c r="E13" s="2"/>
      <c r="F13" s="2">
        <v>7.875</v>
      </c>
      <c r="G13" s="3">
        <v>2</v>
      </c>
      <c r="H13" s="4">
        <f t="shared" ref="H13:H16" si="5">C13*G13</f>
        <v>16.850000000000001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6">D13*G13</f>
        <v>17.95</v>
      </c>
      <c r="P13" s="5">
        <f>E13*G13</f>
        <v>0</v>
      </c>
      <c r="Q13" s="5">
        <f>G13*F13</f>
        <v>15.75</v>
      </c>
    </row>
    <row r="14" spans="2:29" ht="16.5" thickBot="1" x14ac:dyDescent="0.3">
      <c r="B14" s="24" t="s">
        <v>12</v>
      </c>
      <c r="C14" s="2">
        <f>(D14+F14+E14)/2</f>
        <v>10.5625</v>
      </c>
      <c r="D14" s="2">
        <v>8</v>
      </c>
      <c r="E14" s="2"/>
      <c r="F14" s="2">
        <v>13.125</v>
      </c>
      <c r="G14" s="3">
        <v>1.5</v>
      </c>
      <c r="H14" s="4">
        <f t="shared" si="5"/>
        <v>15.84375</v>
      </c>
      <c r="I14" s="43"/>
      <c r="J14" s="44"/>
      <c r="K14" s="5"/>
      <c r="L14" s="5" t="str">
        <f t="shared" ref="L14:L16" si="7">IF(C14&lt;11,"NA",IF(C14&lt;15,"ECA",IF(C14&lt;18,"A",IF(C14&lt;20,"A+"))))</f>
        <v>NA</v>
      </c>
      <c r="O14" s="5">
        <f t="shared" si="6"/>
        <v>12</v>
      </c>
      <c r="P14" s="5">
        <f t="shared" ref="P14:P16" si="8">E14*G14</f>
        <v>0</v>
      </c>
      <c r="Q14" s="5">
        <f t="shared" ref="Q14:Q16" si="9">G14*F14</f>
        <v>19.6875</v>
      </c>
    </row>
    <row r="15" spans="2:29" ht="16.5" thickBot="1" x14ac:dyDescent="0.3">
      <c r="B15" s="24" t="s">
        <v>13</v>
      </c>
      <c r="C15" s="2">
        <f>(D15+F15+E15)/2</f>
        <v>7.95</v>
      </c>
      <c r="D15" s="2">
        <v>6.9</v>
      </c>
      <c r="E15" s="2"/>
      <c r="F15" s="2">
        <v>9</v>
      </c>
      <c r="G15" s="3">
        <v>1.5</v>
      </c>
      <c r="H15" s="4">
        <f t="shared" si="5"/>
        <v>11.925000000000001</v>
      </c>
      <c r="I15" s="43"/>
      <c r="J15" s="44"/>
      <c r="K15" s="5"/>
      <c r="L15" s="5" t="str">
        <f t="shared" si="7"/>
        <v>NA</v>
      </c>
      <c r="O15" s="5">
        <f t="shared" si="6"/>
        <v>10.350000000000001</v>
      </c>
      <c r="P15" s="5">
        <f t="shared" si="8"/>
        <v>0</v>
      </c>
      <c r="Q15" s="5">
        <f t="shared" si="9"/>
        <v>13.5</v>
      </c>
    </row>
    <row r="16" spans="2:29" ht="16.5" thickBot="1" x14ac:dyDescent="0.3">
      <c r="B16" s="24" t="s">
        <v>48</v>
      </c>
      <c r="C16" s="2">
        <f>(D16+F16+E16)/2</f>
        <v>12.125</v>
      </c>
      <c r="D16" s="2">
        <v>12</v>
      </c>
      <c r="E16" s="2"/>
      <c r="F16" s="2">
        <v>12.25</v>
      </c>
      <c r="G16" s="3">
        <v>1</v>
      </c>
      <c r="H16" s="4">
        <f t="shared" si="5"/>
        <v>12.125</v>
      </c>
      <c r="I16" s="43"/>
      <c r="J16" s="44"/>
      <c r="K16" s="5"/>
      <c r="L16" s="5" t="str">
        <f t="shared" si="7"/>
        <v>ECA</v>
      </c>
      <c r="O16" s="5">
        <f t="shared" si="6"/>
        <v>12</v>
      </c>
      <c r="P16" s="5">
        <f t="shared" si="8"/>
        <v>0</v>
      </c>
      <c r="Q16" s="5">
        <f t="shared" si="9"/>
        <v>12.25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9.4572916666666682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(D20+F20+E20)/2</f>
        <v>8.375</v>
      </c>
      <c r="D20" s="2">
        <v>7.875</v>
      </c>
      <c r="E20" s="2"/>
      <c r="F20" s="2">
        <v>8.875</v>
      </c>
      <c r="G20" s="3">
        <v>2</v>
      </c>
      <c r="H20" s="4">
        <f t="shared" ref="H20:H23" si="10">C20*G20</f>
        <v>16.75</v>
      </c>
      <c r="I20" s="43"/>
      <c r="J20" s="44"/>
      <c r="K20" s="5"/>
      <c r="L20" s="5" t="str">
        <f t="shared" ref="L20:L23" si="11">IF(C20&lt;11,"NA",IF(C20&lt;15,"ECA",IF(C20&lt;18,"A",IF(C20&lt;20,"A+"))))</f>
        <v>NA</v>
      </c>
      <c r="O20" s="5">
        <f t="shared" ref="O20:O23" si="12">D20*G20</f>
        <v>15.75</v>
      </c>
      <c r="P20" s="5">
        <f>E20*G20</f>
        <v>0</v>
      </c>
      <c r="Q20" s="5">
        <f>G20*F20</f>
        <v>17.75</v>
      </c>
    </row>
    <row r="21" spans="2:17" ht="16.5" thickBot="1" x14ac:dyDescent="0.3">
      <c r="B21" s="24" t="s">
        <v>8</v>
      </c>
      <c r="C21" s="2">
        <f>(D21+F21+E21)/2</f>
        <v>4.9124999999999996</v>
      </c>
      <c r="D21" s="2">
        <v>5.5749999999999993</v>
      </c>
      <c r="E21" s="2"/>
      <c r="F21" s="2">
        <v>4.25</v>
      </c>
      <c r="G21" s="3">
        <v>4</v>
      </c>
      <c r="H21" s="4">
        <f t="shared" si="10"/>
        <v>19.649999999999999</v>
      </c>
      <c r="I21" s="43"/>
      <c r="J21" s="44"/>
      <c r="K21" s="5"/>
      <c r="L21" s="5" t="str">
        <f t="shared" si="11"/>
        <v>NA</v>
      </c>
      <c r="O21" s="5">
        <f t="shared" si="12"/>
        <v>22.299999999999997</v>
      </c>
      <c r="P21" s="5">
        <f t="shared" ref="P21:P23" si="13">E21*G21</f>
        <v>0</v>
      </c>
      <c r="Q21" s="5">
        <f t="shared" ref="Q21:Q23" si="14">G21*F21</f>
        <v>17</v>
      </c>
    </row>
    <row r="22" spans="2:17" ht="16.5" thickBot="1" x14ac:dyDescent="0.3">
      <c r="B22" s="24" t="s">
        <v>52</v>
      </c>
      <c r="C22" s="2">
        <f>(D22+F22+E22)/2</f>
        <v>5.9</v>
      </c>
      <c r="D22" s="2">
        <v>7.1749999999999998</v>
      </c>
      <c r="E22" s="2"/>
      <c r="F22" s="2">
        <v>4.625</v>
      </c>
      <c r="G22" s="3">
        <v>2</v>
      </c>
      <c r="H22" s="4">
        <f t="shared" si="10"/>
        <v>11.8</v>
      </c>
      <c r="I22" s="43"/>
      <c r="J22" s="44"/>
      <c r="K22" s="5"/>
      <c r="L22" s="5" t="str">
        <f t="shared" si="11"/>
        <v>NA</v>
      </c>
      <c r="O22" s="5">
        <f t="shared" si="12"/>
        <v>14.35</v>
      </c>
      <c r="P22" s="5">
        <f t="shared" si="13"/>
        <v>0</v>
      </c>
      <c r="Q22" s="5">
        <f t="shared" si="14"/>
        <v>9.25</v>
      </c>
    </row>
    <row r="23" spans="2:17" ht="16.5" thickBot="1" x14ac:dyDescent="0.3">
      <c r="B23" s="24" t="s">
        <v>9</v>
      </c>
      <c r="C23" s="2">
        <f>(D23+F23+E23)/2</f>
        <v>7.9625000000000004</v>
      </c>
      <c r="D23" s="2">
        <v>9.8000000000000007</v>
      </c>
      <c r="E23" s="2"/>
      <c r="F23" s="2">
        <v>6.125</v>
      </c>
      <c r="G23" s="3">
        <v>2</v>
      </c>
      <c r="H23" s="4">
        <f t="shared" si="10"/>
        <v>15.925000000000001</v>
      </c>
      <c r="I23" s="43"/>
      <c r="J23" s="44"/>
      <c r="K23" s="5"/>
      <c r="L23" s="5" t="str">
        <f t="shared" si="11"/>
        <v>NA</v>
      </c>
      <c r="O23" s="5">
        <f t="shared" si="12"/>
        <v>19.600000000000001</v>
      </c>
      <c r="P23" s="5">
        <f t="shared" si="13"/>
        <v>0</v>
      </c>
      <c r="Q23" s="5">
        <f t="shared" si="14"/>
        <v>12.25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6.4124999999999996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11.75</v>
      </c>
      <c r="D27" s="2">
        <v>11.5</v>
      </c>
      <c r="E27" s="2"/>
      <c r="F27" s="2">
        <v>12</v>
      </c>
      <c r="G27" s="3">
        <v>1</v>
      </c>
      <c r="H27" s="4">
        <f t="shared" ref="H27:H30" si="15">C27*G27</f>
        <v>11.75</v>
      </c>
      <c r="I27" s="43"/>
      <c r="J27" s="44"/>
      <c r="K27" s="5"/>
      <c r="L27" s="5" t="str">
        <f t="shared" ref="L27:L30" si="16">IF(C27&lt;11,"NA",IF(C27&lt;15,"ECA",IF(C27&lt;18,"A",IF(C27&lt;20,"A+"))))</f>
        <v>ECA</v>
      </c>
      <c r="O27" s="5">
        <f t="shared" ref="O27:O30" si="17">D27*G27</f>
        <v>11.5</v>
      </c>
      <c r="P27" s="5">
        <f>E27*G27</f>
        <v>0</v>
      </c>
      <c r="Q27" s="5">
        <f>G27*F27</f>
        <v>12</v>
      </c>
    </row>
    <row r="28" spans="2:17" ht="16.5" thickBot="1" x14ac:dyDescent="0.3">
      <c r="B28" s="24" t="s">
        <v>44</v>
      </c>
      <c r="C28" s="2">
        <f>(D28+F28+E28)/2</f>
        <v>10.9375</v>
      </c>
      <c r="D28" s="2">
        <v>14.25</v>
      </c>
      <c r="E28" s="2"/>
      <c r="F28" s="2">
        <v>7.625</v>
      </c>
      <c r="G28" s="3">
        <v>2</v>
      </c>
      <c r="H28" s="4">
        <f t="shared" si="15"/>
        <v>21.875</v>
      </c>
      <c r="I28" s="43"/>
      <c r="J28" s="44"/>
      <c r="K28" s="5"/>
      <c r="L28" s="5" t="str">
        <f t="shared" si="16"/>
        <v>NA</v>
      </c>
      <c r="O28" s="5">
        <f t="shared" si="17"/>
        <v>28.5</v>
      </c>
      <c r="P28" s="5">
        <f t="shared" ref="P28:P30" si="18">E28*G28</f>
        <v>0</v>
      </c>
      <c r="Q28" s="5">
        <f t="shared" ref="Q28:Q30" si="19">G28*F28</f>
        <v>15.25</v>
      </c>
    </row>
    <row r="29" spans="2:17" ht="16.5" thickBot="1" x14ac:dyDescent="0.3">
      <c r="B29" s="24" t="s">
        <v>45</v>
      </c>
      <c r="C29" s="2">
        <f>(D29+F29+E29)</f>
        <v>12.5</v>
      </c>
      <c r="D29" s="2">
        <v>12.5</v>
      </c>
      <c r="E29" s="2"/>
      <c r="F29" s="2">
        <v>0</v>
      </c>
      <c r="G29" s="3">
        <v>1</v>
      </c>
      <c r="H29" s="4">
        <f t="shared" si="15"/>
        <v>12.5</v>
      </c>
      <c r="I29" s="43"/>
      <c r="J29" s="44"/>
      <c r="K29" s="5"/>
      <c r="L29" s="5" t="str">
        <f t="shared" si="16"/>
        <v>ECA</v>
      </c>
      <c r="O29" s="5">
        <f t="shared" si="17"/>
        <v>12.5</v>
      </c>
      <c r="P29" s="5">
        <f t="shared" si="18"/>
        <v>0</v>
      </c>
      <c r="Q29" s="5">
        <f t="shared" si="19"/>
        <v>0</v>
      </c>
    </row>
    <row r="30" spans="2:17" ht="16.5" thickBot="1" x14ac:dyDescent="0.3">
      <c r="B30" s="24" t="s">
        <v>16</v>
      </c>
      <c r="C30" s="2">
        <f>(D30+F30+E30)/2</f>
        <v>15</v>
      </c>
      <c r="D30" s="2">
        <v>14.5</v>
      </c>
      <c r="E30" s="2"/>
      <c r="F30" s="2">
        <v>15.5</v>
      </c>
      <c r="G30" s="3">
        <v>1</v>
      </c>
      <c r="H30" s="4">
        <f t="shared" si="15"/>
        <v>15</v>
      </c>
      <c r="I30" s="43"/>
      <c r="J30" s="44"/>
      <c r="K30" s="5"/>
      <c r="L30" s="5" t="str">
        <f t="shared" si="16"/>
        <v>A</v>
      </c>
      <c r="O30" s="5">
        <f t="shared" si="17"/>
        <v>14.5</v>
      </c>
      <c r="P30" s="5">
        <f t="shared" si="18"/>
        <v>0</v>
      </c>
      <c r="Q30" s="5">
        <f t="shared" si="19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265.065</v>
      </c>
      <c r="P31" s="1">
        <f>SUM(P5:P30)</f>
        <v>0</v>
      </c>
      <c r="Q31" s="1">
        <f>SUM(Q5:Q30)</f>
        <v>229.5625</v>
      </c>
    </row>
    <row r="32" spans="2:17" ht="16.149999999999999" customHeight="1" thickBot="1" x14ac:dyDescent="0.3">
      <c r="B32" s="6" t="s">
        <v>14</v>
      </c>
      <c r="C32" s="45">
        <f>(SUM(H27:H30)/SUM(G27:G30))</f>
        <v>12.225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30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8.8354999999999997</v>
      </c>
      <c r="P33" s="1">
        <f>P31/P32</f>
        <v>0</v>
      </c>
      <c r="Q33" s="1">
        <f>Q31/Q32</f>
        <v>7.9159482758620694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8.8354999999999997</v>
      </c>
      <c r="D36" s="14">
        <f>P33</f>
        <v>0</v>
      </c>
      <c r="E36" s="14">
        <f>Q33</f>
        <v>7.9159482758620694</v>
      </c>
      <c r="F36" s="35" t="s">
        <v>61</v>
      </c>
      <c r="G36" s="16">
        <f>(H5+H6+H7+H8+H9+H13+H14+H15+H20+H16+H21+H22+H23+H27+H28+H29+H30)/30</f>
        <v>8.4521250000000006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6"/>
  <sheetViews>
    <sheetView tabSelected="1" topLeftCell="A4" zoomScale="78" zoomScaleNormal="78" workbookViewId="0">
      <selection activeCell="G29" sqref="G29:H29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84</v>
      </c>
      <c r="C5" s="32">
        <f>(D5+F5+E5)/3</f>
        <v>10.933333333333332</v>
      </c>
      <c r="D5" s="2">
        <v>11.9</v>
      </c>
      <c r="E5" s="2">
        <v>9.9</v>
      </c>
      <c r="F5" s="2">
        <v>11</v>
      </c>
      <c r="G5" s="3">
        <v>3</v>
      </c>
      <c r="H5" s="4">
        <f>C5*G5</f>
        <v>32.799999999999997</v>
      </c>
      <c r="I5" s="43"/>
      <c r="J5" s="44"/>
      <c r="K5" s="5"/>
      <c r="L5" s="5" t="s">
        <v>83</v>
      </c>
      <c r="O5" s="5">
        <f>D5*G5</f>
        <v>35.700000000000003</v>
      </c>
      <c r="P5" s="5">
        <f>E5*G5</f>
        <v>29.700000000000003</v>
      </c>
      <c r="Q5" s="5">
        <f>G5*F5</f>
        <v>33</v>
      </c>
    </row>
    <row r="6" spans="2:29" ht="16.5" thickBot="1" x14ac:dyDescent="0.3">
      <c r="B6" s="24" t="s">
        <v>85</v>
      </c>
      <c r="C6" s="2">
        <f t="shared" ref="C6:C9" si="0">(D6+F6+E6)/3</f>
        <v>9.8766666666666669</v>
      </c>
      <c r="D6" s="2">
        <v>9.5</v>
      </c>
      <c r="E6" s="2">
        <v>9</v>
      </c>
      <c r="F6" s="2">
        <v>11.13</v>
      </c>
      <c r="G6" s="3">
        <v>3</v>
      </c>
      <c r="H6" s="4">
        <f t="shared" ref="H6:H9" si="1">C6*G6</f>
        <v>29.630000000000003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28.5</v>
      </c>
      <c r="P6" s="5">
        <f t="shared" ref="P6:P9" si="4">E6*G6</f>
        <v>27</v>
      </c>
      <c r="Q6" s="5">
        <f t="shared" ref="Q6:Q9" si="5">G6*F6</f>
        <v>33.39</v>
      </c>
    </row>
    <row r="7" spans="2:29" ht="16.5" thickBot="1" x14ac:dyDescent="0.3">
      <c r="B7" s="24" t="s">
        <v>86</v>
      </c>
      <c r="C7" s="2">
        <f t="shared" si="0"/>
        <v>11.556666666666667</v>
      </c>
      <c r="D7" s="2">
        <v>11.6</v>
      </c>
      <c r="E7" s="2">
        <v>11.32</v>
      </c>
      <c r="F7" s="2">
        <v>11.75</v>
      </c>
      <c r="G7" s="3">
        <v>6</v>
      </c>
      <c r="H7" s="4">
        <f t="shared" si="1"/>
        <v>69.34</v>
      </c>
      <c r="I7" s="43"/>
      <c r="J7" s="44"/>
      <c r="K7" s="5"/>
      <c r="L7" s="5" t="str">
        <f t="shared" si="2"/>
        <v>ECA</v>
      </c>
      <c r="O7" s="5">
        <f t="shared" si="3"/>
        <v>69.599999999999994</v>
      </c>
      <c r="P7" s="5">
        <f t="shared" si="4"/>
        <v>67.92</v>
      </c>
      <c r="Q7" s="5">
        <f t="shared" si="5"/>
        <v>70.5</v>
      </c>
    </row>
    <row r="8" spans="2:29" ht="16.5" thickBot="1" x14ac:dyDescent="0.3">
      <c r="B8" s="24" t="s">
        <v>87</v>
      </c>
      <c r="C8" s="2">
        <f t="shared" si="0"/>
        <v>10.44</v>
      </c>
      <c r="D8" s="2">
        <v>9.5</v>
      </c>
      <c r="E8" s="2">
        <v>9.82</v>
      </c>
      <c r="F8" s="2">
        <v>12</v>
      </c>
      <c r="G8" s="3">
        <v>3</v>
      </c>
      <c r="H8" s="4">
        <f t="shared" si="1"/>
        <v>31.32</v>
      </c>
      <c r="I8" s="43"/>
      <c r="J8" s="44"/>
      <c r="K8" s="5"/>
      <c r="L8" s="5" t="s">
        <v>83</v>
      </c>
      <c r="O8" s="5">
        <f t="shared" si="3"/>
        <v>28.5</v>
      </c>
      <c r="P8" s="5">
        <f t="shared" si="4"/>
        <v>29.46</v>
      </c>
      <c r="Q8" s="5">
        <f t="shared" si="5"/>
        <v>36</v>
      </c>
    </row>
    <row r="9" spans="2:29" ht="16.5" thickBot="1" x14ac:dyDescent="0.3">
      <c r="B9" s="24" t="s">
        <v>9</v>
      </c>
      <c r="C9" s="2">
        <f t="shared" si="0"/>
        <v>11.25</v>
      </c>
      <c r="D9" s="2">
        <v>14.9</v>
      </c>
      <c r="E9" s="2">
        <v>8.25</v>
      </c>
      <c r="F9" s="2">
        <v>10.6</v>
      </c>
      <c r="G9" s="3">
        <v>3</v>
      </c>
      <c r="H9" s="4">
        <f t="shared" si="1"/>
        <v>33.75</v>
      </c>
      <c r="I9" s="43"/>
      <c r="J9" s="44"/>
      <c r="K9" s="5"/>
      <c r="L9" s="5" t="str">
        <f t="shared" si="2"/>
        <v>ECA</v>
      </c>
      <c r="O9" s="5">
        <f t="shared" si="3"/>
        <v>44.7</v>
      </c>
      <c r="P9" s="5">
        <f t="shared" si="4"/>
        <v>24.75</v>
      </c>
      <c r="Q9" s="5">
        <f t="shared" si="5"/>
        <v>31.799999999999997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10.935555555555556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12.136666666666668</v>
      </c>
      <c r="D13" s="2">
        <v>13.5</v>
      </c>
      <c r="E13" s="2">
        <v>12.53</v>
      </c>
      <c r="F13" s="2">
        <v>10.38</v>
      </c>
      <c r="G13" s="3">
        <v>2</v>
      </c>
      <c r="H13" s="4">
        <f t="shared" ref="H13:H15" si="6">C13*G13</f>
        <v>24.273333333333337</v>
      </c>
      <c r="I13" s="43"/>
      <c r="J13" s="44"/>
      <c r="K13" s="5"/>
      <c r="L13" s="5" t="str">
        <f>IF(C13&lt;11,"NA",IF(C13&lt;15,"ECA",IF(C13&lt;18,"A",IF(C13&lt;20,"A+"))))</f>
        <v>ECA</v>
      </c>
      <c r="O13" s="5">
        <f t="shared" ref="O13:O15" si="7">D13*G13</f>
        <v>27</v>
      </c>
      <c r="P13" s="5">
        <f>E13*G13</f>
        <v>25.06</v>
      </c>
      <c r="Q13" s="5">
        <f>G13*F13</f>
        <v>20.76</v>
      </c>
    </row>
    <row r="14" spans="2:29" ht="16.5" thickBot="1" x14ac:dyDescent="0.3">
      <c r="B14" s="24" t="s">
        <v>12</v>
      </c>
      <c r="C14" s="2">
        <f t="shared" ref="C14:C15" si="8">(D14+F14+E14)/3</f>
        <v>13.583333333333334</v>
      </c>
      <c r="D14" s="2">
        <v>14.85</v>
      </c>
      <c r="E14" s="2">
        <v>11.65</v>
      </c>
      <c r="F14" s="2">
        <v>14.25</v>
      </c>
      <c r="G14" s="3">
        <v>1.5</v>
      </c>
      <c r="H14" s="4">
        <f t="shared" si="6"/>
        <v>20.375</v>
      </c>
      <c r="I14" s="43"/>
      <c r="J14" s="44"/>
      <c r="K14" s="5"/>
      <c r="L14" s="5" t="str">
        <f t="shared" ref="L14:L15" si="9">IF(C14&lt;11,"NA",IF(C14&lt;15,"ECA",IF(C14&lt;18,"A",IF(C14&lt;20,"A+"))))</f>
        <v>ECA</v>
      </c>
      <c r="O14" s="5">
        <f t="shared" si="7"/>
        <v>22.274999999999999</v>
      </c>
      <c r="P14" s="5">
        <f t="shared" ref="P14:P15" si="10">E14*G14</f>
        <v>17.475000000000001</v>
      </c>
      <c r="Q14" s="5">
        <f t="shared" ref="Q14:Q15" si="11">G14*F14</f>
        <v>21.375</v>
      </c>
    </row>
    <row r="15" spans="2:29" ht="16.5" thickBot="1" x14ac:dyDescent="0.3">
      <c r="B15" s="24" t="s">
        <v>13</v>
      </c>
      <c r="C15" s="2">
        <f t="shared" si="8"/>
        <v>11.5</v>
      </c>
      <c r="D15" s="2">
        <v>11</v>
      </c>
      <c r="E15" s="2">
        <v>10.5</v>
      </c>
      <c r="F15" s="2">
        <v>13</v>
      </c>
      <c r="G15" s="3">
        <v>1.5</v>
      </c>
      <c r="H15" s="4">
        <f t="shared" si="6"/>
        <v>17.25</v>
      </c>
      <c r="I15" s="43"/>
      <c r="J15" s="44"/>
      <c r="K15" s="5"/>
      <c r="L15" s="5" t="str">
        <f t="shared" si="9"/>
        <v>ECA</v>
      </c>
      <c r="O15" s="5">
        <f t="shared" si="7"/>
        <v>16.5</v>
      </c>
      <c r="P15" s="5">
        <f t="shared" si="10"/>
        <v>15.75</v>
      </c>
      <c r="Q15" s="5">
        <f t="shared" si="11"/>
        <v>19.5</v>
      </c>
    </row>
    <row r="16" spans="2:29" ht="16.5" thickBot="1" x14ac:dyDescent="0.3">
      <c r="B16" s="46" t="s">
        <v>55</v>
      </c>
      <c r="C16" s="47"/>
      <c r="D16" s="47"/>
      <c r="E16" s="47"/>
      <c r="F16" s="47"/>
      <c r="G16" s="47"/>
      <c r="H16" s="47"/>
      <c r="I16" s="47"/>
      <c r="J16" s="47"/>
      <c r="K16" s="47"/>
      <c r="L16" s="48"/>
      <c r="O16" s="5" t="e">
        <f>#REF!*#REF!</f>
        <v>#REF!</v>
      </c>
      <c r="P16" s="5" t="e">
        <f>#REF!*#REF!</f>
        <v>#REF!</v>
      </c>
      <c r="Q16" s="5" t="e">
        <f>#REF!*#REF!</f>
        <v>#REF!</v>
      </c>
    </row>
    <row r="17" spans="2:17" ht="16.5" thickBot="1" x14ac:dyDescent="0.3">
      <c r="B17" s="6" t="s">
        <v>14</v>
      </c>
      <c r="C17" s="45">
        <f>(SUM(H13:H15)/SUM(G13:G15))</f>
        <v>12.379666666666669</v>
      </c>
      <c r="D17" s="45"/>
      <c r="E17" s="45"/>
      <c r="F17" s="45"/>
      <c r="G17" s="49" t="s">
        <v>11</v>
      </c>
      <c r="H17" s="49"/>
      <c r="I17" s="23"/>
      <c r="J17" s="50"/>
      <c r="K17" s="50"/>
      <c r="L17" s="51"/>
    </row>
    <row r="18" spans="2:17" ht="16.149999999999999" customHeight="1" thickBot="1" x14ac:dyDescent="0.3"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2:17" ht="16.5" thickBot="1" x14ac:dyDescent="0.3">
      <c r="B19" s="24" t="s">
        <v>15</v>
      </c>
      <c r="C19" s="2">
        <f>(D19+F19+E19)/3</f>
        <v>11.920000000000002</v>
      </c>
      <c r="D19" s="2">
        <v>11.5</v>
      </c>
      <c r="E19" s="2">
        <v>12.38</v>
      </c>
      <c r="F19" s="2">
        <v>11.88</v>
      </c>
      <c r="G19" s="3">
        <v>2</v>
      </c>
      <c r="H19" s="4">
        <f t="shared" ref="H19:H21" si="12">C19*G19</f>
        <v>23.840000000000003</v>
      </c>
      <c r="I19" s="43"/>
      <c r="J19" s="44"/>
      <c r="K19" s="5"/>
      <c r="L19" s="5" t="str">
        <f t="shared" ref="L19:L21" si="13">IF(C19&lt;11,"NA",IF(C19&lt;15,"ECA",IF(C19&lt;18,"A",IF(C19&lt;20,"A+"))))</f>
        <v>ECA</v>
      </c>
    </row>
    <row r="20" spans="2:17" ht="16.5" thickBot="1" x14ac:dyDescent="0.3">
      <c r="B20" s="24" t="s">
        <v>88</v>
      </c>
      <c r="C20" s="2">
        <f t="shared" ref="C20:C21" si="14">(D20+F20+E20)/3</f>
        <v>9.5400000000000009</v>
      </c>
      <c r="D20" s="2">
        <v>10.09</v>
      </c>
      <c r="E20" s="2">
        <v>7.28</v>
      </c>
      <c r="F20" s="2">
        <v>11.25</v>
      </c>
      <c r="G20" s="3">
        <v>1</v>
      </c>
      <c r="H20" s="4">
        <f t="shared" si="12"/>
        <v>9.5400000000000009</v>
      </c>
      <c r="I20" s="43"/>
      <c r="J20" s="44"/>
      <c r="K20" s="5"/>
      <c r="L20" s="5" t="str">
        <f t="shared" si="13"/>
        <v>NA</v>
      </c>
      <c r="O20" s="5">
        <f t="shared" ref="O20:O22" si="15">D19*G19</f>
        <v>23</v>
      </c>
      <c r="P20" s="5">
        <f>E19*G19</f>
        <v>24.76</v>
      </c>
      <c r="Q20" s="5">
        <f>G19*F19</f>
        <v>23.76</v>
      </c>
    </row>
    <row r="21" spans="2:17" ht="16.5" thickBot="1" x14ac:dyDescent="0.3">
      <c r="B21" s="24" t="s">
        <v>89</v>
      </c>
      <c r="C21" s="2">
        <f t="shared" si="14"/>
        <v>11.136666666666668</v>
      </c>
      <c r="D21" s="2">
        <v>10.6</v>
      </c>
      <c r="E21" s="2">
        <v>10.38</v>
      </c>
      <c r="F21" s="2">
        <v>12.43</v>
      </c>
      <c r="G21" s="3">
        <v>2</v>
      </c>
      <c r="H21" s="4">
        <f t="shared" si="12"/>
        <v>22.273333333333337</v>
      </c>
      <c r="I21" s="43"/>
      <c r="J21" s="44"/>
      <c r="K21" s="5"/>
      <c r="L21" s="5" t="str">
        <f t="shared" si="13"/>
        <v>ECA</v>
      </c>
      <c r="O21" s="5">
        <f t="shared" si="15"/>
        <v>10.09</v>
      </c>
      <c r="P21" s="5">
        <f t="shared" ref="P21:P22" si="16">E20*G20</f>
        <v>7.28</v>
      </c>
      <c r="Q21" s="5">
        <f t="shared" ref="Q21:Q22" si="17">G20*F20</f>
        <v>11.25</v>
      </c>
    </row>
    <row r="22" spans="2:17" ht="16.5" thickBot="1" x14ac:dyDescent="0.3">
      <c r="B22" s="46" t="s">
        <v>56</v>
      </c>
      <c r="C22" s="47"/>
      <c r="D22" s="47"/>
      <c r="E22" s="47"/>
      <c r="F22" s="47"/>
      <c r="G22" s="47"/>
      <c r="H22" s="47"/>
      <c r="I22" s="47"/>
      <c r="J22" s="47"/>
      <c r="K22" s="47"/>
      <c r="L22" s="48"/>
      <c r="O22" s="5">
        <f t="shared" si="15"/>
        <v>21.2</v>
      </c>
      <c r="P22" s="5">
        <f t="shared" si="16"/>
        <v>20.76</v>
      </c>
      <c r="Q22" s="5">
        <f t="shared" si="17"/>
        <v>24.86</v>
      </c>
    </row>
    <row r="23" spans="2:17" ht="16.5" thickBot="1" x14ac:dyDescent="0.3">
      <c r="B23" s="6" t="s">
        <v>10</v>
      </c>
      <c r="C23" s="45">
        <f>(SUM(H19:H21)/SUM(G19:G21))</f>
        <v>11.130666666666666</v>
      </c>
      <c r="D23" s="45"/>
      <c r="E23" s="45"/>
      <c r="F23" s="45"/>
      <c r="G23" s="49" t="s">
        <v>11</v>
      </c>
      <c r="H23" s="49"/>
      <c r="I23" s="23"/>
      <c r="J23" s="50"/>
      <c r="K23" s="50"/>
      <c r="L23" s="51"/>
      <c r="O23" s="5" t="e">
        <f>#REF!*#REF!</f>
        <v>#REF!</v>
      </c>
      <c r="P23" s="5" t="e">
        <f>#REF!*#REF!</f>
        <v>#REF!</v>
      </c>
      <c r="Q23" s="5" t="e">
        <f>#REF!*#REF!</f>
        <v>#REF!</v>
      </c>
    </row>
    <row r="24" spans="2:17" ht="16.5" thickBot="1" x14ac:dyDescent="0.3">
      <c r="B24" s="39"/>
      <c r="C24" s="40"/>
      <c r="D24" s="40"/>
      <c r="E24" s="40"/>
      <c r="F24" s="40"/>
      <c r="G24" s="40"/>
      <c r="H24" s="40"/>
      <c r="I24" s="41"/>
      <c r="J24" s="41"/>
      <c r="K24" s="41"/>
      <c r="L24" s="42"/>
    </row>
    <row r="25" spans="2:17" ht="16.149999999999999" customHeight="1" thickBot="1" x14ac:dyDescent="0.3">
      <c r="B25" s="24">
        <v>3</v>
      </c>
      <c r="C25" s="2">
        <f t="shared" ref="C25" si="18">(D25+F25+E25)/3</f>
        <v>13.793333333333335</v>
      </c>
      <c r="D25" s="2">
        <v>14.75</v>
      </c>
      <c r="E25" s="2">
        <v>14.5</v>
      </c>
      <c r="F25" s="2">
        <v>12.13</v>
      </c>
      <c r="G25" s="3">
        <v>2</v>
      </c>
      <c r="H25" s="4">
        <f t="shared" ref="H25" si="19">C25*G25</f>
        <v>27.58666666666667</v>
      </c>
      <c r="I25" s="43"/>
      <c r="J25" s="44"/>
      <c r="K25" s="5"/>
      <c r="L25" s="5" t="str">
        <f t="shared" ref="L25" si="20">IF(C25&lt;11,"NA",IF(C25&lt;15,"ECA",IF(C25&lt;18,"A",IF(C25&lt;20,"A+"))))</f>
        <v>ECA</v>
      </c>
    </row>
    <row r="26" spans="2:17" ht="16.5" thickBot="1" x14ac:dyDescent="0.3">
      <c r="B26" s="24" t="s">
        <v>53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2:17" ht="16.5" thickBot="1" x14ac:dyDescent="0.3">
      <c r="B27" s="6" t="s">
        <v>14</v>
      </c>
      <c r="C27" s="45">
        <f>(SUM(H25:H25)/SUM(G25:G25))</f>
        <v>13.793333333333335</v>
      </c>
      <c r="D27" s="45"/>
      <c r="E27" s="45"/>
      <c r="F27" s="45"/>
      <c r="G27" s="49" t="s">
        <v>11</v>
      </c>
      <c r="H27" s="49"/>
      <c r="I27" s="23"/>
      <c r="J27" s="50"/>
      <c r="K27" s="50"/>
      <c r="L27" s="51"/>
      <c r="O27" s="5" t="e">
        <f>#REF!*#REF!</f>
        <v>#REF!</v>
      </c>
      <c r="P27" s="5" t="e">
        <f>#REF!*#REF!</f>
        <v>#REF!</v>
      </c>
      <c r="Q27" s="5" t="e">
        <f>#REF!*#REF!</f>
        <v>#REF!</v>
      </c>
    </row>
    <row r="28" spans="2:17" ht="16.5" thickBot="1" x14ac:dyDescent="0.3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2"/>
      <c r="O28" s="5">
        <f>D25*G25</f>
        <v>29.5</v>
      </c>
      <c r="P28" s="5">
        <f t="shared" ref="P28" si="21">E25*G25</f>
        <v>29</v>
      </c>
      <c r="Q28" s="5">
        <f t="shared" ref="Q28" si="22">G25*F25</f>
        <v>24.26</v>
      </c>
    </row>
    <row r="29" spans="2:17" ht="48" thickBot="1" x14ac:dyDescent="0.3">
      <c r="B29" s="24" t="s">
        <v>17</v>
      </c>
      <c r="C29" s="27" t="s">
        <v>18</v>
      </c>
      <c r="D29" s="23">
        <v>9.15</v>
      </c>
      <c r="E29" s="23"/>
      <c r="F29" s="28" t="s">
        <v>19</v>
      </c>
      <c r="G29" s="50">
        <v>14.08</v>
      </c>
      <c r="H29" s="50"/>
      <c r="I29" s="28" t="s">
        <v>20</v>
      </c>
      <c r="J29" s="50">
        <v>7.98</v>
      </c>
      <c r="K29" s="50"/>
      <c r="L29" s="29"/>
      <c r="O29" s="5" t="e">
        <f>#REF!*#REF!</f>
        <v>#REF!</v>
      </c>
      <c r="P29" s="5" t="e">
        <f>#REF!*#REF!</f>
        <v>#REF!</v>
      </c>
      <c r="Q29" s="5" t="e">
        <f>#REF!*#REF!</f>
        <v>#REF!</v>
      </c>
    </row>
    <row r="30" spans="2:17" x14ac:dyDescent="0.25">
      <c r="B30" s="9"/>
      <c r="C30" s="10" t="s">
        <v>1</v>
      </c>
      <c r="D30" s="10" t="s">
        <v>58</v>
      </c>
      <c r="E30" s="10" t="s">
        <v>57</v>
      </c>
      <c r="F30" s="11"/>
      <c r="G30" s="11"/>
      <c r="H30" s="12"/>
      <c r="I30" s="68"/>
      <c r="J30" s="41"/>
      <c r="K30" s="41"/>
      <c r="L30" s="69"/>
      <c r="O30" s="5" t="e">
        <f>#REF!*#REF!</f>
        <v>#REF!</v>
      </c>
      <c r="P30" s="5" t="e">
        <f>#REF!*#REF!</f>
        <v>#REF!</v>
      </c>
      <c r="Q30" s="5" t="e">
        <f>#REF!*#REF!</f>
        <v>#REF!</v>
      </c>
    </row>
    <row r="31" spans="2:17" ht="26.25" x14ac:dyDescent="0.25">
      <c r="B31" s="13" t="s">
        <v>21</v>
      </c>
      <c r="C31" s="14">
        <v>12.14</v>
      </c>
      <c r="D31" s="14">
        <v>12.11</v>
      </c>
      <c r="E31" s="14">
        <v>13.49</v>
      </c>
      <c r="F31" s="35" t="s">
        <v>61</v>
      </c>
      <c r="G31" s="16">
        <v>12.58</v>
      </c>
      <c r="H31" s="15" t="s">
        <v>22</v>
      </c>
      <c r="I31" s="70" t="s">
        <v>23</v>
      </c>
      <c r="J31" s="71"/>
      <c r="K31" s="17" t="s">
        <v>82</v>
      </c>
      <c r="L31" s="18" t="s">
        <v>22</v>
      </c>
      <c r="O31" s="1" t="e">
        <f>SUM(O5:O30)</f>
        <v>#REF!</v>
      </c>
      <c r="P31" s="1" t="e">
        <f>SUM(P5:P30)</f>
        <v>#REF!</v>
      </c>
      <c r="Q31" s="1" t="e">
        <f>SUM(Q5:Q30)</f>
        <v>#REF!</v>
      </c>
    </row>
    <row r="32" spans="2:17" ht="16.149999999999999" customHeight="1" thickBot="1" x14ac:dyDescent="0.3">
      <c r="B32" s="72"/>
      <c r="C32" s="73"/>
      <c r="D32" s="73"/>
      <c r="E32" s="73"/>
      <c r="F32" s="73"/>
      <c r="G32" s="73"/>
      <c r="H32" s="73"/>
      <c r="I32" s="74"/>
      <c r="J32" s="75"/>
      <c r="K32" s="75"/>
      <c r="L32" s="76"/>
      <c r="O32" s="1">
        <v>30</v>
      </c>
      <c r="P32" s="1">
        <v>28</v>
      </c>
      <c r="Q32" s="1">
        <v>29</v>
      </c>
    </row>
    <row r="33" spans="2:17" ht="16.5" thickBot="1" x14ac:dyDescent="0.3">
      <c r="B33" s="77" t="s">
        <v>60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  <c r="O33" s="1" t="e">
        <f>O31/O32</f>
        <v>#REF!</v>
      </c>
      <c r="P33" s="1" t="e">
        <f>P31/P32</f>
        <v>#REF!</v>
      </c>
      <c r="Q33" s="1" t="e">
        <f>Q31/Q32</f>
        <v>#REF!</v>
      </c>
    </row>
    <row r="34" spans="2:17" s="8" customFormat="1" ht="16.5" thickBot="1" x14ac:dyDescent="0.3">
      <c r="B34" s="63" t="s">
        <v>24</v>
      </c>
      <c r="C34" s="50"/>
      <c r="D34" s="50"/>
      <c r="E34" s="50"/>
      <c r="F34" s="50"/>
      <c r="G34" s="50"/>
      <c r="H34" s="50"/>
      <c r="I34" s="50"/>
      <c r="J34" s="50"/>
      <c r="K34" s="50"/>
      <c r="L34" s="51"/>
    </row>
    <row r="35" spans="2:17" ht="16.5" thickBot="1" x14ac:dyDescent="0.3">
      <c r="B35" s="24" t="s">
        <v>25</v>
      </c>
      <c r="C35" s="39" t="s">
        <v>26</v>
      </c>
      <c r="D35" s="40"/>
      <c r="E35" s="40"/>
      <c r="F35" s="42"/>
      <c r="G35" s="57" t="s">
        <v>27</v>
      </c>
      <c r="H35" s="58"/>
      <c r="I35" s="58"/>
      <c r="J35" s="58"/>
      <c r="K35" s="58"/>
      <c r="L35" s="59"/>
    </row>
    <row r="36" spans="2:17" ht="16.5" thickBot="1" x14ac:dyDescent="0.3">
      <c r="B36" s="21" t="s">
        <v>28</v>
      </c>
      <c r="C36" s="58" t="str">
        <f>IF(G31&lt;11,"NA",IF(G31&lt;15,"ECA",IF(G31&lt;18,"A",IF(G31&lt;20,"A+"))))</f>
        <v>ECA</v>
      </c>
      <c r="D36" s="58" t="e">
        <f>IF(#REF!&lt;11,"NA",IF(#REF!&lt;15,"ECA",IF(#REF!&lt;18,"A",IF(#REF!&lt;20,"A+"))))</f>
        <v>#REF!</v>
      </c>
      <c r="E36" s="58"/>
      <c r="F36" s="59" t="e">
        <f>IF(#REF!&lt;11,"NA",IF(#REF!&lt;15,"ECA",IF(#REF!&lt;18,"A",IF(#REF!&lt;20,"A+"))))</f>
        <v>#REF!</v>
      </c>
      <c r="G36" s="60"/>
      <c r="H36" s="61"/>
      <c r="I36" s="61"/>
      <c r="J36" s="61"/>
      <c r="K36" s="61"/>
      <c r="L36" s="62"/>
    </row>
    <row r="37" spans="2:17" ht="16.5" thickBot="1" x14ac:dyDescent="0.3">
      <c r="B37" s="22" t="s">
        <v>29</v>
      </c>
      <c r="C37" s="80" t="e">
        <f>IF(#REF!&lt;11,"NA",IF(#REF!&lt;15,"ECA",IF(#REF!&lt;18,"A",IF(#REF!&lt;20,"A+"))))</f>
        <v>#REF!</v>
      </c>
      <c r="D37" s="81" t="e">
        <f>IF(#REF!&lt;11,"NA",IF(#REF!&lt;15,"ECA",IF(#REF!&lt;18,"A",IF(#REF!&lt;20,"A+"))))</f>
        <v>#REF!</v>
      </c>
      <c r="E37" s="81"/>
      <c r="F37" s="82" t="e">
        <f>IF(#REF!&lt;11,"NA",IF(#REF!&lt;15,"ECA",IF(#REF!&lt;18,"A",IF(#REF!&lt;20,"A+"))))</f>
        <v>#REF!</v>
      </c>
      <c r="G37" s="63" t="s">
        <v>30</v>
      </c>
      <c r="H37" s="50"/>
      <c r="I37" s="50"/>
      <c r="J37" s="51"/>
      <c r="K37" s="57" t="s">
        <v>31</v>
      </c>
      <c r="L37" s="59"/>
    </row>
    <row r="38" spans="2:17" ht="16.149999999999999" customHeight="1" thickBot="1" x14ac:dyDescent="0.3">
      <c r="B38" s="20" t="s">
        <v>32</v>
      </c>
      <c r="C38" s="60" t="e">
        <f>IF(#REF!&lt;11,"NA",IF(#REF!&lt;15,"ECA",IF(#REF!&lt;18,"A",IF(#REF!&lt;20,"A+"))))</f>
        <v>#REF!</v>
      </c>
      <c r="D38" s="61" t="e">
        <f>IF(#REF!&lt;11,"NA",IF(#REF!&lt;15,"ECA",IF(#REF!&lt;18,"A",IF(#REF!&lt;20,"A+"))))</f>
        <v>#REF!</v>
      </c>
      <c r="E38" s="61"/>
      <c r="F38" s="62" t="e">
        <f>IF(#REF!&lt;11,"NA",IF(#REF!&lt;15,"ECA",IF(#REF!&lt;18,"A",IF(#REF!&lt;20,"A+"))))</f>
        <v>#REF!</v>
      </c>
      <c r="G38" s="63" t="s">
        <v>33</v>
      </c>
      <c r="H38" s="50"/>
      <c r="I38" s="50"/>
      <c r="J38" s="51"/>
      <c r="K38" s="64" t="s">
        <v>34</v>
      </c>
      <c r="L38" s="65"/>
    </row>
    <row r="39" spans="2:17" ht="16.149999999999999" customHeight="1" thickBot="1" x14ac:dyDescent="0.3">
      <c r="B39" s="27" t="s">
        <v>35</v>
      </c>
      <c r="C39" s="57" t="s">
        <v>36</v>
      </c>
      <c r="D39" s="58"/>
      <c r="E39" s="58"/>
      <c r="F39" s="59"/>
      <c r="G39" s="63" t="s">
        <v>37</v>
      </c>
      <c r="H39" s="50"/>
      <c r="I39" s="50"/>
      <c r="J39" s="51"/>
      <c r="K39" s="64"/>
      <c r="L39" s="65"/>
    </row>
    <row r="40" spans="2:17" ht="16.149999999999999" customHeight="1" thickBot="1" x14ac:dyDescent="0.3">
      <c r="B40" s="27" t="s">
        <v>38</v>
      </c>
      <c r="C40" s="60"/>
      <c r="D40" s="61"/>
      <c r="E40" s="61"/>
      <c r="F40" s="62"/>
      <c r="G40" s="63" t="s">
        <v>39</v>
      </c>
      <c r="H40" s="50"/>
      <c r="I40" s="50"/>
      <c r="J40" s="51"/>
      <c r="K40" s="66" t="s">
        <v>40</v>
      </c>
      <c r="L40" s="67"/>
    </row>
    <row r="41" spans="2:17" ht="31.5" x14ac:dyDescent="0.25">
      <c r="B41" s="24" t="s">
        <v>41</v>
      </c>
      <c r="C41" s="68"/>
      <c r="D41" s="41"/>
      <c r="E41" s="41"/>
      <c r="F41" s="69"/>
      <c r="G41" s="68"/>
      <c r="H41" s="41"/>
      <c r="I41" s="41"/>
      <c r="J41" s="69"/>
      <c r="K41" s="66" t="s">
        <v>42</v>
      </c>
      <c r="L41" s="67"/>
    </row>
    <row r="42" spans="2:17" ht="16.149999999999999" customHeight="1" x14ac:dyDescent="0.25">
      <c r="B42" s="19"/>
      <c r="C42" s="83"/>
      <c r="D42" s="84"/>
      <c r="E42" s="84"/>
      <c r="F42" s="85"/>
      <c r="G42" s="83"/>
      <c r="H42" s="84"/>
      <c r="I42" s="84"/>
      <c r="J42" s="85"/>
      <c r="K42" s="89"/>
      <c r="L42" s="90"/>
    </row>
    <row r="43" spans="2:17" ht="16.149999999999999" customHeight="1" x14ac:dyDescent="0.25">
      <c r="B43" s="19"/>
      <c r="C43" s="83"/>
      <c r="D43" s="84"/>
      <c r="E43" s="84"/>
      <c r="F43" s="85"/>
      <c r="G43" s="83"/>
      <c r="H43" s="84"/>
      <c r="I43" s="84"/>
      <c r="J43" s="85"/>
      <c r="K43" s="89"/>
      <c r="L43" s="90"/>
    </row>
    <row r="44" spans="2:17" ht="16.149999999999999" customHeight="1" thickBot="1" x14ac:dyDescent="0.3">
      <c r="B44" s="20"/>
      <c r="C44" s="86"/>
      <c r="D44" s="87"/>
      <c r="E44" s="87"/>
      <c r="F44" s="88"/>
      <c r="G44" s="86"/>
      <c r="H44" s="87"/>
      <c r="I44" s="87"/>
      <c r="J44" s="88"/>
      <c r="K44" s="74"/>
      <c r="L44" s="76"/>
    </row>
    <row r="45" spans="2:17" ht="16.149999999999999" customHeight="1" x14ac:dyDescent="0.25"/>
    <row r="46" spans="2:17" ht="31.15" customHeight="1" x14ac:dyDescent="0.25"/>
  </sheetData>
  <mergeCells count="58">
    <mergeCell ref="B34:L34"/>
    <mergeCell ref="C35:F35"/>
    <mergeCell ref="G35:L36"/>
    <mergeCell ref="C36:F38"/>
    <mergeCell ref="G37:J37"/>
    <mergeCell ref="K37:L37"/>
    <mergeCell ref="I30:L30"/>
    <mergeCell ref="I31:J31"/>
    <mergeCell ref="B32:H32"/>
    <mergeCell ref="I32:L32"/>
    <mergeCell ref="B33:L33"/>
    <mergeCell ref="B24:L24"/>
    <mergeCell ref="I25:J25"/>
    <mergeCell ref="G29:H29"/>
    <mergeCell ref="J29:K29"/>
    <mergeCell ref="C27:F27"/>
    <mergeCell ref="G27:H27"/>
    <mergeCell ref="J27:L27"/>
    <mergeCell ref="B28:L28"/>
    <mergeCell ref="I4:J4"/>
    <mergeCell ref="I5:J5"/>
    <mergeCell ref="I6:J6"/>
    <mergeCell ref="I7:J7"/>
    <mergeCell ref="B16:L16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J17:L17"/>
    <mergeCell ref="B18:L18"/>
    <mergeCell ref="I19:J19"/>
    <mergeCell ref="I20:J20"/>
    <mergeCell ref="I21:J21"/>
    <mergeCell ref="C17:F17"/>
    <mergeCell ref="G17:H17"/>
    <mergeCell ref="B22:L22"/>
    <mergeCell ref="C23:F23"/>
    <mergeCell ref="G23:H23"/>
    <mergeCell ref="J23:L23"/>
    <mergeCell ref="K44:L44"/>
    <mergeCell ref="G38:J38"/>
    <mergeCell ref="K38:L38"/>
    <mergeCell ref="C39:F40"/>
    <mergeCell ref="G39:J39"/>
    <mergeCell ref="K39:L39"/>
    <mergeCell ref="G40:J40"/>
    <mergeCell ref="K40:L40"/>
    <mergeCell ref="C41:F44"/>
    <mergeCell ref="G41:J44"/>
    <mergeCell ref="K41:L41"/>
    <mergeCell ref="K42:L42"/>
    <mergeCell ref="K43:L43"/>
  </mergeCells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7" zoomScale="85" zoomScaleNormal="85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6.7833333333333341</v>
      </c>
      <c r="D5" s="2">
        <v>6.6</v>
      </c>
      <c r="E5" s="2">
        <v>6</v>
      </c>
      <c r="F5" s="2">
        <v>7.75</v>
      </c>
      <c r="G5" s="3">
        <v>3</v>
      </c>
      <c r="H5" s="4">
        <f>C5*G5</f>
        <v>20.350000000000001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19.799999999999997</v>
      </c>
      <c r="P5" s="5">
        <f>E5*G5</f>
        <v>18</v>
      </c>
      <c r="Q5" s="5">
        <f>G5*F5</f>
        <v>23.25</v>
      </c>
    </row>
    <row r="6" spans="2:29" ht="16.5" thickBot="1" x14ac:dyDescent="0.3">
      <c r="B6" s="24" t="s">
        <v>50</v>
      </c>
      <c r="C6" s="2">
        <f t="shared" ref="C6:C9" si="0">(D6+F6+E6)/3</f>
        <v>5.3133333333333335</v>
      </c>
      <c r="D6" s="2">
        <v>8.5</v>
      </c>
      <c r="E6" s="2">
        <v>2.3149999999999999</v>
      </c>
      <c r="F6" s="2">
        <v>5.125</v>
      </c>
      <c r="G6" s="3">
        <v>1</v>
      </c>
      <c r="H6" s="4">
        <f t="shared" ref="H6:H9" si="1">C6*G6</f>
        <v>5.3133333333333335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8.5</v>
      </c>
      <c r="P6" s="5">
        <f t="shared" ref="P6:P9" si="4">E6*G6</f>
        <v>2.3149999999999999</v>
      </c>
      <c r="Q6" s="5">
        <f t="shared" ref="Q6:Q9" si="5">G6*F6</f>
        <v>5.125</v>
      </c>
    </row>
    <row r="7" spans="2:29" ht="16.5" thickBot="1" x14ac:dyDescent="0.3">
      <c r="B7" s="24" t="s">
        <v>46</v>
      </c>
      <c r="C7" s="2">
        <f t="shared" si="0"/>
        <v>8.9049999999999994</v>
      </c>
      <c r="D7" s="2">
        <v>11.7</v>
      </c>
      <c r="E7" s="2">
        <v>8.0150000000000006</v>
      </c>
      <c r="F7" s="2">
        <v>7</v>
      </c>
      <c r="G7" s="3">
        <v>2</v>
      </c>
      <c r="H7" s="4">
        <f t="shared" si="1"/>
        <v>17.809999999999999</v>
      </c>
      <c r="I7" s="43"/>
      <c r="J7" s="44"/>
      <c r="K7" s="5"/>
      <c r="L7" s="5" t="str">
        <f t="shared" si="2"/>
        <v>NA</v>
      </c>
      <c r="O7" s="5">
        <f t="shared" si="3"/>
        <v>23.4</v>
      </c>
      <c r="P7" s="5">
        <f t="shared" si="4"/>
        <v>16.03</v>
      </c>
      <c r="Q7" s="5">
        <f t="shared" si="5"/>
        <v>14</v>
      </c>
    </row>
    <row r="8" spans="2:29" ht="16.5" thickBot="1" x14ac:dyDescent="0.3">
      <c r="B8" s="24" t="s">
        <v>47</v>
      </c>
      <c r="C8" s="2">
        <f t="shared" si="0"/>
        <v>7.5166666666666666</v>
      </c>
      <c r="D8" s="2">
        <v>11</v>
      </c>
      <c r="E8" s="2">
        <v>4.8</v>
      </c>
      <c r="F8" s="2">
        <v>6.75</v>
      </c>
      <c r="G8" s="3">
        <v>1</v>
      </c>
      <c r="H8" s="4">
        <f t="shared" si="1"/>
        <v>7.5166666666666666</v>
      </c>
      <c r="I8" s="43"/>
      <c r="J8" s="44"/>
      <c r="K8" s="5"/>
      <c r="L8" s="5" t="str">
        <f t="shared" si="2"/>
        <v>NA</v>
      </c>
      <c r="O8" s="5">
        <f t="shared" si="3"/>
        <v>11</v>
      </c>
      <c r="P8" s="5">
        <f t="shared" si="4"/>
        <v>4.8</v>
      </c>
      <c r="Q8" s="5">
        <f t="shared" si="5"/>
        <v>6.75</v>
      </c>
    </row>
    <row r="9" spans="2:29" ht="16.5" thickBot="1" x14ac:dyDescent="0.3">
      <c r="B9" s="24" t="s">
        <v>51</v>
      </c>
      <c r="C9" s="2">
        <f t="shared" si="0"/>
        <v>8.1166666666666671</v>
      </c>
      <c r="D9" s="2">
        <v>13.25</v>
      </c>
      <c r="E9" s="2">
        <v>7.1</v>
      </c>
      <c r="F9" s="2">
        <v>4</v>
      </c>
      <c r="G9" s="3">
        <v>2</v>
      </c>
      <c r="H9" s="4">
        <f t="shared" si="1"/>
        <v>16.233333333333334</v>
      </c>
      <c r="I9" s="43"/>
      <c r="J9" s="44"/>
      <c r="K9" s="5"/>
      <c r="L9" s="5" t="str">
        <f t="shared" si="2"/>
        <v>NA</v>
      </c>
      <c r="O9" s="5">
        <f t="shared" si="3"/>
        <v>26.5</v>
      </c>
      <c r="P9" s="5">
        <f t="shared" si="4"/>
        <v>14.2</v>
      </c>
      <c r="Q9" s="5">
        <f t="shared" si="5"/>
        <v>8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7.4692592592592586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8.6583333333333332</v>
      </c>
      <c r="D13" s="2">
        <v>11.375</v>
      </c>
      <c r="E13" s="2">
        <v>8.1</v>
      </c>
      <c r="F13" s="2">
        <v>6.5</v>
      </c>
      <c r="G13" s="3">
        <v>2</v>
      </c>
      <c r="H13" s="4">
        <f t="shared" ref="H13:H16" si="6">C13*G13</f>
        <v>17.316666666666666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22.75</v>
      </c>
      <c r="P13" s="5">
        <f>E13*G13</f>
        <v>16.2</v>
      </c>
      <c r="Q13" s="5">
        <f>G13*F13</f>
        <v>13</v>
      </c>
    </row>
    <row r="14" spans="2:29" ht="16.5" thickBot="1" x14ac:dyDescent="0.3">
      <c r="B14" s="24" t="s">
        <v>12</v>
      </c>
      <c r="C14" s="2">
        <f t="shared" ref="C14:C16" si="8">(D14+F14+E14)/3</f>
        <v>11.916666666666666</v>
      </c>
      <c r="D14" s="2">
        <v>15.05</v>
      </c>
      <c r="E14" s="2">
        <v>10.7</v>
      </c>
      <c r="F14" s="2">
        <v>10</v>
      </c>
      <c r="G14" s="3">
        <v>1.5</v>
      </c>
      <c r="H14" s="4">
        <f t="shared" si="6"/>
        <v>17.875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22.575000000000003</v>
      </c>
      <c r="P14" s="5">
        <f t="shared" ref="P14:P16" si="10">E14*G14</f>
        <v>16.049999999999997</v>
      </c>
      <c r="Q14" s="5">
        <f t="shared" ref="Q14:Q16" si="11">G14*F14</f>
        <v>15</v>
      </c>
    </row>
    <row r="15" spans="2:29" ht="16.5" thickBot="1" x14ac:dyDescent="0.3">
      <c r="B15" s="24" t="s">
        <v>13</v>
      </c>
      <c r="C15" s="2">
        <f t="shared" si="8"/>
        <v>8.875</v>
      </c>
      <c r="D15" s="2">
        <v>10.875</v>
      </c>
      <c r="E15" s="2">
        <v>8</v>
      </c>
      <c r="F15" s="2">
        <v>7.75</v>
      </c>
      <c r="G15" s="3">
        <v>1.5</v>
      </c>
      <c r="H15" s="4">
        <f t="shared" si="6"/>
        <v>13.3125</v>
      </c>
      <c r="I15" s="43"/>
      <c r="J15" s="44"/>
      <c r="K15" s="5"/>
      <c r="L15" s="5" t="str">
        <f t="shared" si="9"/>
        <v>NA</v>
      </c>
      <c r="O15" s="5">
        <f t="shared" si="7"/>
        <v>16.3125</v>
      </c>
      <c r="P15" s="5">
        <f t="shared" si="10"/>
        <v>12</v>
      </c>
      <c r="Q15" s="5">
        <f t="shared" si="11"/>
        <v>11.625</v>
      </c>
    </row>
    <row r="16" spans="2:29" ht="16.5" thickBot="1" x14ac:dyDescent="0.3">
      <c r="B16" s="24" t="s">
        <v>48</v>
      </c>
      <c r="C16" s="2">
        <f t="shared" si="8"/>
        <v>10.083333333333334</v>
      </c>
      <c r="D16" s="2">
        <v>7.75</v>
      </c>
      <c r="E16" s="2">
        <v>10</v>
      </c>
      <c r="F16" s="2">
        <v>12.5</v>
      </c>
      <c r="G16" s="3">
        <v>1</v>
      </c>
      <c r="H16" s="4">
        <f t="shared" si="6"/>
        <v>10.083333333333334</v>
      </c>
      <c r="I16" s="43"/>
      <c r="J16" s="44"/>
      <c r="K16" s="5"/>
      <c r="L16" s="5" t="str">
        <f t="shared" si="9"/>
        <v>NA</v>
      </c>
      <c r="O16" s="5">
        <f t="shared" si="7"/>
        <v>7.75</v>
      </c>
      <c r="P16" s="5">
        <f t="shared" si="10"/>
        <v>10</v>
      </c>
      <c r="Q16" s="5">
        <f t="shared" si="11"/>
        <v>12.5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9.7645833333333325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8.4666666666666668</v>
      </c>
      <c r="D20" s="2">
        <v>7.65</v>
      </c>
      <c r="E20" s="2">
        <v>7.625</v>
      </c>
      <c r="F20" s="2">
        <v>10.125</v>
      </c>
      <c r="G20" s="3">
        <v>2</v>
      </c>
      <c r="H20" s="4">
        <f t="shared" ref="H20:H23" si="12">C20*G20</f>
        <v>16.933333333333334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15.3</v>
      </c>
      <c r="P20" s="5">
        <f>E20*G20</f>
        <v>15.25</v>
      </c>
      <c r="Q20" s="5">
        <f>G20*F20</f>
        <v>20.25</v>
      </c>
    </row>
    <row r="21" spans="2:17" ht="16.5" thickBot="1" x14ac:dyDescent="0.3">
      <c r="B21" s="24" t="s">
        <v>8</v>
      </c>
      <c r="C21" s="2">
        <f t="shared" ref="C21:C23" si="15">(D21+F21+E21)/3</f>
        <v>5.4866666666666672</v>
      </c>
      <c r="D21" s="2">
        <v>8.0250000000000004</v>
      </c>
      <c r="E21" s="2">
        <v>4.1100000000000003</v>
      </c>
      <c r="F21" s="2">
        <v>4.3250000000000002</v>
      </c>
      <c r="G21" s="3">
        <v>4</v>
      </c>
      <c r="H21" s="4">
        <f t="shared" si="12"/>
        <v>21.946666666666669</v>
      </c>
      <c r="I21" s="43"/>
      <c r="J21" s="44"/>
      <c r="K21" s="5"/>
      <c r="L21" s="5" t="str">
        <f t="shared" si="13"/>
        <v>NA</v>
      </c>
      <c r="O21" s="5">
        <f t="shared" si="14"/>
        <v>32.1</v>
      </c>
      <c r="P21" s="5">
        <f t="shared" ref="P21:P23" si="16">E21*G21</f>
        <v>16.440000000000001</v>
      </c>
      <c r="Q21" s="5">
        <f t="shared" ref="Q21:Q23" si="17">G21*F21</f>
        <v>17.3</v>
      </c>
    </row>
    <row r="22" spans="2:17" ht="16.5" thickBot="1" x14ac:dyDescent="0.3">
      <c r="B22" s="24" t="s">
        <v>52</v>
      </c>
      <c r="C22" s="2">
        <f t="shared" si="15"/>
        <v>8.9249999999999989</v>
      </c>
      <c r="D22" s="2">
        <v>10.475</v>
      </c>
      <c r="E22" s="2">
        <v>9.25</v>
      </c>
      <c r="F22" s="2">
        <v>7.05</v>
      </c>
      <c r="G22" s="3">
        <v>2</v>
      </c>
      <c r="H22" s="4">
        <f t="shared" si="12"/>
        <v>17.849999999999998</v>
      </c>
      <c r="I22" s="43"/>
      <c r="J22" s="44"/>
      <c r="K22" s="5"/>
      <c r="L22" s="5" t="str">
        <f t="shared" si="13"/>
        <v>NA</v>
      </c>
      <c r="O22" s="5">
        <f t="shared" si="14"/>
        <v>20.95</v>
      </c>
      <c r="P22" s="5">
        <f t="shared" si="16"/>
        <v>18.5</v>
      </c>
      <c r="Q22" s="5">
        <f t="shared" si="17"/>
        <v>14.1</v>
      </c>
    </row>
    <row r="23" spans="2:17" ht="16.5" thickBot="1" x14ac:dyDescent="0.3">
      <c r="B23" s="24" t="s">
        <v>9</v>
      </c>
      <c r="C23" s="2">
        <f t="shared" si="15"/>
        <v>7.6749999999999998</v>
      </c>
      <c r="D23" s="2">
        <v>8.1999999999999993</v>
      </c>
      <c r="E23" s="2">
        <v>8.35</v>
      </c>
      <c r="F23" s="2">
        <v>6.4749999999999996</v>
      </c>
      <c r="G23" s="3">
        <v>2</v>
      </c>
      <c r="H23" s="4">
        <f t="shared" si="12"/>
        <v>15.35</v>
      </c>
      <c r="I23" s="43"/>
      <c r="J23" s="44"/>
      <c r="K23" s="5"/>
      <c r="L23" s="5" t="str">
        <f t="shared" si="13"/>
        <v>NA</v>
      </c>
      <c r="O23" s="5">
        <f t="shared" si="14"/>
        <v>16.399999999999999</v>
      </c>
      <c r="P23" s="5">
        <f t="shared" si="16"/>
        <v>16.7</v>
      </c>
      <c r="Q23" s="5">
        <f t="shared" si="17"/>
        <v>12.95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7.2080000000000002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13.25</v>
      </c>
      <c r="D27" s="2">
        <v>13</v>
      </c>
      <c r="E27" s="2">
        <v>0</v>
      </c>
      <c r="F27" s="2">
        <v>13.5</v>
      </c>
      <c r="G27" s="3">
        <v>1</v>
      </c>
      <c r="H27" s="4">
        <f t="shared" ref="H27:H30" si="18">C27*G27</f>
        <v>13.25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13</v>
      </c>
      <c r="P27" s="5">
        <f>E27*G27</f>
        <v>0</v>
      </c>
      <c r="Q27" s="5">
        <f>G27*F27</f>
        <v>13.5</v>
      </c>
    </row>
    <row r="28" spans="2:17" ht="16.5" thickBot="1" x14ac:dyDescent="0.3">
      <c r="B28" s="24" t="s">
        <v>44</v>
      </c>
      <c r="C28" s="2">
        <f t="shared" ref="C28" si="21">(D28+F28+E28)/3</f>
        <v>12.458333333333334</v>
      </c>
      <c r="D28" s="2">
        <v>15.25</v>
      </c>
      <c r="E28" s="2">
        <v>13.375</v>
      </c>
      <c r="F28" s="2">
        <v>8.75</v>
      </c>
      <c r="G28" s="3">
        <v>2</v>
      </c>
      <c r="H28" s="4">
        <f t="shared" si="18"/>
        <v>24.916666666666668</v>
      </c>
      <c r="I28" s="43"/>
      <c r="J28" s="44"/>
      <c r="K28" s="5"/>
      <c r="L28" s="5" t="str">
        <f t="shared" si="19"/>
        <v>ECA</v>
      </c>
      <c r="O28" s="5">
        <f t="shared" si="20"/>
        <v>30.5</v>
      </c>
      <c r="P28" s="5">
        <f t="shared" ref="P28:P30" si="22">E28*G28</f>
        <v>26.75</v>
      </c>
      <c r="Q28" s="5">
        <f t="shared" ref="Q28:Q30" si="23">G28*F28</f>
        <v>17.5</v>
      </c>
    </row>
    <row r="29" spans="2:17" ht="16.5" thickBot="1" x14ac:dyDescent="0.3">
      <c r="B29" s="24" t="s">
        <v>45</v>
      </c>
      <c r="C29" s="2">
        <f>(D29+F29+E29)/2</f>
        <v>14.25</v>
      </c>
      <c r="D29" s="2">
        <v>11.5</v>
      </c>
      <c r="E29" s="2">
        <v>17</v>
      </c>
      <c r="F29" s="2">
        <v>0</v>
      </c>
      <c r="G29" s="3">
        <v>1</v>
      </c>
      <c r="H29" s="4">
        <f t="shared" si="18"/>
        <v>14.25</v>
      </c>
      <c r="I29" s="43"/>
      <c r="J29" s="44"/>
      <c r="K29" s="5"/>
      <c r="L29" s="5" t="str">
        <f t="shared" si="19"/>
        <v>ECA</v>
      </c>
      <c r="O29" s="5">
        <f t="shared" si="20"/>
        <v>11.5</v>
      </c>
      <c r="P29" s="5">
        <f t="shared" si="22"/>
        <v>17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16.75</v>
      </c>
      <c r="D30" s="2">
        <v>18</v>
      </c>
      <c r="E30" s="2">
        <v>0</v>
      </c>
      <c r="F30" s="2">
        <v>15.5</v>
      </c>
      <c r="G30" s="3">
        <v>1</v>
      </c>
      <c r="H30" s="4">
        <f t="shared" si="18"/>
        <v>16.75</v>
      </c>
      <c r="I30" s="43"/>
      <c r="J30" s="44"/>
      <c r="K30" s="5"/>
      <c r="L30" s="5" t="str">
        <f t="shared" si="19"/>
        <v>A</v>
      </c>
      <c r="O30" s="5">
        <f t="shared" si="20"/>
        <v>18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316.33749999999998</v>
      </c>
      <c r="P31" s="1">
        <f>SUM(P5:P30)</f>
        <v>220.23499999999999</v>
      </c>
      <c r="Q31" s="1">
        <f>SUM(Q5:Q30)</f>
        <v>220.35</v>
      </c>
    </row>
    <row r="32" spans="2:17" ht="16.149999999999999" customHeight="1" thickBot="1" x14ac:dyDescent="0.3">
      <c r="B32" s="6" t="s">
        <v>14</v>
      </c>
      <c r="C32" s="45">
        <f>(SUM(H27:H30)/SUM(G27:G30))</f>
        <v>13.833333333333334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10.544583333333332</v>
      </c>
      <c r="P33" s="1">
        <f>P31/P32</f>
        <v>7.8655357142857136</v>
      </c>
      <c r="Q33" s="1">
        <f>Q31/Q32</f>
        <v>7.5982758620689657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10.544583333333332</v>
      </c>
      <c r="D36" s="14">
        <f>P33</f>
        <v>7.8655357142857136</v>
      </c>
      <c r="E36" s="14">
        <f>Q33</f>
        <v>7.5982758620689657</v>
      </c>
      <c r="F36" s="35" t="s">
        <v>61</v>
      </c>
      <c r="G36" s="16">
        <f>(H5+H6+H7+H8+H9+H13+H14+H15+H20+H16+H21+H22+H23+H27+H28+H29+H30)/30</f>
        <v>8.9019166666666667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I30:J30"/>
    <mergeCell ref="C32:F32"/>
    <mergeCell ref="G32:H32"/>
    <mergeCell ref="J32:L32"/>
    <mergeCell ref="B33:L33"/>
    <mergeCell ref="B38:L38"/>
    <mergeCell ref="B39:L39"/>
    <mergeCell ref="C40:F40"/>
    <mergeCell ref="G40:L41"/>
    <mergeCell ref="C41:F43"/>
    <mergeCell ref="G42:J42"/>
    <mergeCell ref="K42:L42"/>
    <mergeCell ref="G34:H34"/>
    <mergeCell ref="J34:K34"/>
    <mergeCell ref="I35:L35"/>
    <mergeCell ref="I36:J36"/>
    <mergeCell ref="B37:H37"/>
    <mergeCell ref="I37:L37"/>
    <mergeCell ref="I27:J27"/>
    <mergeCell ref="I28:J28"/>
    <mergeCell ref="I29:J29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  <mergeCell ref="B24:L24"/>
    <mergeCell ref="C25:F25"/>
    <mergeCell ref="G25:H25"/>
    <mergeCell ref="J25:L25"/>
    <mergeCell ref="I4:J4"/>
    <mergeCell ref="I5:J5"/>
    <mergeCell ref="I6:J6"/>
    <mergeCell ref="I7:J7"/>
    <mergeCell ref="B26:L26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7" zoomScale="80" zoomScaleNormal="80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6.75</v>
      </c>
      <c r="D5" s="2">
        <v>6.5</v>
      </c>
      <c r="E5" s="2">
        <v>6.5</v>
      </c>
      <c r="F5" s="2">
        <v>7.25</v>
      </c>
      <c r="G5" s="3">
        <v>3</v>
      </c>
      <c r="H5" s="4">
        <f>C5*G5</f>
        <v>20.25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19.5</v>
      </c>
      <c r="P5" s="5">
        <f>E5*G5</f>
        <v>19.5</v>
      </c>
      <c r="Q5" s="5">
        <f>G5*F5</f>
        <v>21.75</v>
      </c>
    </row>
    <row r="6" spans="2:29" ht="16.5" thickBot="1" x14ac:dyDescent="0.3">
      <c r="B6" s="24" t="s">
        <v>50</v>
      </c>
      <c r="C6" s="2">
        <f t="shared" ref="C6:C9" si="0">(D6+F6+E6)/3</f>
        <v>5.496666666666667</v>
      </c>
      <c r="D6" s="2">
        <v>2.35</v>
      </c>
      <c r="E6" s="2">
        <v>4.5150000000000006</v>
      </c>
      <c r="F6" s="2">
        <v>9.625</v>
      </c>
      <c r="G6" s="3">
        <v>1</v>
      </c>
      <c r="H6" s="4">
        <f t="shared" ref="H6:H9" si="1">C6*G6</f>
        <v>5.496666666666667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2.35</v>
      </c>
      <c r="P6" s="5">
        <f t="shared" ref="P6:P9" si="4">E6*G6</f>
        <v>4.5150000000000006</v>
      </c>
      <c r="Q6" s="5">
        <f t="shared" ref="Q6:Q9" si="5">G6*F6</f>
        <v>9.625</v>
      </c>
    </row>
    <row r="7" spans="2:29" ht="16.5" thickBot="1" x14ac:dyDescent="0.3">
      <c r="B7" s="24" t="s">
        <v>46</v>
      </c>
      <c r="C7" s="2">
        <f t="shared" si="0"/>
        <v>10.083333333333334</v>
      </c>
      <c r="D7" s="2">
        <v>7.8000000000000007</v>
      </c>
      <c r="E7" s="2">
        <v>10.7</v>
      </c>
      <c r="F7" s="2">
        <v>11.75</v>
      </c>
      <c r="G7" s="3">
        <v>2</v>
      </c>
      <c r="H7" s="4">
        <f t="shared" si="1"/>
        <v>20.166666666666668</v>
      </c>
      <c r="I7" s="43"/>
      <c r="J7" s="44"/>
      <c r="K7" s="5"/>
      <c r="L7" s="5" t="str">
        <f t="shared" si="2"/>
        <v>NA</v>
      </c>
      <c r="O7" s="5">
        <f t="shared" si="3"/>
        <v>15.600000000000001</v>
      </c>
      <c r="P7" s="5">
        <f t="shared" si="4"/>
        <v>21.4</v>
      </c>
      <c r="Q7" s="5">
        <f t="shared" si="5"/>
        <v>23.5</v>
      </c>
    </row>
    <row r="8" spans="2:29" ht="16.5" thickBot="1" x14ac:dyDescent="0.3">
      <c r="B8" s="24" t="s">
        <v>47</v>
      </c>
      <c r="C8" s="2">
        <f t="shared" si="0"/>
        <v>8.2233333333333327</v>
      </c>
      <c r="D8" s="2">
        <v>9.1349999999999998</v>
      </c>
      <c r="E8" s="2">
        <v>7.5350000000000001</v>
      </c>
      <c r="F8" s="2">
        <v>8</v>
      </c>
      <c r="G8" s="3">
        <v>1</v>
      </c>
      <c r="H8" s="4">
        <f t="shared" si="1"/>
        <v>8.2233333333333327</v>
      </c>
      <c r="I8" s="43"/>
      <c r="J8" s="44"/>
      <c r="K8" s="5"/>
      <c r="L8" s="5" t="str">
        <f t="shared" si="2"/>
        <v>NA</v>
      </c>
      <c r="O8" s="5">
        <f t="shared" si="3"/>
        <v>9.1349999999999998</v>
      </c>
      <c r="P8" s="5">
        <f t="shared" si="4"/>
        <v>7.5350000000000001</v>
      </c>
      <c r="Q8" s="5">
        <f t="shared" si="5"/>
        <v>8</v>
      </c>
    </row>
    <row r="9" spans="2:29" ht="16.5" thickBot="1" x14ac:dyDescent="0.3">
      <c r="B9" s="24" t="s">
        <v>51</v>
      </c>
      <c r="C9" s="2">
        <f t="shared" si="0"/>
        <v>8.8333333333333339</v>
      </c>
      <c r="D9" s="2">
        <v>6.7249999999999996</v>
      </c>
      <c r="E9" s="2">
        <v>9.1750000000000007</v>
      </c>
      <c r="F9" s="2">
        <v>10.6</v>
      </c>
      <c r="G9" s="3">
        <v>2</v>
      </c>
      <c r="H9" s="4">
        <f t="shared" si="1"/>
        <v>17.666666666666668</v>
      </c>
      <c r="I9" s="43"/>
      <c r="J9" s="44"/>
      <c r="K9" s="5"/>
      <c r="L9" s="5" t="str">
        <f t="shared" si="2"/>
        <v>NA</v>
      </c>
      <c r="O9" s="5">
        <f t="shared" si="3"/>
        <v>13.45</v>
      </c>
      <c r="P9" s="5">
        <f t="shared" si="4"/>
        <v>18.350000000000001</v>
      </c>
      <c r="Q9" s="5">
        <f t="shared" si="5"/>
        <v>21.2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7.9781481481481489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11.674999999999999</v>
      </c>
      <c r="D13" s="2">
        <v>11.95</v>
      </c>
      <c r="E13" s="2">
        <v>12.7</v>
      </c>
      <c r="F13" s="2">
        <v>10.375</v>
      </c>
      <c r="G13" s="3">
        <v>2</v>
      </c>
      <c r="H13" s="4">
        <f t="shared" ref="H13:H16" si="6">C13*G13</f>
        <v>23.349999999999998</v>
      </c>
      <c r="I13" s="43"/>
      <c r="J13" s="44"/>
      <c r="K13" s="5"/>
      <c r="L13" s="5" t="str">
        <f>IF(C13&lt;11,"NA",IF(C13&lt;15,"ECA",IF(C13&lt;18,"A",IF(C13&lt;20,"A+"))))</f>
        <v>ECA</v>
      </c>
      <c r="O13" s="5">
        <f t="shared" ref="O13:O16" si="7">D13*G13</f>
        <v>23.9</v>
      </c>
      <c r="P13" s="5">
        <f>E13*G13</f>
        <v>25.4</v>
      </c>
      <c r="Q13" s="5">
        <f>G13*F13</f>
        <v>20.75</v>
      </c>
    </row>
    <row r="14" spans="2:29" ht="16.5" thickBot="1" x14ac:dyDescent="0.3">
      <c r="B14" s="24" t="s">
        <v>12</v>
      </c>
      <c r="C14" s="2">
        <f t="shared" ref="C14:C16" si="8">(D14+F14+E14)/3</f>
        <v>13.049999999999999</v>
      </c>
      <c r="D14" s="2">
        <v>11.125</v>
      </c>
      <c r="E14" s="2">
        <v>13.775</v>
      </c>
      <c r="F14" s="2">
        <v>14.25</v>
      </c>
      <c r="G14" s="3">
        <v>1.5</v>
      </c>
      <c r="H14" s="4">
        <f t="shared" si="6"/>
        <v>19.574999999999999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16.6875</v>
      </c>
      <c r="P14" s="5">
        <f t="shared" ref="P14:P16" si="10">E14*G14</f>
        <v>20.662500000000001</v>
      </c>
      <c r="Q14" s="5">
        <f t="shared" ref="Q14:Q16" si="11">G14*F14</f>
        <v>21.375</v>
      </c>
    </row>
    <row r="15" spans="2:29" ht="16.5" thickBot="1" x14ac:dyDescent="0.3">
      <c r="B15" s="24" t="s">
        <v>13</v>
      </c>
      <c r="C15" s="2">
        <f t="shared" si="8"/>
        <v>9.2000000000000011</v>
      </c>
      <c r="D15" s="2">
        <v>7.75</v>
      </c>
      <c r="E15" s="2">
        <v>8.6</v>
      </c>
      <c r="F15" s="2">
        <v>11.25</v>
      </c>
      <c r="G15" s="3">
        <v>1.5</v>
      </c>
      <c r="H15" s="4">
        <f t="shared" si="6"/>
        <v>13.8</v>
      </c>
      <c r="I15" s="43"/>
      <c r="J15" s="44"/>
      <c r="K15" s="5"/>
      <c r="L15" s="5" t="str">
        <f t="shared" si="9"/>
        <v>NA</v>
      </c>
      <c r="O15" s="5">
        <f t="shared" si="7"/>
        <v>11.625</v>
      </c>
      <c r="P15" s="5">
        <f t="shared" si="10"/>
        <v>12.899999999999999</v>
      </c>
      <c r="Q15" s="5">
        <f t="shared" si="11"/>
        <v>16.875</v>
      </c>
    </row>
    <row r="16" spans="2:29" ht="16.5" thickBot="1" x14ac:dyDescent="0.3">
      <c r="B16" s="24" t="s">
        <v>48</v>
      </c>
      <c r="C16" s="2">
        <f t="shared" si="8"/>
        <v>11.383333333333333</v>
      </c>
      <c r="D16" s="2">
        <v>9.75</v>
      </c>
      <c r="E16" s="2">
        <v>11.4</v>
      </c>
      <c r="F16" s="2">
        <v>13</v>
      </c>
      <c r="G16" s="3">
        <v>1</v>
      </c>
      <c r="H16" s="4">
        <f t="shared" si="6"/>
        <v>11.383333333333333</v>
      </c>
      <c r="I16" s="43"/>
      <c r="J16" s="44"/>
      <c r="K16" s="5"/>
      <c r="L16" s="5" t="str">
        <f t="shared" si="9"/>
        <v>ECA</v>
      </c>
      <c r="O16" s="5">
        <f t="shared" si="7"/>
        <v>9.75</v>
      </c>
      <c r="P16" s="5">
        <f t="shared" si="10"/>
        <v>11.4</v>
      </c>
      <c r="Q16" s="5">
        <f t="shared" si="11"/>
        <v>13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11.351388888888886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12.975</v>
      </c>
      <c r="D20" s="2">
        <v>12.8</v>
      </c>
      <c r="E20" s="2">
        <v>14.25</v>
      </c>
      <c r="F20" s="2">
        <v>11.875</v>
      </c>
      <c r="G20" s="3">
        <v>2</v>
      </c>
      <c r="H20" s="4">
        <f t="shared" ref="H20:H23" si="12">C20*G20</f>
        <v>25.95</v>
      </c>
      <c r="I20" s="43"/>
      <c r="J20" s="44"/>
      <c r="K20" s="5"/>
      <c r="L20" s="5" t="str">
        <f t="shared" ref="L20:L23" si="13">IF(C20&lt;11,"NA",IF(C20&lt;15,"ECA",IF(C20&lt;18,"A",IF(C20&lt;20,"A+"))))</f>
        <v>ECA</v>
      </c>
      <c r="O20" s="5">
        <f t="shared" ref="O20:O23" si="14">D20*G20</f>
        <v>25.6</v>
      </c>
      <c r="P20" s="5">
        <f>E20*G20</f>
        <v>28.5</v>
      </c>
      <c r="Q20" s="5">
        <f>G20*F20</f>
        <v>23.75</v>
      </c>
    </row>
    <row r="21" spans="2:17" ht="16.5" thickBot="1" x14ac:dyDescent="0.3">
      <c r="B21" s="24" t="s">
        <v>8</v>
      </c>
      <c r="C21" s="2">
        <f t="shared" ref="C21:C23" si="15">(D21+F21+E21)/3</f>
        <v>9.9799999999999986</v>
      </c>
      <c r="D21" s="2">
        <v>9.0249999999999986</v>
      </c>
      <c r="E21" s="2">
        <v>10.315</v>
      </c>
      <c r="F21" s="2">
        <v>10.6</v>
      </c>
      <c r="G21" s="3">
        <v>4</v>
      </c>
      <c r="H21" s="4">
        <f t="shared" si="12"/>
        <v>39.919999999999995</v>
      </c>
      <c r="I21" s="43"/>
      <c r="J21" s="44"/>
      <c r="K21" s="5"/>
      <c r="L21" s="5" t="str">
        <f t="shared" si="13"/>
        <v>NA</v>
      </c>
      <c r="O21" s="5">
        <f t="shared" si="14"/>
        <v>36.099999999999994</v>
      </c>
      <c r="P21" s="5">
        <f t="shared" ref="P21:P23" si="16">E21*G21</f>
        <v>41.26</v>
      </c>
      <c r="Q21" s="5">
        <f t="shared" ref="Q21:Q23" si="17">G21*F21</f>
        <v>42.4</v>
      </c>
    </row>
    <row r="22" spans="2:17" ht="16.5" thickBot="1" x14ac:dyDescent="0.3">
      <c r="B22" s="24" t="s">
        <v>52</v>
      </c>
      <c r="C22" s="2">
        <f t="shared" si="15"/>
        <v>10.458333333333334</v>
      </c>
      <c r="D22" s="2">
        <v>9.4750000000000014</v>
      </c>
      <c r="E22" s="2">
        <v>9.4749999999999996</v>
      </c>
      <c r="F22" s="2">
        <v>12.425000000000001</v>
      </c>
      <c r="G22" s="3">
        <v>2</v>
      </c>
      <c r="H22" s="4">
        <f t="shared" si="12"/>
        <v>20.916666666666668</v>
      </c>
      <c r="I22" s="43"/>
      <c r="J22" s="44"/>
      <c r="K22" s="5"/>
      <c r="L22" s="5" t="str">
        <f t="shared" si="13"/>
        <v>NA</v>
      </c>
      <c r="O22" s="5">
        <f t="shared" si="14"/>
        <v>18.950000000000003</v>
      </c>
      <c r="P22" s="5">
        <f t="shared" si="16"/>
        <v>18.95</v>
      </c>
      <c r="Q22" s="5">
        <f t="shared" si="17"/>
        <v>24.85</v>
      </c>
    </row>
    <row r="23" spans="2:17" ht="16.5" thickBot="1" x14ac:dyDescent="0.3">
      <c r="B23" s="24" t="s">
        <v>9</v>
      </c>
      <c r="C23" s="2">
        <f t="shared" si="15"/>
        <v>12.616666666666667</v>
      </c>
      <c r="D23" s="2">
        <v>11.55</v>
      </c>
      <c r="E23" s="2">
        <v>13.4</v>
      </c>
      <c r="F23" s="2">
        <v>12.9</v>
      </c>
      <c r="G23" s="3">
        <v>2</v>
      </c>
      <c r="H23" s="4">
        <f t="shared" si="12"/>
        <v>25.233333333333334</v>
      </c>
      <c r="I23" s="43"/>
      <c r="J23" s="44"/>
      <c r="K23" s="5"/>
      <c r="L23" s="5" t="str">
        <f t="shared" si="13"/>
        <v>ECA</v>
      </c>
      <c r="O23" s="5">
        <f t="shared" si="14"/>
        <v>23.1</v>
      </c>
      <c r="P23" s="5">
        <f t="shared" si="16"/>
        <v>26.8</v>
      </c>
      <c r="Q23" s="5">
        <f t="shared" si="17"/>
        <v>25.8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11.202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14</v>
      </c>
      <c r="D27" s="2">
        <v>14</v>
      </c>
      <c r="E27" s="2">
        <v>0</v>
      </c>
      <c r="F27" s="2">
        <v>14</v>
      </c>
      <c r="G27" s="3">
        <v>1</v>
      </c>
      <c r="H27" s="4">
        <f t="shared" ref="H27:H30" si="18">C27*G27</f>
        <v>14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14</v>
      </c>
      <c r="P27" s="5">
        <f>E27*G27</f>
        <v>0</v>
      </c>
      <c r="Q27" s="5">
        <f>G27*F27</f>
        <v>14</v>
      </c>
    </row>
    <row r="28" spans="2:17" ht="16.5" thickBot="1" x14ac:dyDescent="0.3">
      <c r="B28" s="24" t="s">
        <v>44</v>
      </c>
      <c r="C28" s="2">
        <f t="shared" ref="C28" si="21">(D28+F28+E28)/3</f>
        <v>14.458333333333334</v>
      </c>
      <c r="D28" s="2">
        <v>14.75</v>
      </c>
      <c r="E28" s="2">
        <v>16.5</v>
      </c>
      <c r="F28" s="2">
        <v>12.125</v>
      </c>
      <c r="G28" s="3">
        <v>2</v>
      </c>
      <c r="H28" s="4">
        <f t="shared" si="18"/>
        <v>28.916666666666668</v>
      </c>
      <c r="I28" s="43"/>
      <c r="J28" s="44"/>
      <c r="K28" s="5"/>
      <c r="L28" s="5" t="str">
        <f t="shared" si="19"/>
        <v>ECA</v>
      </c>
      <c r="O28" s="5">
        <f t="shared" si="20"/>
        <v>29.5</v>
      </c>
      <c r="P28" s="5">
        <f t="shared" ref="P28:P30" si="22">E28*G28</f>
        <v>33</v>
      </c>
      <c r="Q28" s="5">
        <f t="shared" ref="Q28:Q30" si="23">G28*F28</f>
        <v>24.25</v>
      </c>
    </row>
    <row r="29" spans="2:17" ht="16.5" thickBot="1" x14ac:dyDescent="0.3">
      <c r="B29" s="24" t="s">
        <v>45</v>
      </c>
      <c r="C29" s="2">
        <f>(D29+F29+E29)/2</f>
        <v>12.75</v>
      </c>
      <c r="D29" s="2">
        <v>13.5</v>
      </c>
      <c r="E29" s="2">
        <v>12</v>
      </c>
      <c r="F29" s="2">
        <v>0</v>
      </c>
      <c r="G29" s="3">
        <v>1</v>
      </c>
      <c r="H29" s="4">
        <f t="shared" si="18"/>
        <v>12.75</v>
      </c>
      <c r="I29" s="43"/>
      <c r="J29" s="44"/>
      <c r="K29" s="5"/>
      <c r="L29" s="5" t="str">
        <f t="shared" si="19"/>
        <v>ECA</v>
      </c>
      <c r="O29" s="5">
        <f t="shared" si="20"/>
        <v>13.5</v>
      </c>
      <c r="P29" s="5">
        <f t="shared" si="22"/>
        <v>12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</v>
      </c>
      <c r="D30" s="2">
        <v>14.5</v>
      </c>
      <c r="E30" s="2">
        <v>0</v>
      </c>
      <c r="F30" s="2">
        <v>15.5</v>
      </c>
      <c r="G30" s="3">
        <v>1</v>
      </c>
      <c r="H30" s="4">
        <f t="shared" si="18"/>
        <v>15</v>
      </c>
      <c r="I30" s="43"/>
      <c r="J30" s="44"/>
      <c r="K30" s="5"/>
      <c r="L30" s="5" t="str">
        <f t="shared" si="19"/>
        <v>A</v>
      </c>
      <c r="O30" s="5">
        <f t="shared" si="20"/>
        <v>14.5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297.24749999999995</v>
      </c>
      <c r="P31" s="1">
        <f>SUM(P5:P30)</f>
        <v>302.17250000000001</v>
      </c>
      <c r="Q31" s="1">
        <f>SUM(Q5:Q30)</f>
        <v>326.625</v>
      </c>
    </row>
    <row r="32" spans="2:17" ht="16.149999999999999" customHeight="1" thickBot="1" x14ac:dyDescent="0.3">
      <c r="B32" s="6" t="s">
        <v>14</v>
      </c>
      <c r="C32" s="45">
        <f>(SUM(H27:H30)/SUM(G27:G30))</f>
        <v>14.133333333333335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9.9082499999999989</v>
      </c>
      <c r="P33" s="1">
        <f>P31/P32</f>
        <v>10.791875000000001</v>
      </c>
      <c r="Q33" s="1">
        <f>Q31/Q32</f>
        <v>11.262931034482758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9.9082499999999989</v>
      </c>
      <c r="D36" s="14">
        <f>P33</f>
        <v>10.791875000000001</v>
      </c>
      <c r="E36" s="14">
        <f>Q33</f>
        <v>11.262931034482758</v>
      </c>
      <c r="F36" s="35" t="s">
        <v>61</v>
      </c>
      <c r="G36" s="16">
        <f>(H5+H6+H7+H8+H9+H13+H14+H15+H20+H16+H21+H22+H23+H27+H28+H29+H30)/30</f>
        <v>10.753277777777777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0" zoomScale="80" zoomScaleNormal="80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9.4500000000000011</v>
      </c>
      <c r="D5" s="2">
        <v>7.7</v>
      </c>
      <c r="E5" s="2">
        <v>10.9</v>
      </c>
      <c r="F5" s="2">
        <v>9.75</v>
      </c>
      <c r="G5" s="3">
        <v>3</v>
      </c>
      <c r="H5" s="4">
        <f>C5*G5</f>
        <v>28.35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23.1</v>
      </c>
      <c r="P5" s="5">
        <f>E5*G5</f>
        <v>32.700000000000003</v>
      </c>
      <c r="Q5" s="5">
        <f>G5*F5</f>
        <v>29.25</v>
      </c>
    </row>
    <row r="6" spans="2:29" ht="16.5" thickBot="1" x14ac:dyDescent="0.3">
      <c r="B6" s="24" t="s">
        <v>50</v>
      </c>
      <c r="C6" s="2">
        <f t="shared" ref="C6:C9" si="0">(D6+F6+E6)/3</f>
        <v>7.3549999999999995</v>
      </c>
      <c r="D6" s="2">
        <v>4.1500000000000004</v>
      </c>
      <c r="E6" s="2">
        <v>4.915</v>
      </c>
      <c r="F6" s="2">
        <v>13</v>
      </c>
      <c r="G6" s="3">
        <v>1</v>
      </c>
      <c r="H6" s="4">
        <f t="shared" ref="H6:H9" si="1">C6*G6</f>
        <v>7.3549999999999995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4.1500000000000004</v>
      </c>
      <c r="P6" s="5">
        <f t="shared" ref="P6:P9" si="4">E6*G6</f>
        <v>4.915</v>
      </c>
      <c r="Q6" s="5">
        <f t="shared" ref="Q6:Q9" si="5">G6*F6</f>
        <v>13</v>
      </c>
    </row>
    <row r="7" spans="2:29" ht="16.5" thickBot="1" x14ac:dyDescent="0.3">
      <c r="B7" s="24" t="s">
        <v>46</v>
      </c>
      <c r="C7" s="2">
        <f t="shared" si="0"/>
        <v>10.288333333333332</v>
      </c>
      <c r="D7" s="2">
        <v>8.9499999999999993</v>
      </c>
      <c r="E7" s="2">
        <v>10.164999999999999</v>
      </c>
      <c r="F7" s="2">
        <v>11.75</v>
      </c>
      <c r="G7" s="3">
        <v>2</v>
      </c>
      <c r="H7" s="4">
        <f t="shared" si="1"/>
        <v>20.576666666666664</v>
      </c>
      <c r="I7" s="43"/>
      <c r="J7" s="44"/>
      <c r="K7" s="5"/>
      <c r="L7" s="5" t="str">
        <f t="shared" si="2"/>
        <v>NA</v>
      </c>
      <c r="O7" s="5">
        <f t="shared" si="3"/>
        <v>17.899999999999999</v>
      </c>
      <c r="P7" s="5">
        <f t="shared" si="4"/>
        <v>20.329999999999998</v>
      </c>
      <c r="Q7" s="5">
        <f t="shared" si="5"/>
        <v>23.5</v>
      </c>
    </row>
    <row r="8" spans="2:29" ht="16.5" thickBot="1" x14ac:dyDescent="0.3">
      <c r="B8" s="24" t="s">
        <v>47</v>
      </c>
      <c r="C8" s="2">
        <f t="shared" si="0"/>
        <v>8.3450000000000006</v>
      </c>
      <c r="D8" s="2">
        <v>8.9499999999999993</v>
      </c>
      <c r="E8" s="2">
        <v>8.3350000000000009</v>
      </c>
      <c r="F8" s="2">
        <v>7.75</v>
      </c>
      <c r="G8" s="3">
        <v>1</v>
      </c>
      <c r="H8" s="4">
        <f t="shared" si="1"/>
        <v>8.3450000000000006</v>
      </c>
      <c r="I8" s="43"/>
      <c r="J8" s="44"/>
      <c r="K8" s="5"/>
      <c r="L8" s="5" t="str">
        <f t="shared" si="2"/>
        <v>NA</v>
      </c>
      <c r="O8" s="5">
        <f t="shared" si="3"/>
        <v>8.9499999999999993</v>
      </c>
      <c r="P8" s="5">
        <f t="shared" si="4"/>
        <v>8.3350000000000009</v>
      </c>
      <c r="Q8" s="5">
        <f t="shared" si="5"/>
        <v>7.75</v>
      </c>
    </row>
    <row r="9" spans="2:29" ht="16.5" thickBot="1" x14ac:dyDescent="0.3">
      <c r="B9" s="24" t="s">
        <v>51</v>
      </c>
      <c r="C9" s="2">
        <f t="shared" si="0"/>
        <v>9.9499999999999993</v>
      </c>
      <c r="D9" s="2">
        <v>12.899999999999999</v>
      </c>
      <c r="E9" s="2">
        <v>10.7</v>
      </c>
      <c r="F9" s="2">
        <v>6.25</v>
      </c>
      <c r="G9" s="3">
        <v>2</v>
      </c>
      <c r="H9" s="4">
        <f t="shared" si="1"/>
        <v>19.899999999999999</v>
      </c>
      <c r="I9" s="43"/>
      <c r="J9" s="44"/>
      <c r="K9" s="5"/>
      <c r="L9" s="5" t="str">
        <f t="shared" si="2"/>
        <v>NA</v>
      </c>
      <c r="O9" s="5">
        <f t="shared" si="3"/>
        <v>25.799999999999997</v>
      </c>
      <c r="P9" s="5">
        <f t="shared" si="4"/>
        <v>21.4</v>
      </c>
      <c r="Q9" s="5">
        <f t="shared" si="5"/>
        <v>12.5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9.3918518518518521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11.533333333333333</v>
      </c>
      <c r="D13" s="2">
        <v>11.975</v>
      </c>
      <c r="E13" s="2">
        <v>12</v>
      </c>
      <c r="F13" s="2">
        <v>10.625</v>
      </c>
      <c r="G13" s="3">
        <v>2</v>
      </c>
      <c r="H13" s="4">
        <f t="shared" ref="H13:H16" si="6">C13*G13</f>
        <v>23.066666666666666</v>
      </c>
      <c r="I13" s="43"/>
      <c r="J13" s="44"/>
      <c r="K13" s="5"/>
      <c r="L13" s="5" t="str">
        <f>IF(C13&lt;11,"NA",IF(C13&lt;15,"ECA",IF(C13&lt;18,"A",IF(C13&lt;20,"A+"))))</f>
        <v>ECA</v>
      </c>
      <c r="O13" s="5">
        <f t="shared" ref="O13:O16" si="7">D13*G13</f>
        <v>23.95</v>
      </c>
      <c r="P13" s="5">
        <f>E13*G13</f>
        <v>24</v>
      </c>
      <c r="Q13" s="5">
        <f>G13*F13</f>
        <v>21.25</v>
      </c>
    </row>
    <row r="14" spans="2:29" ht="16.5" thickBot="1" x14ac:dyDescent="0.3">
      <c r="B14" s="24" t="s">
        <v>12</v>
      </c>
      <c r="C14" s="2">
        <f t="shared" ref="C14:C16" si="8">(D14+F14+E14)/3</f>
        <v>13.208333333333334</v>
      </c>
      <c r="D14" s="2">
        <v>11</v>
      </c>
      <c r="E14" s="2">
        <v>14.6</v>
      </c>
      <c r="F14" s="2">
        <v>14.025</v>
      </c>
      <c r="G14" s="3">
        <v>1.5</v>
      </c>
      <c r="H14" s="4">
        <f t="shared" si="6"/>
        <v>19.8125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16.5</v>
      </c>
      <c r="P14" s="5">
        <f t="shared" ref="P14:P16" si="10">E14*G14</f>
        <v>21.9</v>
      </c>
      <c r="Q14" s="5">
        <f t="shared" ref="Q14:Q16" si="11">G14*F14</f>
        <v>21.037500000000001</v>
      </c>
    </row>
    <row r="15" spans="2:29" ht="16.5" thickBot="1" x14ac:dyDescent="0.3">
      <c r="B15" s="24" t="s">
        <v>13</v>
      </c>
      <c r="C15" s="2">
        <f t="shared" si="8"/>
        <v>8.0166666666666675</v>
      </c>
      <c r="D15" s="2">
        <v>7.05</v>
      </c>
      <c r="E15" s="2">
        <v>8.25</v>
      </c>
      <c r="F15" s="2">
        <v>8.75</v>
      </c>
      <c r="G15" s="3">
        <v>1.5</v>
      </c>
      <c r="H15" s="4">
        <f t="shared" si="6"/>
        <v>12.025000000000002</v>
      </c>
      <c r="I15" s="43"/>
      <c r="J15" s="44"/>
      <c r="K15" s="5"/>
      <c r="L15" s="5" t="str">
        <f t="shared" si="9"/>
        <v>NA</v>
      </c>
      <c r="O15" s="5">
        <f t="shared" si="7"/>
        <v>10.574999999999999</v>
      </c>
      <c r="P15" s="5">
        <f t="shared" si="10"/>
        <v>12.375</v>
      </c>
      <c r="Q15" s="5">
        <f t="shared" si="11"/>
        <v>13.125</v>
      </c>
    </row>
    <row r="16" spans="2:29" ht="16.5" thickBot="1" x14ac:dyDescent="0.3">
      <c r="B16" s="24" t="s">
        <v>48</v>
      </c>
      <c r="C16" s="2">
        <f t="shared" si="8"/>
        <v>12.683333333333332</v>
      </c>
      <c r="D16" s="2">
        <v>14.75</v>
      </c>
      <c r="E16" s="2">
        <v>11.8</v>
      </c>
      <c r="F16" s="2">
        <v>11.5</v>
      </c>
      <c r="G16" s="3">
        <v>1</v>
      </c>
      <c r="H16" s="4">
        <f t="shared" si="6"/>
        <v>12.683333333333332</v>
      </c>
      <c r="I16" s="43"/>
      <c r="J16" s="44"/>
      <c r="K16" s="5"/>
      <c r="L16" s="5" t="str">
        <f t="shared" si="9"/>
        <v>ECA</v>
      </c>
      <c r="O16" s="5">
        <f t="shared" si="7"/>
        <v>14.75</v>
      </c>
      <c r="P16" s="5">
        <f t="shared" si="10"/>
        <v>11.8</v>
      </c>
      <c r="Q16" s="5">
        <f t="shared" si="11"/>
        <v>11.5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11.264583333333334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11.466666666666667</v>
      </c>
      <c r="D20" s="2">
        <v>11.024999999999999</v>
      </c>
      <c r="E20" s="2">
        <v>11.875</v>
      </c>
      <c r="F20" s="2">
        <v>11.5</v>
      </c>
      <c r="G20" s="3">
        <v>2</v>
      </c>
      <c r="H20" s="4">
        <f t="shared" ref="H20:H23" si="12">C20*G20</f>
        <v>22.933333333333334</v>
      </c>
      <c r="I20" s="43"/>
      <c r="J20" s="44"/>
      <c r="K20" s="5"/>
      <c r="L20" s="5" t="str">
        <f t="shared" ref="L20:L23" si="13">IF(C20&lt;11,"NA",IF(C20&lt;15,"ECA",IF(C20&lt;18,"A",IF(C20&lt;20,"A+"))))</f>
        <v>ECA</v>
      </c>
      <c r="O20" s="5">
        <f t="shared" ref="O20:O23" si="14">D20*G20</f>
        <v>22.049999999999997</v>
      </c>
      <c r="P20" s="5">
        <f>E20*G20</f>
        <v>23.75</v>
      </c>
      <c r="Q20" s="5">
        <f>G20*F20</f>
        <v>23</v>
      </c>
    </row>
    <row r="21" spans="2:17" ht="16.5" thickBot="1" x14ac:dyDescent="0.3">
      <c r="B21" s="24" t="s">
        <v>8</v>
      </c>
      <c r="C21" s="2">
        <f t="shared" ref="C21:C23" si="15">(D21+F21+E21)/3</f>
        <v>5.3416666666666677</v>
      </c>
      <c r="D21" s="2">
        <v>5.8000000000000007</v>
      </c>
      <c r="E21" s="2">
        <v>5.4249999999999998</v>
      </c>
      <c r="F21" s="2">
        <v>4.8</v>
      </c>
      <c r="G21" s="3">
        <v>4</v>
      </c>
      <c r="H21" s="4">
        <f t="shared" si="12"/>
        <v>21.366666666666671</v>
      </c>
      <c r="I21" s="43"/>
      <c r="J21" s="44"/>
      <c r="K21" s="5"/>
      <c r="L21" s="5" t="str">
        <f t="shared" si="13"/>
        <v>NA</v>
      </c>
      <c r="O21" s="5">
        <f t="shared" si="14"/>
        <v>23.200000000000003</v>
      </c>
      <c r="P21" s="5">
        <f t="shared" ref="P21:P23" si="16">E21*G21</f>
        <v>21.7</v>
      </c>
      <c r="Q21" s="5">
        <f t="shared" ref="Q21:Q23" si="17">G21*F21</f>
        <v>19.2</v>
      </c>
    </row>
    <row r="22" spans="2:17" ht="16.5" thickBot="1" x14ac:dyDescent="0.3">
      <c r="B22" s="24" t="s">
        <v>52</v>
      </c>
      <c r="C22" s="2">
        <f t="shared" si="15"/>
        <v>7.9016666666666664</v>
      </c>
      <c r="D22" s="2">
        <v>6.3550000000000004</v>
      </c>
      <c r="E22" s="2">
        <v>9.5</v>
      </c>
      <c r="F22" s="2">
        <v>7.85</v>
      </c>
      <c r="G22" s="3">
        <v>2</v>
      </c>
      <c r="H22" s="4">
        <f t="shared" si="12"/>
        <v>15.803333333333333</v>
      </c>
      <c r="I22" s="43"/>
      <c r="J22" s="44"/>
      <c r="K22" s="5"/>
      <c r="L22" s="5" t="str">
        <f t="shared" si="13"/>
        <v>NA</v>
      </c>
      <c r="O22" s="5">
        <f t="shared" si="14"/>
        <v>12.71</v>
      </c>
      <c r="P22" s="5">
        <f t="shared" si="16"/>
        <v>19</v>
      </c>
      <c r="Q22" s="5">
        <f t="shared" si="17"/>
        <v>15.7</v>
      </c>
    </row>
    <row r="23" spans="2:17" ht="16.5" thickBot="1" x14ac:dyDescent="0.3">
      <c r="B23" s="24" t="s">
        <v>9</v>
      </c>
      <c r="C23" s="2">
        <f t="shared" si="15"/>
        <v>9.4083333333333332</v>
      </c>
      <c r="D23" s="2">
        <v>9.7249999999999996</v>
      </c>
      <c r="E23" s="2">
        <v>8.4</v>
      </c>
      <c r="F23" s="2">
        <v>10.1</v>
      </c>
      <c r="G23" s="3">
        <v>2</v>
      </c>
      <c r="H23" s="4">
        <f t="shared" si="12"/>
        <v>18.816666666666666</v>
      </c>
      <c r="I23" s="43"/>
      <c r="J23" s="44"/>
      <c r="K23" s="5"/>
      <c r="L23" s="5" t="str">
        <f t="shared" si="13"/>
        <v>NA</v>
      </c>
      <c r="O23" s="5">
        <f t="shared" si="14"/>
        <v>19.45</v>
      </c>
      <c r="P23" s="5">
        <f t="shared" si="16"/>
        <v>16.8</v>
      </c>
      <c r="Q23" s="5">
        <f t="shared" si="17"/>
        <v>20.2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7.8920000000000003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15.75</v>
      </c>
      <c r="D27" s="2">
        <v>15.5</v>
      </c>
      <c r="E27" s="2">
        <v>0</v>
      </c>
      <c r="F27" s="2">
        <v>16</v>
      </c>
      <c r="G27" s="3">
        <v>1</v>
      </c>
      <c r="H27" s="4">
        <f t="shared" ref="H27:H30" si="18">C27*G27</f>
        <v>15.75</v>
      </c>
      <c r="I27" s="43"/>
      <c r="J27" s="44"/>
      <c r="K27" s="5"/>
      <c r="L27" s="5" t="str">
        <f t="shared" ref="L27:L30" si="19">IF(C27&lt;11,"NA",IF(C27&lt;15,"ECA",IF(C27&lt;18,"A",IF(C27&lt;20,"A+"))))</f>
        <v>A</v>
      </c>
      <c r="O27" s="5">
        <f t="shared" ref="O27:O30" si="20">D27*G27</f>
        <v>15.5</v>
      </c>
      <c r="P27" s="5">
        <f>E27*G27</f>
        <v>0</v>
      </c>
      <c r="Q27" s="5">
        <f>G27*F27</f>
        <v>16</v>
      </c>
    </row>
    <row r="28" spans="2:17" ht="16.5" thickBot="1" x14ac:dyDescent="0.3">
      <c r="B28" s="24" t="s">
        <v>44</v>
      </c>
      <c r="C28" s="2">
        <f t="shared" ref="C28" si="21">(D28+F28+E28)/3</f>
        <v>12.541666666666666</v>
      </c>
      <c r="D28" s="2">
        <v>13.25</v>
      </c>
      <c r="E28" s="2">
        <v>15</v>
      </c>
      <c r="F28" s="2">
        <v>9.375</v>
      </c>
      <c r="G28" s="3">
        <v>2</v>
      </c>
      <c r="H28" s="4">
        <f t="shared" si="18"/>
        <v>25.083333333333332</v>
      </c>
      <c r="I28" s="43"/>
      <c r="J28" s="44"/>
      <c r="K28" s="5"/>
      <c r="L28" s="5" t="str">
        <f t="shared" si="19"/>
        <v>ECA</v>
      </c>
      <c r="O28" s="5">
        <f t="shared" si="20"/>
        <v>26.5</v>
      </c>
      <c r="P28" s="5">
        <f t="shared" ref="P28:P30" si="22">E28*G28</f>
        <v>30</v>
      </c>
      <c r="Q28" s="5">
        <f t="shared" ref="Q28:Q30" si="23">G28*F28</f>
        <v>18.75</v>
      </c>
    </row>
    <row r="29" spans="2:17" ht="16.5" thickBot="1" x14ac:dyDescent="0.3">
      <c r="B29" s="24" t="s">
        <v>45</v>
      </c>
      <c r="C29" s="2">
        <f>(D29+F29+E29)/2</f>
        <v>15.75</v>
      </c>
      <c r="D29" s="2">
        <v>15.5</v>
      </c>
      <c r="E29" s="2">
        <v>16</v>
      </c>
      <c r="F29" s="2">
        <v>0</v>
      </c>
      <c r="G29" s="3">
        <v>1</v>
      </c>
      <c r="H29" s="4">
        <f t="shared" si="18"/>
        <v>15.75</v>
      </c>
      <c r="I29" s="43"/>
      <c r="J29" s="44"/>
      <c r="K29" s="5"/>
      <c r="L29" s="5" t="str">
        <f t="shared" si="19"/>
        <v>A</v>
      </c>
      <c r="O29" s="5">
        <f t="shared" si="20"/>
        <v>15.5</v>
      </c>
      <c r="P29" s="5">
        <f t="shared" si="22"/>
        <v>16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15.5</v>
      </c>
      <c r="D30" s="2">
        <v>15.5</v>
      </c>
      <c r="E30" s="2">
        <v>0</v>
      </c>
      <c r="F30" s="2">
        <v>15.5</v>
      </c>
      <c r="G30" s="3">
        <v>1</v>
      </c>
      <c r="H30" s="4">
        <f t="shared" si="18"/>
        <v>15.5</v>
      </c>
      <c r="I30" s="43"/>
      <c r="J30" s="44"/>
      <c r="K30" s="5"/>
      <c r="L30" s="5" t="str">
        <f t="shared" si="19"/>
        <v>A</v>
      </c>
      <c r="O30" s="5">
        <f t="shared" si="20"/>
        <v>15.5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296.08499999999992</v>
      </c>
      <c r="P31" s="1">
        <f>SUM(P5:P30)</f>
        <v>285.005</v>
      </c>
      <c r="Q31" s="1">
        <f>SUM(Q5:Q30)</f>
        <v>281.26249999999993</v>
      </c>
    </row>
    <row r="32" spans="2:17" ht="16.149999999999999" customHeight="1" thickBot="1" x14ac:dyDescent="0.3">
      <c r="B32" s="6" t="s">
        <v>14</v>
      </c>
      <c r="C32" s="45">
        <f>(SUM(H27:H30)/SUM(G27:G30))</f>
        <v>14.416666666666666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9.8694999999999968</v>
      </c>
      <c r="P33" s="1">
        <f>P31/P32</f>
        <v>10.178749999999999</v>
      </c>
      <c r="Q33" s="1">
        <f>Q31/Q32</f>
        <v>9.6987068965517214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9.8694999999999968</v>
      </c>
      <c r="D36" s="14">
        <f>P33</f>
        <v>10.178749999999999</v>
      </c>
      <c r="E36" s="14">
        <f>Q33</f>
        <v>9.6987068965517214</v>
      </c>
      <c r="F36" s="35" t="s">
        <v>61</v>
      </c>
      <c r="G36" s="16">
        <f>(H5+H6+H7+H8+H9+H13+H14+H15+H20+H16+H21+H22+H23+H27+H28+H29+H30)/30</f>
        <v>10.103916666666667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B13" workbookViewId="0">
      <selection activeCell="M36" sqref="M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7.3166666666666664</v>
      </c>
      <c r="D5" s="2">
        <v>7</v>
      </c>
      <c r="E5" s="2">
        <v>7.7</v>
      </c>
      <c r="F5" s="2">
        <v>7.25</v>
      </c>
      <c r="G5" s="3">
        <v>3</v>
      </c>
      <c r="H5" s="4">
        <f>C5*G5</f>
        <v>21.95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21</v>
      </c>
      <c r="P5" s="5">
        <f>E5*G5</f>
        <v>23.1</v>
      </c>
      <c r="Q5" s="5">
        <f>G5*F5</f>
        <v>21.75</v>
      </c>
    </row>
    <row r="6" spans="2:29" ht="16.5" thickBot="1" x14ac:dyDescent="0.3">
      <c r="B6" s="24" t="s">
        <v>50</v>
      </c>
      <c r="C6" s="2">
        <f t="shared" ref="C6:C9" si="0">(D6+F6+E6)/3</f>
        <v>3.3800000000000003</v>
      </c>
      <c r="D6" s="2">
        <v>1.05</v>
      </c>
      <c r="E6" s="2">
        <v>2.9649999999999999</v>
      </c>
      <c r="F6" s="2">
        <v>6.125</v>
      </c>
      <c r="G6" s="3">
        <v>1</v>
      </c>
      <c r="H6" s="4">
        <f t="shared" ref="H6:H9" si="1">C6*G6</f>
        <v>3.3800000000000003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1.05</v>
      </c>
      <c r="P6" s="5">
        <f t="shared" ref="P6:P9" si="4">E6*G6</f>
        <v>2.9649999999999999</v>
      </c>
      <c r="Q6" s="5">
        <f t="shared" ref="Q6:Q9" si="5">G6*F6</f>
        <v>6.125</v>
      </c>
    </row>
    <row r="7" spans="2:29" ht="16.5" thickBot="1" x14ac:dyDescent="0.3">
      <c r="B7" s="24" t="s">
        <v>46</v>
      </c>
      <c r="C7" s="2">
        <f t="shared" si="0"/>
        <v>6.0333333333333341</v>
      </c>
      <c r="D7" s="2">
        <v>6.6999999999999993</v>
      </c>
      <c r="E7" s="2">
        <v>5.4</v>
      </c>
      <c r="F7" s="2">
        <v>6</v>
      </c>
      <c r="G7" s="3">
        <v>2</v>
      </c>
      <c r="H7" s="4">
        <f t="shared" si="1"/>
        <v>12.066666666666668</v>
      </c>
      <c r="I7" s="43"/>
      <c r="J7" s="44"/>
      <c r="K7" s="5"/>
      <c r="L7" s="5" t="str">
        <f t="shared" si="2"/>
        <v>NA</v>
      </c>
      <c r="O7" s="5">
        <f t="shared" si="3"/>
        <v>13.399999999999999</v>
      </c>
      <c r="P7" s="5">
        <f t="shared" si="4"/>
        <v>10.8</v>
      </c>
      <c r="Q7" s="5">
        <f t="shared" si="5"/>
        <v>12</v>
      </c>
    </row>
    <row r="8" spans="2:29" ht="16.5" thickBot="1" x14ac:dyDescent="0.3">
      <c r="B8" s="24" t="s">
        <v>47</v>
      </c>
      <c r="C8" s="2">
        <f t="shared" si="0"/>
        <v>6.03</v>
      </c>
      <c r="D8" s="2">
        <v>7.4749999999999996</v>
      </c>
      <c r="E8" s="2">
        <v>5.8650000000000002</v>
      </c>
      <c r="F8" s="2">
        <v>4.75</v>
      </c>
      <c r="G8" s="3">
        <v>1</v>
      </c>
      <c r="H8" s="4">
        <f t="shared" si="1"/>
        <v>6.03</v>
      </c>
      <c r="I8" s="43"/>
      <c r="J8" s="44"/>
      <c r="K8" s="5"/>
      <c r="L8" s="5" t="str">
        <f t="shared" si="2"/>
        <v>NA</v>
      </c>
      <c r="O8" s="5">
        <f t="shared" si="3"/>
        <v>7.4749999999999996</v>
      </c>
      <c r="P8" s="5">
        <f t="shared" si="4"/>
        <v>5.8650000000000002</v>
      </c>
      <c r="Q8" s="5">
        <f t="shared" si="5"/>
        <v>4.75</v>
      </c>
    </row>
    <row r="9" spans="2:29" ht="16.5" thickBot="1" x14ac:dyDescent="0.3">
      <c r="B9" s="24" t="s">
        <v>51</v>
      </c>
      <c r="C9" s="2">
        <f t="shared" si="0"/>
        <v>6.1416666666666666</v>
      </c>
      <c r="D9" s="2">
        <v>6</v>
      </c>
      <c r="E9" s="2">
        <v>7.8</v>
      </c>
      <c r="F9" s="2">
        <v>4.625</v>
      </c>
      <c r="G9" s="3">
        <v>2</v>
      </c>
      <c r="H9" s="4">
        <f t="shared" si="1"/>
        <v>12.283333333333333</v>
      </c>
      <c r="I9" s="43"/>
      <c r="J9" s="44"/>
      <c r="K9" s="5"/>
      <c r="L9" s="5" t="str">
        <f t="shared" si="2"/>
        <v>NA</v>
      </c>
      <c r="O9" s="5">
        <f t="shared" si="3"/>
        <v>12</v>
      </c>
      <c r="P9" s="5">
        <f t="shared" si="4"/>
        <v>15.6</v>
      </c>
      <c r="Q9" s="5">
        <f t="shared" si="5"/>
        <v>9.25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6.19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10.066666666666668</v>
      </c>
      <c r="D13" s="2">
        <v>11.85</v>
      </c>
      <c r="E13" s="2">
        <v>9.7249999999999996</v>
      </c>
      <c r="F13" s="2">
        <v>8.625</v>
      </c>
      <c r="G13" s="3">
        <v>2</v>
      </c>
      <c r="H13" s="4">
        <f t="shared" ref="H13:H16" si="6">C13*G13</f>
        <v>20.133333333333336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23.7</v>
      </c>
      <c r="P13" s="5">
        <f>E13*G13</f>
        <v>19.45</v>
      </c>
      <c r="Q13" s="5">
        <f>G13*F13</f>
        <v>17.25</v>
      </c>
    </row>
    <row r="14" spans="2:29" ht="16.5" thickBot="1" x14ac:dyDescent="0.3">
      <c r="B14" s="24" t="s">
        <v>12</v>
      </c>
      <c r="C14" s="2">
        <f t="shared" ref="C14:C16" si="8">(D14+F14+E14)/3</f>
        <v>7.8999999999999995</v>
      </c>
      <c r="D14" s="2">
        <v>4.5</v>
      </c>
      <c r="E14" s="2">
        <v>7.45</v>
      </c>
      <c r="F14" s="2">
        <v>11.75</v>
      </c>
      <c r="G14" s="3">
        <v>1.5</v>
      </c>
      <c r="H14" s="4">
        <f t="shared" si="6"/>
        <v>11.85</v>
      </c>
      <c r="I14" s="43"/>
      <c r="J14" s="44"/>
      <c r="K14" s="5"/>
      <c r="L14" s="5" t="str">
        <f t="shared" ref="L14:L16" si="9">IF(C14&lt;11,"NA",IF(C14&lt;15,"ECA",IF(C14&lt;18,"A",IF(C14&lt;20,"A+"))))</f>
        <v>NA</v>
      </c>
      <c r="O14" s="5">
        <f t="shared" si="7"/>
        <v>6.75</v>
      </c>
      <c r="P14" s="5">
        <f t="shared" ref="P14:P16" si="10">E14*G14</f>
        <v>11.175000000000001</v>
      </c>
      <c r="Q14" s="5">
        <f t="shared" ref="Q14:Q16" si="11">G14*F14</f>
        <v>17.625</v>
      </c>
    </row>
    <row r="15" spans="2:29" ht="16.5" thickBot="1" x14ac:dyDescent="0.3">
      <c r="B15" s="24" t="s">
        <v>13</v>
      </c>
      <c r="C15" s="2">
        <f t="shared" si="8"/>
        <v>8.2333333333333343</v>
      </c>
      <c r="D15" s="2">
        <v>8.9</v>
      </c>
      <c r="E15" s="2">
        <v>8.8000000000000007</v>
      </c>
      <c r="F15" s="2">
        <v>7</v>
      </c>
      <c r="G15" s="3">
        <v>1.5</v>
      </c>
      <c r="H15" s="4">
        <f t="shared" si="6"/>
        <v>12.350000000000001</v>
      </c>
      <c r="I15" s="43"/>
      <c r="J15" s="44"/>
      <c r="K15" s="5"/>
      <c r="L15" s="5" t="str">
        <f t="shared" si="9"/>
        <v>NA</v>
      </c>
      <c r="O15" s="5">
        <f t="shared" si="7"/>
        <v>13.350000000000001</v>
      </c>
      <c r="P15" s="5">
        <f t="shared" si="10"/>
        <v>13.200000000000001</v>
      </c>
      <c r="Q15" s="5">
        <f t="shared" si="11"/>
        <v>10.5</v>
      </c>
    </row>
    <row r="16" spans="2:29" ht="16.5" thickBot="1" x14ac:dyDescent="0.3">
      <c r="B16" s="24" t="s">
        <v>48</v>
      </c>
      <c r="C16" s="2">
        <f t="shared" si="8"/>
        <v>8.9333333333333336</v>
      </c>
      <c r="D16" s="2">
        <v>10.5</v>
      </c>
      <c r="E16" s="2">
        <v>6.3</v>
      </c>
      <c r="F16" s="2">
        <v>10</v>
      </c>
      <c r="G16" s="3">
        <v>1</v>
      </c>
      <c r="H16" s="4">
        <f t="shared" si="6"/>
        <v>8.9333333333333336</v>
      </c>
      <c r="I16" s="43"/>
      <c r="J16" s="44"/>
      <c r="K16" s="5"/>
      <c r="L16" s="5" t="str">
        <f t="shared" si="9"/>
        <v>NA</v>
      </c>
      <c r="O16" s="5">
        <f t="shared" si="7"/>
        <v>10.5</v>
      </c>
      <c r="P16" s="5">
        <f t="shared" si="10"/>
        <v>6.3</v>
      </c>
      <c r="Q16" s="5">
        <f t="shared" si="11"/>
        <v>10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8.8777777777777782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10.658333333333333</v>
      </c>
      <c r="D20" s="2">
        <v>9.3500000000000014</v>
      </c>
      <c r="E20" s="2">
        <v>11</v>
      </c>
      <c r="F20" s="2">
        <v>11.625</v>
      </c>
      <c r="G20" s="3">
        <v>2</v>
      </c>
      <c r="H20" s="4">
        <f t="shared" ref="H20:H23" si="12">C20*G20</f>
        <v>21.316666666666666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18.700000000000003</v>
      </c>
      <c r="P20" s="5">
        <f>E20*G20</f>
        <v>22</v>
      </c>
      <c r="Q20" s="5">
        <f>G20*F20</f>
        <v>23.25</v>
      </c>
    </row>
    <row r="21" spans="2:17" ht="16.5" thickBot="1" x14ac:dyDescent="0.3">
      <c r="B21" s="24" t="s">
        <v>8</v>
      </c>
      <c r="C21" s="2">
        <f t="shared" ref="C21:C23" si="15">(D21+F21+E21)/3</f>
        <v>4.956666666666667</v>
      </c>
      <c r="D21" s="2">
        <v>5.79</v>
      </c>
      <c r="E21" s="2">
        <v>5.5049999999999999</v>
      </c>
      <c r="F21" s="2">
        <v>3.5750000000000002</v>
      </c>
      <c r="G21" s="3">
        <v>4</v>
      </c>
      <c r="H21" s="4">
        <f t="shared" si="12"/>
        <v>19.826666666666668</v>
      </c>
      <c r="I21" s="43"/>
      <c r="J21" s="44"/>
      <c r="K21" s="5"/>
      <c r="L21" s="5" t="str">
        <f t="shared" si="13"/>
        <v>NA</v>
      </c>
      <c r="O21" s="5">
        <f t="shared" si="14"/>
        <v>23.16</v>
      </c>
      <c r="P21" s="5">
        <f t="shared" ref="P21:P23" si="16">E21*G21</f>
        <v>22.02</v>
      </c>
      <c r="Q21" s="5">
        <f t="shared" ref="Q21:Q23" si="17">G21*F21</f>
        <v>14.3</v>
      </c>
    </row>
    <row r="22" spans="2:17" ht="16.5" thickBot="1" x14ac:dyDescent="0.3">
      <c r="B22" s="24" t="s">
        <v>52</v>
      </c>
      <c r="C22" s="2">
        <f t="shared" si="15"/>
        <v>5.6916666666666664</v>
      </c>
      <c r="D22" s="2">
        <v>6.2249999999999996</v>
      </c>
      <c r="E22" s="2">
        <v>3.6749999999999998</v>
      </c>
      <c r="F22" s="2">
        <v>7.1749999999999998</v>
      </c>
      <c r="G22" s="3">
        <v>2</v>
      </c>
      <c r="H22" s="4">
        <f t="shared" si="12"/>
        <v>11.383333333333333</v>
      </c>
      <c r="I22" s="43"/>
      <c r="J22" s="44"/>
      <c r="K22" s="5"/>
      <c r="L22" s="5" t="str">
        <f t="shared" si="13"/>
        <v>NA</v>
      </c>
      <c r="O22" s="5">
        <f t="shared" si="14"/>
        <v>12.45</v>
      </c>
      <c r="P22" s="5">
        <f t="shared" si="16"/>
        <v>7.35</v>
      </c>
      <c r="Q22" s="5">
        <f t="shared" si="17"/>
        <v>14.35</v>
      </c>
    </row>
    <row r="23" spans="2:17" ht="16.5" thickBot="1" x14ac:dyDescent="0.3">
      <c r="B23" s="24" t="s">
        <v>9</v>
      </c>
      <c r="C23" s="2">
        <f t="shared" si="15"/>
        <v>8.3166666666666664</v>
      </c>
      <c r="D23" s="2">
        <v>9.625</v>
      </c>
      <c r="E23" s="2">
        <v>6.8</v>
      </c>
      <c r="F23" s="2">
        <v>8.5250000000000004</v>
      </c>
      <c r="G23" s="3">
        <v>2</v>
      </c>
      <c r="H23" s="4">
        <f t="shared" si="12"/>
        <v>16.633333333333333</v>
      </c>
      <c r="I23" s="43"/>
      <c r="J23" s="44"/>
      <c r="K23" s="5"/>
      <c r="L23" s="5" t="str">
        <f t="shared" si="13"/>
        <v>NA</v>
      </c>
      <c r="O23" s="5">
        <f t="shared" si="14"/>
        <v>19.25</v>
      </c>
      <c r="P23" s="5">
        <f t="shared" si="16"/>
        <v>13.6</v>
      </c>
      <c r="Q23" s="5">
        <f t="shared" si="17"/>
        <v>17.05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6.9159999999999995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14</v>
      </c>
      <c r="D27" s="2">
        <v>12</v>
      </c>
      <c r="E27" s="2">
        <v>0</v>
      </c>
      <c r="F27" s="2">
        <v>16</v>
      </c>
      <c r="G27" s="3">
        <v>1</v>
      </c>
      <c r="H27" s="4">
        <f t="shared" ref="H27:H30" si="18">C27*G27</f>
        <v>14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12</v>
      </c>
      <c r="P27" s="5">
        <f>E27*G27</f>
        <v>0</v>
      </c>
      <c r="Q27" s="5">
        <f>G27*F27</f>
        <v>16</v>
      </c>
    </row>
    <row r="28" spans="2:17" ht="16.5" thickBot="1" x14ac:dyDescent="0.3">
      <c r="B28" s="24" t="s">
        <v>44</v>
      </c>
      <c r="C28" s="2">
        <f t="shared" ref="C28" si="21">(D28+F28+E28)/3</f>
        <v>11.416666666666666</v>
      </c>
      <c r="D28" s="2">
        <v>11.25</v>
      </c>
      <c r="E28" s="2">
        <v>14</v>
      </c>
      <c r="F28" s="2">
        <v>9</v>
      </c>
      <c r="G28" s="3">
        <v>2</v>
      </c>
      <c r="H28" s="4">
        <f t="shared" si="18"/>
        <v>22.833333333333332</v>
      </c>
      <c r="I28" s="43"/>
      <c r="J28" s="44"/>
      <c r="K28" s="5"/>
      <c r="L28" s="5" t="str">
        <f t="shared" si="19"/>
        <v>ECA</v>
      </c>
      <c r="O28" s="5">
        <f t="shared" si="20"/>
        <v>22.5</v>
      </c>
      <c r="P28" s="5">
        <f t="shared" ref="P28:P30" si="22">E28*G28</f>
        <v>28</v>
      </c>
      <c r="Q28" s="5">
        <f t="shared" ref="Q28:Q30" si="23">G28*F28</f>
        <v>18</v>
      </c>
    </row>
    <row r="29" spans="2:17" ht="16.5" thickBot="1" x14ac:dyDescent="0.3">
      <c r="B29" s="24" t="s">
        <v>45</v>
      </c>
      <c r="C29" s="2">
        <f>(D29+F29+E29)/2</f>
        <v>13.25</v>
      </c>
      <c r="D29" s="2">
        <v>10.5</v>
      </c>
      <c r="E29" s="2">
        <v>16</v>
      </c>
      <c r="F29" s="2">
        <v>0</v>
      </c>
      <c r="G29" s="3">
        <v>1</v>
      </c>
      <c r="H29" s="4">
        <f t="shared" si="18"/>
        <v>13.25</v>
      </c>
      <c r="I29" s="43"/>
      <c r="J29" s="44"/>
      <c r="K29" s="5"/>
      <c r="L29" s="5" t="str">
        <f t="shared" si="19"/>
        <v>ECA</v>
      </c>
      <c r="O29" s="5">
        <f t="shared" si="20"/>
        <v>10.5</v>
      </c>
      <c r="P29" s="5">
        <f t="shared" si="22"/>
        <v>16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14.75</v>
      </c>
      <c r="D30" s="2">
        <v>14</v>
      </c>
      <c r="E30" s="2">
        <v>0</v>
      </c>
      <c r="F30" s="2">
        <v>15.5</v>
      </c>
      <c r="G30" s="3">
        <v>1</v>
      </c>
      <c r="H30" s="4">
        <f t="shared" si="18"/>
        <v>14.75</v>
      </c>
      <c r="I30" s="43"/>
      <c r="J30" s="44"/>
      <c r="K30" s="5"/>
      <c r="L30" s="5" t="str">
        <f t="shared" si="19"/>
        <v>ECA</v>
      </c>
      <c r="O30" s="5">
        <f t="shared" si="20"/>
        <v>14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241.785</v>
      </c>
      <c r="P31" s="1">
        <f>SUM(P5:P30)</f>
        <v>217.42499999999998</v>
      </c>
      <c r="Q31" s="1">
        <f>SUM(Q5:Q30)</f>
        <v>227.70000000000002</v>
      </c>
    </row>
    <row r="32" spans="2:17" ht="16.149999999999999" customHeight="1" thickBot="1" x14ac:dyDescent="0.3">
      <c r="B32" s="6" t="s">
        <v>14</v>
      </c>
      <c r="C32" s="45">
        <f>(SUM(H27:H30)/SUM(G27:G30))</f>
        <v>12.966666666666665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8.0594999999999999</v>
      </c>
      <c r="P33" s="1">
        <f>P31/P32</f>
        <v>7.7651785714285708</v>
      </c>
      <c r="Q33" s="1">
        <f>Q31/Q32</f>
        <v>7.8517241379310354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8.0594999999999999</v>
      </c>
      <c r="D36" s="14">
        <f>P33</f>
        <v>7.7651785714285708</v>
      </c>
      <c r="E36" s="14">
        <f>Q33</f>
        <v>7.8517241379310354</v>
      </c>
      <c r="F36" s="35" t="s">
        <v>61</v>
      </c>
      <c r="G36" s="16">
        <f>(H5+H6+H7+H8+H9+H13+H14+H15+H20+H16+H21+H22+H23+H27+H28+H29+H30)/30</f>
        <v>8.0990000000000002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3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7.6416666666666666</v>
      </c>
      <c r="D5" s="2">
        <v>10.85</v>
      </c>
      <c r="E5" s="2">
        <v>6.7</v>
      </c>
      <c r="F5" s="2">
        <v>5.375</v>
      </c>
      <c r="G5" s="3">
        <v>3</v>
      </c>
      <c r="H5" s="4">
        <f>C5*G5</f>
        <v>22.925000000000001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32.549999999999997</v>
      </c>
      <c r="P5" s="5">
        <f>E5*G5</f>
        <v>20.100000000000001</v>
      </c>
      <c r="Q5" s="5">
        <f>G5*F5</f>
        <v>16.125</v>
      </c>
    </row>
    <row r="6" spans="2:29" ht="16.5" thickBot="1" x14ac:dyDescent="0.3">
      <c r="B6" s="24" t="s">
        <v>50</v>
      </c>
      <c r="C6" s="2">
        <f t="shared" ref="C6:C9" si="0">(D6+F6+E6)/3</f>
        <v>5.543333333333333</v>
      </c>
      <c r="D6" s="2">
        <v>7.6</v>
      </c>
      <c r="E6" s="2">
        <v>2.7800000000000002</v>
      </c>
      <c r="F6" s="2">
        <v>6.25</v>
      </c>
      <c r="G6" s="3">
        <v>1</v>
      </c>
      <c r="H6" s="4">
        <f t="shared" ref="H6:H9" si="1">C6*G6</f>
        <v>5.543333333333333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7.6</v>
      </c>
      <c r="P6" s="5">
        <f t="shared" ref="P6:P9" si="4">E6*G6</f>
        <v>2.7800000000000002</v>
      </c>
      <c r="Q6" s="5">
        <f t="shared" ref="Q6:Q9" si="5">G6*F6</f>
        <v>6.25</v>
      </c>
    </row>
    <row r="7" spans="2:29" ht="16.5" thickBot="1" x14ac:dyDescent="0.3">
      <c r="B7" s="24" t="s">
        <v>46</v>
      </c>
      <c r="C7" s="2">
        <f t="shared" si="0"/>
        <v>6.2716666666666656</v>
      </c>
      <c r="D7" s="2">
        <v>11.85</v>
      </c>
      <c r="E7" s="2">
        <v>4.4649999999999999</v>
      </c>
      <c r="F7" s="2">
        <v>2.5</v>
      </c>
      <c r="G7" s="3">
        <v>2</v>
      </c>
      <c r="H7" s="4">
        <f t="shared" si="1"/>
        <v>12.543333333333331</v>
      </c>
      <c r="I7" s="43"/>
      <c r="J7" s="44"/>
      <c r="K7" s="5"/>
      <c r="L7" s="5" t="str">
        <f t="shared" si="2"/>
        <v>NA</v>
      </c>
      <c r="O7" s="5">
        <f t="shared" si="3"/>
        <v>23.7</v>
      </c>
      <c r="P7" s="5">
        <f t="shared" si="4"/>
        <v>8.93</v>
      </c>
      <c r="Q7" s="5">
        <f t="shared" si="5"/>
        <v>5</v>
      </c>
    </row>
    <row r="8" spans="2:29" ht="16.5" thickBot="1" x14ac:dyDescent="0.3">
      <c r="B8" s="24" t="s">
        <v>47</v>
      </c>
      <c r="C8" s="2">
        <f t="shared" si="0"/>
        <v>6.9549999999999992</v>
      </c>
      <c r="D8" s="2">
        <v>9.1</v>
      </c>
      <c r="E8" s="2">
        <v>7.2649999999999997</v>
      </c>
      <c r="F8" s="2">
        <v>4.5</v>
      </c>
      <c r="G8" s="3">
        <v>1</v>
      </c>
      <c r="H8" s="4">
        <f t="shared" si="1"/>
        <v>6.9549999999999992</v>
      </c>
      <c r="I8" s="43"/>
      <c r="J8" s="44"/>
      <c r="K8" s="5"/>
      <c r="L8" s="5" t="str">
        <f t="shared" si="2"/>
        <v>NA</v>
      </c>
      <c r="O8" s="5">
        <f t="shared" si="3"/>
        <v>9.1</v>
      </c>
      <c r="P8" s="5">
        <f t="shared" si="4"/>
        <v>7.2649999999999997</v>
      </c>
      <c r="Q8" s="5">
        <f t="shared" si="5"/>
        <v>4.5</v>
      </c>
    </row>
    <row r="9" spans="2:29" ht="16.5" thickBot="1" x14ac:dyDescent="0.3">
      <c r="B9" s="24" t="s">
        <v>51</v>
      </c>
      <c r="C9" s="2">
        <f t="shared" si="0"/>
        <v>7.6833333333333336</v>
      </c>
      <c r="D9" s="2">
        <v>12.05</v>
      </c>
      <c r="E9" s="2">
        <v>6</v>
      </c>
      <c r="F9" s="2">
        <v>5</v>
      </c>
      <c r="G9" s="3">
        <v>2</v>
      </c>
      <c r="H9" s="4">
        <f t="shared" si="1"/>
        <v>15.366666666666667</v>
      </c>
      <c r="I9" s="43"/>
      <c r="J9" s="44"/>
      <c r="K9" s="5"/>
      <c r="L9" s="5" t="str">
        <f t="shared" si="2"/>
        <v>NA</v>
      </c>
      <c r="O9" s="5">
        <f t="shared" si="3"/>
        <v>24.1</v>
      </c>
      <c r="P9" s="5">
        <f t="shared" si="4"/>
        <v>12</v>
      </c>
      <c r="Q9" s="5">
        <f t="shared" si="5"/>
        <v>10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7.0370370370370363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7.3916666666666666</v>
      </c>
      <c r="D13" s="2">
        <v>7.875</v>
      </c>
      <c r="E13" s="2">
        <v>8.1750000000000007</v>
      </c>
      <c r="F13" s="2">
        <v>6.125</v>
      </c>
      <c r="G13" s="3">
        <v>2</v>
      </c>
      <c r="H13" s="4">
        <f t="shared" ref="H13:H16" si="6">C13*G13</f>
        <v>14.783333333333333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15.75</v>
      </c>
      <c r="P13" s="5">
        <f>E13*G13</f>
        <v>16.350000000000001</v>
      </c>
      <c r="Q13" s="5">
        <f>G13*F13</f>
        <v>12.25</v>
      </c>
    </row>
    <row r="14" spans="2:29" ht="16.5" thickBot="1" x14ac:dyDescent="0.3">
      <c r="B14" s="24" t="s">
        <v>12</v>
      </c>
      <c r="C14" s="2">
        <f t="shared" ref="C14:C16" si="8">(D14+F14+E14)/3</f>
        <v>10.341666666666667</v>
      </c>
      <c r="D14" s="2">
        <v>10.024999999999999</v>
      </c>
      <c r="E14" s="2">
        <v>10.25</v>
      </c>
      <c r="F14" s="2">
        <v>10.75</v>
      </c>
      <c r="G14" s="3">
        <v>1.5</v>
      </c>
      <c r="H14" s="4">
        <f t="shared" si="6"/>
        <v>15.512499999999999</v>
      </c>
      <c r="I14" s="43"/>
      <c r="J14" s="44"/>
      <c r="K14" s="5"/>
      <c r="L14" s="5" t="str">
        <f t="shared" ref="L14:L16" si="9">IF(C14&lt;11,"NA",IF(C14&lt;15,"ECA",IF(C14&lt;18,"A",IF(C14&lt;20,"A+"))))</f>
        <v>NA</v>
      </c>
      <c r="O14" s="5">
        <f t="shared" si="7"/>
        <v>15.037499999999998</v>
      </c>
      <c r="P14" s="5">
        <f t="shared" ref="P14:P16" si="10">E14*G14</f>
        <v>15.375</v>
      </c>
      <c r="Q14" s="5">
        <f t="shared" ref="Q14:Q16" si="11">G14*F14</f>
        <v>16.125</v>
      </c>
    </row>
    <row r="15" spans="2:29" ht="16.5" thickBot="1" x14ac:dyDescent="0.3">
      <c r="B15" s="24" t="s">
        <v>13</v>
      </c>
      <c r="C15" s="2">
        <f t="shared" si="8"/>
        <v>9.4666666666666668</v>
      </c>
      <c r="D15" s="2">
        <v>10.25</v>
      </c>
      <c r="E15" s="2">
        <v>9.4</v>
      </c>
      <c r="F15" s="2">
        <v>8.75</v>
      </c>
      <c r="G15" s="3">
        <v>1.5</v>
      </c>
      <c r="H15" s="4">
        <f t="shared" si="6"/>
        <v>14.2</v>
      </c>
      <c r="I15" s="43"/>
      <c r="J15" s="44"/>
      <c r="K15" s="5"/>
      <c r="L15" s="5" t="str">
        <f t="shared" si="9"/>
        <v>NA</v>
      </c>
      <c r="O15" s="5">
        <f t="shared" si="7"/>
        <v>15.375</v>
      </c>
      <c r="P15" s="5">
        <f t="shared" si="10"/>
        <v>14.100000000000001</v>
      </c>
      <c r="Q15" s="5">
        <f t="shared" si="11"/>
        <v>13.125</v>
      </c>
    </row>
    <row r="16" spans="2:29" ht="16.5" thickBot="1" x14ac:dyDescent="0.3">
      <c r="B16" s="24" t="s">
        <v>48</v>
      </c>
      <c r="C16" s="2">
        <f t="shared" si="8"/>
        <v>8.0416666666666661</v>
      </c>
      <c r="D16" s="2">
        <v>8.125</v>
      </c>
      <c r="E16" s="2">
        <v>5.5</v>
      </c>
      <c r="F16" s="2">
        <v>10.5</v>
      </c>
      <c r="G16" s="3">
        <v>1</v>
      </c>
      <c r="H16" s="4">
        <f t="shared" si="6"/>
        <v>8.0416666666666661</v>
      </c>
      <c r="I16" s="43"/>
      <c r="J16" s="44"/>
      <c r="K16" s="5"/>
      <c r="L16" s="5" t="str">
        <f t="shared" si="9"/>
        <v>NA</v>
      </c>
      <c r="O16" s="5">
        <f t="shared" si="7"/>
        <v>8.125</v>
      </c>
      <c r="P16" s="5">
        <f t="shared" si="10"/>
        <v>5.5</v>
      </c>
      <c r="Q16" s="5">
        <f t="shared" si="11"/>
        <v>10.5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8.7562499999999996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6.6749999999999998</v>
      </c>
      <c r="D20" s="2">
        <v>6.15</v>
      </c>
      <c r="E20" s="2">
        <v>8.25</v>
      </c>
      <c r="F20" s="2">
        <v>5.625</v>
      </c>
      <c r="G20" s="3">
        <v>2</v>
      </c>
      <c r="H20" s="4">
        <f t="shared" ref="H20:H23" si="12">C20*G20</f>
        <v>13.35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12.3</v>
      </c>
      <c r="P20" s="5">
        <f>E20*G20</f>
        <v>16.5</v>
      </c>
      <c r="Q20" s="5">
        <f>G20*F20</f>
        <v>11.25</v>
      </c>
    </row>
    <row r="21" spans="2:17" ht="16.5" thickBot="1" x14ac:dyDescent="0.3">
      <c r="B21" s="24" t="s">
        <v>8</v>
      </c>
      <c r="C21" s="2">
        <f t="shared" ref="C21:C23" si="15">(D21+F21+E21)/3</f>
        <v>4.9483333333333333</v>
      </c>
      <c r="D21" s="2">
        <v>7.5750000000000002</v>
      </c>
      <c r="E21" s="2">
        <v>3.7450000000000001</v>
      </c>
      <c r="F21" s="2">
        <v>3.5249999999999999</v>
      </c>
      <c r="G21" s="3">
        <v>4</v>
      </c>
      <c r="H21" s="4">
        <f t="shared" si="12"/>
        <v>19.793333333333333</v>
      </c>
      <c r="I21" s="43"/>
      <c r="J21" s="44"/>
      <c r="K21" s="5"/>
      <c r="L21" s="5" t="str">
        <f t="shared" si="13"/>
        <v>NA</v>
      </c>
      <c r="O21" s="5">
        <f t="shared" si="14"/>
        <v>30.3</v>
      </c>
      <c r="P21" s="5">
        <f t="shared" ref="P21:P23" si="16">E21*G21</f>
        <v>14.98</v>
      </c>
      <c r="Q21" s="5">
        <f t="shared" ref="Q21:Q23" si="17">G21*F21</f>
        <v>14.1</v>
      </c>
    </row>
    <row r="22" spans="2:17" ht="16.5" thickBot="1" x14ac:dyDescent="0.3">
      <c r="B22" s="24" t="s">
        <v>52</v>
      </c>
      <c r="C22" s="2">
        <f t="shared" si="15"/>
        <v>6.8416666666666659</v>
      </c>
      <c r="D22" s="2">
        <v>7.0249999999999995</v>
      </c>
      <c r="E22" s="2">
        <v>8.0749999999999993</v>
      </c>
      <c r="F22" s="2">
        <v>5.4249999999999998</v>
      </c>
      <c r="G22" s="3">
        <v>2</v>
      </c>
      <c r="H22" s="4">
        <f t="shared" si="12"/>
        <v>13.683333333333332</v>
      </c>
      <c r="I22" s="43"/>
      <c r="J22" s="44"/>
      <c r="K22" s="5"/>
      <c r="L22" s="5" t="str">
        <f t="shared" si="13"/>
        <v>NA</v>
      </c>
      <c r="O22" s="5">
        <f t="shared" si="14"/>
        <v>14.049999999999999</v>
      </c>
      <c r="P22" s="5">
        <f t="shared" si="16"/>
        <v>16.149999999999999</v>
      </c>
      <c r="Q22" s="5">
        <f t="shared" si="17"/>
        <v>10.85</v>
      </c>
    </row>
    <row r="23" spans="2:17" ht="16.5" thickBot="1" x14ac:dyDescent="0.3">
      <c r="B23" s="24" t="s">
        <v>9</v>
      </c>
      <c r="C23" s="2">
        <f t="shared" si="15"/>
        <v>4.1000000000000005</v>
      </c>
      <c r="D23" s="2">
        <v>6.3</v>
      </c>
      <c r="E23" s="2">
        <v>2.5</v>
      </c>
      <c r="F23" s="2">
        <v>3.5</v>
      </c>
      <c r="G23" s="3">
        <v>2</v>
      </c>
      <c r="H23" s="4">
        <f t="shared" si="12"/>
        <v>8.2000000000000011</v>
      </c>
      <c r="I23" s="43"/>
      <c r="J23" s="44"/>
      <c r="K23" s="5"/>
      <c r="L23" s="5" t="str">
        <f t="shared" si="13"/>
        <v>NA</v>
      </c>
      <c r="O23" s="5">
        <f t="shared" si="14"/>
        <v>12.6</v>
      </c>
      <c r="P23" s="5">
        <f t="shared" si="16"/>
        <v>5</v>
      </c>
      <c r="Q23" s="5">
        <f t="shared" si="17"/>
        <v>7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5.5026666666666664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13</v>
      </c>
      <c r="D27" s="2">
        <v>12</v>
      </c>
      <c r="E27" s="2">
        <v>0</v>
      </c>
      <c r="F27" s="2">
        <v>14</v>
      </c>
      <c r="G27" s="3">
        <v>1</v>
      </c>
      <c r="H27" s="4">
        <f t="shared" ref="H27:H30" si="18">C27*G27</f>
        <v>13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12</v>
      </c>
      <c r="P27" s="5">
        <f>E27*G27</f>
        <v>0</v>
      </c>
      <c r="Q27" s="5">
        <f>G27*F27</f>
        <v>14</v>
      </c>
    </row>
    <row r="28" spans="2:17" ht="16.5" thickBot="1" x14ac:dyDescent="0.3">
      <c r="B28" s="24" t="s">
        <v>44</v>
      </c>
      <c r="C28" s="2">
        <f t="shared" ref="C28" si="21">(D28+F28+E28)/3</f>
        <v>10.125</v>
      </c>
      <c r="D28" s="2">
        <v>12.5</v>
      </c>
      <c r="E28" s="2">
        <v>11</v>
      </c>
      <c r="F28" s="2">
        <v>6.875</v>
      </c>
      <c r="G28" s="3">
        <v>2</v>
      </c>
      <c r="H28" s="4">
        <f t="shared" si="18"/>
        <v>20.25</v>
      </c>
      <c r="I28" s="43"/>
      <c r="J28" s="44"/>
      <c r="K28" s="5"/>
      <c r="L28" s="5" t="str">
        <f t="shared" si="19"/>
        <v>NA</v>
      </c>
      <c r="O28" s="5">
        <f t="shared" si="20"/>
        <v>25</v>
      </c>
      <c r="P28" s="5">
        <f t="shared" ref="P28:P30" si="22">E28*G28</f>
        <v>22</v>
      </c>
      <c r="Q28" s="5">
        <f t="shared" ref="Q28:Q30" si="23">G28*F28</f>
        <v>13.75</v>
      </c>
    </row>
    <row r="29" spans="2:17" ht="16.5" thickBot="1" x14ac:dyDescent="0.3">
      <c r="B29" s="24" t="s">
        <v>45</v>
      </c>
      <c r="C29" s="2">
        <f>(D29+F29+E29)/2</f>
        <v>12.75</v>
      </c>
      <c r="D29" s="2">
        <v>11.5</v>
      </c>
      <c r="E29" s="2">
        <v>14</v>
      </c>
      <c r="F29" s="2">
        <v>0</v>
      </c>
      <c r="G29" s="3">
        <v>1</v>
      </c>
      <c r="H29" s="4">
        <f t="shared" si="18"/>
        <v>12.75</v>
      </c>
      <c r="I29" s="43"/>
      <c r="J29" s="44"/>
      <c r="K29" s="5"/>
      <c r="L29" s="5" t="str">
        <f t="shared" si="19"/>
        <v>ECA</v>
      </c>
      <c r="O29" s="5">
        <f t="shared" si="20"/>
        <v>11.5</v>
      </c>
      <c r="P29" s="5">
        <f t="shared" si="22"/>
        <v>14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16.75</v>
      </c>
      <c r="D30" s="2">
        <v>18</v>
      </c>
      <c r="E30" s="2">
        <v>0</v>
      </c>
      <c r="F30" s="2">
        <v>15.5</v>
      </c>
      <c r="G30" s="3">
        <v>1</v>
      </c>
      <c r="H30" s="4">
        <f t="shared" si="18"/>
        <v>16.75</v>
      </c>
      <c r="I30" s="43"/>
      <c r="J30" s="44"/>
      <c r="K30" s="5"/>
      <c r="L30" s="5" t="str">
        <f t="shared" si="19"/>
        <v>A</v>
      </c>
      <c r="O30" s="5">
        <f t="shared" si="20"/>
        <v>18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287.08749999999998</v>
      </c>
      <c r="P31" s="1">
        <f>SUM(P5:P30)</f>
        <v>191.03</v>
      </c>
      <c r="Q31" s="1">
        <f>SUM(Q5:Q30)</f>
        <v>180.32499999999999</v>
      </c>
    </row>
    <row r="32" spans="2:17" ht="16.149999999999999" customHeight="1" thickBot="1" x14ac:dyDescent="0.3">
      <c r="B32" s="6" t="s">
        <v>14</v>
      </c>
      <c r="C32" s="45">
        <f>(SUM(H27:H30)/SUM(G27:G30))</f>
        <v>12.55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9.5695833333333322</v>
      </c>
      <c r="P33" s="1">
        <f>P31/P32</f>
        <v>6.8224999999999998</v>
      </c>
      <c r="Q33" s="1">
        <f>Q31/Q32</f>
        <v>6.2181034482758619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9.5695833333333322</v>
      </c>
      <c r="D36" s="14">
        <f>P33</f>
        <v>6.8224999999999998</v>
      </c>
      <c r="E36" s="14">
        <f>Q33</f>
        <v>6.2181034482758619</v>
      </c>
      <c r="F36" s="35" t="s">
        <v>61</v>
      </c>
      <c r="G36" s="16">
        <f>(H5+H6+H7+H8+H9+H13+H14+H15+H20+H16+H21+H22+H23+H27+H28+H29+H30)/30</f>
        <v>7.7882499999999997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I30:J30"/>
    <mergeCell ref="C32:F32"/>
    <mergeCell ref="G32:H32"/>
    <mergeCell ref="J32:L32"/>
    <mergeCell ref="B33:L33"/>
    <mergeCell ref="B38:L38"/>
    <mergeCell ref="B39:L39"/>
    <mergeCell ref="C40:F40"/>
    <mergeCell ref="G40:L41"/>
    <mergeCell ref="C41:F43"/>
    <mergeCell ref="G42:J42"/>
    <mergeCell ref="K42:L42"/>
    <mergeCell ref="G34:H34"/>
    <mergeCell ref="J34:K34"/>
    <mergeCell ref="I35:L35"/>
    <mergeCell ref="I36:J36"/>
    <mergeCell ref="B37:H37"/>
    <mergeCell ref="I37:L37"/>
    <mergeCell ref="I27:J27"/>
    <mergeCell ref="I28:J28"/>
    <mergeCell ref="I29:J29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  <mergeCell ref="B24:L24"/>
    <mergeCell ref="C25:F25"/>
    <mergeCell ref="G25:H25"/>
    <mergeCell ref="J25:L25"/>
    <mergeCell ref="I4:J4"/>
    <mergeCell ref="I5:J5"/>
    <mergeCell ref="I6:J6"/>
    <mergeCell ref="I7:J7"/>
    <mergeCell ref="B26:L26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3" zoomScale="85" zoomScaleNormal="85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6.1416666666666666</v>
      </c>
      <c r="D5" s="2">
        <v>6.9</v>
      </c>
      <c r="E5" s="2">
        <v>5.9</v>
      </c>
      <c r="F5" s="2">
        <v>5.625</v>
      </c>
      <c r="G5" s="3">
        <v>3</v>
      </c>
      <c r="H5" s="4">
        <f>C5*G5</f>
        <v>18.425000000000001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20.700000000000003</v>
      </c>
      <c r="P5" s="5">
        <f>E5*G5</f>
        <v>17.700000000000003</v>
      </c>
      <c r="Q5" s="5">
        <f>G5*F5</f>
        <v>16.875</v>
      </c>
    </row>
    <row r="6" spans="2:29" ht="16.5" thickBot="1" x14ac:dyDescent="0.3">
      <c r="B6" s="24" t="s">
        <v>50</v>
      </c>
      <c r="C6" s="2">
        <f t="shared" ref="C6:C9" si="0">(D6+F6+E6)/3</f>
        <v>8.7449999999999992</v>
      </c>
      <c r="D6" s="2">
        <v>9.5500000000000007</v>
      </c>
      <c r="E6" s="2">
        <v>5.1850000000000005</v>
      </c>
      <c r="F6" s="2">
        <v>11.5</v>
      </c>
      <c r="G6" s="3">
        <v>1</v>
      </c>
      <c r="H6" s="4">
        <f t="shared" ref="H6:H9" si="1">C6*G6</f>
        <v>8.7449999999999992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9.5500000000000007</v>
      </c>
      <c r="P6" s="5">
        <f t="shared" ref="P6:P9" si="4">E6*G6</f>
        <v>5.1850000000000005</v>
      </c>
      <c r="Q6" s="5">
        <f t="shared" ref="Q6:Q9" si="5">G6*F6</f>
        <v>11.5</v>
      </c>
    </row>
    <row r="7" spans="2:29" ht="16.5" thickBot="1" x14ac:dyDescent="0.3">
      <c r="B7" s="24" t="s">
        <v>46</v>
      </c>
      <c r="C7" s="2">
        <f t="shared" si="0"/>
        <v>12.038333333333334</v>
      </c>
      <c r="D7" s="2">
        <v>14.5</v>
      </c>
      <c r="E7" s="2">
        <v>11.115</v>
      </c>
      <c r="F7" s="2">
        <v>10.5</v>
      </c>
      <c r="G7" s="3">
        <v>2</v>
      </c>
      <c r="H7" s="4">
        <f t="shared" si="1"/>
        <v>24.076666666666668</v>
      </c>
      <c r="I7" s="43"/>
      <c r="J7" s="44"/>
      <c r="K7" s="5"/>
      <c r="L7" s="5" t="str">
        <f t="shared" si="2"/>
        <v>ECA</v>
      </c>
      <c r="O7" s="5">
        <f t="shared" si="3"/>
        <v>29</v>
      </c>
      <c r="P7" s="5">
        <f t="shared" si="4"/>
        <v>22.23</v>
      </c>
      <c r="Q7" s="5">
        <f t="shared" si="5"/>
        <v>21</v>
      </c>
    </row>
    <row r="8" spans="2:29" ht="16.5" thickBot="1" x14ac:dyDescent="0.3">
      <c r="B8" s="24" t="s">
        <v>47</v>
      </c>
      <c r="C8" s="2">
        <f t="shared" si="0"/>
        <v>8.7833333333333332</v>
      </c>
      <c r="D8" s="2">
        <v>10.75</v>
      </c>
      <c r="E8" s="2">
        <v>6.6</v>
      </c>
      <c r="F8" s="2">
        <v>9</v>
      </c>
      <c r="G8" s="3">
        <v>1</v>
      </c>
      <c r="H8" s="4">
        <f t="shared" si="1"/>
        <v>8.7833333333333332</v>
      </c>
      <c r="I8" s="43"/>
      <c r="J8" s="44"/>
      <c r="K8" s="5"/>
      <c r="L8" s="5" t="str">
        <f t="shared" si="2"/>
        <v>NA</v>
      </c>
      <c r="O8" s="5">
        <f t="shared" si="3"/>
        <v>10.75</v>
      </c>
      <c r="P8" s="5">
        <f t="shared" si="4"/>
        <v>6.6</v>
      </c>
      <c r="Q8" s="5">
        <f t="shared" si="5"/>
        <v>9</v>
      </c>
    </row>
    <row r="9" spans="2:29" ht="16.5" thickBot="1" x14ac:dyDescent="0.3">
      <c r="B9" s="24" t="s">
        <v>51</v>
      </c>
      <c r="C9" s="2">
        <f t="shared" si="0"/>
        <v>8.5</v>
      </c>
      <c r="D9" s="2">
        <v>10.45</v>
      </c>
      <c r="E9" s="2">
        <v>9.0500000000000007</v>
      </c>
      <c r="F9" s="2">
        <v>6</v>
      </c>
      <c r="G9" s="3">
        <v>2</v>
      </c>
      <c r="H9" s="4">
        <f t="shared" si="1"/>
        <v>17</v>
      </c>
      <c r="I9" s="43"/>
      <c r="J9" s="44"/>
      <c r="K9" s="5"/>
      <c r="L9" s="5" t="str">
        <f t="shared" si="2"/>
        <v>NA</v>
      </c>
      <c r="O9" s="5">
        <f t="shared" si="3"/>
        <v>20.9</v>
      </c>
      <c r="P9" s="5">
        <f t="shared" si="4"/>
        <v>18.100000000000001</v>
      </c>
      <c r="Q9" s="5">
        <f t="shared" si="5"/>
        <v>12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8.5588888888888892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10.049999999999999</v>
      </c>
      <c r="D13" s="2">
        <v>12.375</v>
      </c>
      <c r="E13" s="2">
        <v>9.65</v>
      </c>
      <c r="F13" s="2">
        <v>8.125</v>
      </c>
      <c r="G13" s="3">
        <v>2</v>
      </c>
      <c r="H13" s="4">
        <f t="shared" ref="H13:H16" si="6">C13*G13</f>
        <v>20.099999999999998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24.75</v>
      </c>
      <c r="P13" s="5">
        <f>E13*G13</f>
        <v>19.3</v>
      </c>
      <c r="Q13" s="5">
        <f>G13*F13</f>
        <v>16.25</v>
      </c>
    </row>
    <row r="14" spans="2:29" ht="16.5" thickBot="1" x14ac:dyDescent="0.3">
      <c r="B14" s="24" t="s">
        <v>12</v>
      </c>
      <c r="C14" s="2">
        <f t="shared" ref="C14:C16" si="8">(D14+F14+E14)/3</f>
        <v>11.433333333333332</v>
      </c>
      <c r="D14" s="2">
        <v>10.725</v>
      </c>
      <c r="E14" s="2">
        <v>11.2</v>
      </c>
      <c r="F14" s="2">
        <v>12.375</v>
      </c>
      <c r="G14" s="3">
        <v>1.5</v>
      </c>
      <c r="H14" s="4">
        <f t="shared" si="6"/>
        <v>17.149999999999999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16.087499999999999</v>
      </c>
      <c r="P14" s="5">
        <f t="shared" ref="P14:P16" si="10">E14*G14</f>
        <v>16.799999999999997</v>
      </c>
      <c r="Q14" s="5">
        <f t="shared" ref="Q14:Q16" si="11">G14*F14</f>
        <v>18.5625</v>
      </c>
    </row>
    <row r="15" spans="2:29" ht="16.5" thickBot="1" x14ac:dyDescent="0.3">
      <c r="B15" s="24" t="s">
        <v>13</v>
      </c>
      <c r="C15" s="2">
        <f t="shared" si="8"/>
        <v>11.4</v>
      </c>
      <c r="D15" s="2">
        <v>12.8</v>
      </c>
      <c r="E15" s="2">
        <v>10.9</v>
      </c>
      <c r="F15" s="2">
        <v>10.5</v>
      </c>
      <c r="G15" s="3">
        <v>1.5</v>
      </c>
      <c r="H15" s="4">
        <f t="shared" si="6"/>
        <v>17.100000000000001</v>
      </c>
      <c r="I15" s="43"/>
      <c r="J15" s="44"/>
      <c r="K15" s="5"/>
      <c r="L15" s="5" t="str">
        <f t="shared" si="9"/>
        <v>ECA</v>
      </c>
      <c r="O15" s="5">
        <f t="shared" si="7"/>
        <v>19.200000000000003</v>
      </c>
      <c r="P15" s="5">
        <f t="shared" si="10"/>
        <v>16.350000000000001</v>
      </c>
      <c r="Q15" s="5">
        <f t="shared" si="11"/>
        <v>15.75</v>
      </c>
    </row>
    <row r="16" spans="2:29" ht="16.5" thickBot="1" x14ac:dyDescent="0.3">
      <c r="B16" s="24" t="s">
        <v>48</v>
      </c>
      <c r="C16" s="2">
        <f t="shared" si="8"/>
        <v>9.9166666666666661</v>
      </c>
      <c r="D16" s="2">
        <v>9.25</v>
      </c>
      <c r="E16" s="2">
        <v>10</v>
      </c>
      <c r="F16" s="2">
        <v>10.5</v>
      </c>
      <c r="G16" s="3">
        <v>1</v>
      </c>
      <c r="H16" s="4">
        <f t="shared" si="6"/>
        <v>9.9166666666666661</v>
      </c>
      <c r="I16" s="43"/>
      <c r="J16" s="44"/>
      <c r="K16" s="5"/>
      <c r="L16" s="5" t="str">
        <f t="shared" si="9"/>
        <v>NA</v>
      </c>
      <c r="O16" s="5">
        <f t="shared" si="7"/>
        <v>9.25</v>
      </c>
      <c r="P16" s="5">
        <f t="shared" si="10"/>
        <v>10</v>
      </c>
      <c r="Q16" s="5">
        <f t="shared" si="11"/>
        <v>10.5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10.71111111111111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8.2333333333333325</v>
      </c>
      <c r="D20" s="2">
        <v>6.95</v>
      </c>
      <c r="E20" s="2">
        <v>7.5</v>
      </c>
      <c r="F20" s="2">
        <v>10.25</v>
      </c>
      <c r="G20" s="3">
        <v>2</v>
      </c>
      <c r="H20" s="4">
        <f t="shared" ref="H20:H23" si="12">C20*G20</f>
        <v>16.466666666666665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13.9</v>
      </c>
      <c r="P20" s="5">
        <f>E20*G20</f>
        <v>15</v>
      </c>
      <c r="Q20" s="5">
        <f>G20*F20</f>
        <v>20.5</v>
      </c>
    </row>
    <row r="21" spans="2:17" ht="16.5" thickBot="1" x14ac:dyDescent="0.3">
      <c r="B21" s="24" t="s">
        <v>8</v>
      </c>
      <c r="C21" s="2">
        <f t="shared" ref="C21:C23" si="15">(D21+F21+E21)/3</f>
        <v>5.0016666666666669</v>
      </c>
      <c r="D21" s="2">
        <v>6.7649999999999997</v>
      </c>
      <c r="E21" s="2">
        <v>3.3650000000000002</v>
      </c>
      <c r="F21" s="2">
        <v>4.875</v>
      </c>
      <c r="G21" s="3">
        <v>4</v>
      </c>
      <c r="H21" s="4">
        <f t="shared" si="12"/>
        <v>20.006666666666668</v>
      </c>
      <c r="I21" s="43"/>
      <c r="J21" s="44"/>
      <c r="K21" s="5"/>
      <c r="L21" s="5" t="str">
        <f t="shared" si="13"/>
        <v>NA</v>
      </c>
      <c r="O21" s="5">
        <f t="shared" si="14"/>
        <v>27.06</v>
      </c>
      <c r="P21" s="5">
        <f t="shared" ref="P21:P23" si="16">E21*G21</f>
        <v>13.46</v>
      </c>
      <c r="Q21" s="5">
        <f t="shared" ref="Q21:Q23" si="17">G21*F21</f>
        <v>19.5</v>
      </c>
    </row>
    <row r="22" spans="2:17" ht="16.5" thickBot="1" x14ac:dyDescent="0.3">
      <c r="B22" s="24" t="s">
        <v>52</v>
      </c>
      <c r="C22" s="2">
        <f t="shared" si="15"/>
        <v>7.8166666666666673</v>
      </c>
      <c r="D22" s="2">
        <v>11</v>
      </c>
      <c r="E22" s="2">
        <v>5.7249999999999996</v>
      </c>
      <c r="F22" s="2">
        <v>6.7249999999999996</v>
      </c>
      <c r="G22" s="3">
        <v>2</v>
      </c>
      <c r="H22" s="4">
        <f t="shared" si="12"/>
        <v>15.633333333333335</v>
      </c>
      <c r="I22" s="43"/>
      <c r="J22" s="44"/>
      <c r="K22" s="5"/>
      <c r="L22" s="5" t="str">
        <f t="shared" si="13"/>
        <v>NA</v>
      </c>
      <c r="O22" s="5">
        <f t="shared" si="14"/>
        <v>22</v>
      </c>
      <c r="P22" s="5">
        <f t="shared" si="16"/>
        <v>11.45</v>
      </c>
      <c r="Q22" s="5">
        <f t="shared" si="17"/>
        <v>13.45</v>
      </c>
    </row>
    <row r="23" spans="2:17" ht="16.5" thickBot="1" x14ac:dyDescent="0.3">
      <c r="B23" s="24" t="s">
        <v>9</v>
      </c>
      <c r="C23" s="2">
        <f t="shared" si="15"/>
        <v>9.4416666666666664</v>
      </c>
      <c r="D23" s="2">
        <v>10.050000000000001</v>
      </c>
      <c r="E23" s="2">
        <v>8.3000000000000007</v>
      </c>
      <c r="F23" s="2">
        <v>9.9749999999999996</v>
      </c>
      <c r="G23" s="3">
        <v>2</v>
      </c>
      <c r="H23" s="4">
        <f t="shared" si="12"/>
        <v>18.883333333333333</v>
      </c>
      <c r="I23" s="43"/>
      <c r="J23" s="44"/>
      <c r="K23" s="5"/>
      <c r="L23" s="5" t="str">
        <f t="shared" si="13"/>
        <v>NA</v>
      </c>
      <c r="O23" s="5">
        <f t="shared" si="14"/>
        <v>20.100000000000001</v>
      </c>
      <c r="P23" s="5">
        <f t="shared" si="16"/>
        <v>16.600000000000001</v>
      </c>
      <c r="Q23" s="5">
        <f t="shared" si="17"/>
        <v>19.95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7.0989999999999993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13.25</v>
      </c>
      <c r="D27" s="2">
        <v>13.5</v>
      </c>
      <c r="E27" s="2">
        <v>0</v>
      </c>
      <c r="F27" s="2">
        <v>13</v>
      </c>
      <c r="G27" s="3">
        <v>1</v>
      </c>
      <c r="H27" s="4">
        <f t="shared" ref="H27:H30" si="18">C27*G27</f>
        <v>13.25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13.5</v>
      </c>
      <c r="P27" s="5">
        <f>E27*G27</f>
        <v>0</v>
      </c>
      <c r="Q27" s="5">
        <f>G27*F27</f>
        <v>13</v>
      </c>
    </row>
    <row r="28" spans="2:17" ht="16.5" thickBot="1" x14ac:dyDescent="0.3">
      <c r="B28" s="24" t="s">
        <v>44</v>
      </c>
      <c r="C28" s="2">
        <f t="shared" ref="C28" si="21">(D28+F28+E28)/3</f>
        <v>12.166666666666666</v>
      </c>
      <c r="D28" s="2">
        <v>14</v>
      </c>
      <c r="E28" s="2">
        <v>12.5</v>
      </c>
      <c r="F28" s="2">
        <v>10</v>
      </c>
      <c r="G28" s="3">
        <v>2</v>
      </c>
      <c r="H28" s="4">
        <f t="shared" si="18"/>
        <v>24.333333333333332</v>
      </c>
      <c r="I28" s="43"/>
      <c r="J28" s="44"/>
      <c r="K28" s="5"/>
      <c r="L28" s="5" t="str">
        <f t="shared" si="19"/>
        <v>ECA</v>
      </c>
      <c r="O28" s="5">
        <f t="shared" si="20"/>
        <v>28</v>
      </c>
      <c r="P28" s="5">
        <f t="shared" ref="P28:P30" si="22">E28*G28</f>
        <v>25</v>
      </c>
      <c r="Q28" s="5">
        <f t="shared" ref="Q28:Q30" si="23">G28*F28</f>
        <v>20</v>
      </c>
    </row>
    <row r="29" spans="2:17" ht="16.5" thickBot="1" x14ac:dyDescent="0.3">
      <c r="B29" s="24" t="s">
        <v>45</v>
      </c>
      <c r="C29" s="2">
        <f>(D29+F29+E29)/2</f>
        <v>11</v>
      </c>
      <c r="D29" s="2">
        <v>11</v>
      </c>
      <c r="E29" s="2">
        <v>11</v>
      </c>
      <c r="F29" s="2">
        <v>0</v>
      </c>
      <c r="G29" s="3">
        <v>1</v>
      </c>
      <c r="H29" s="4">
        <f t="shared" si="18"/>
        <v>11</v>
      </c>
      <c r="I29" s="43"/>
      <c r="J29" s="44"/>
      <c r="K29" s="5"/>
      <c r="L29" s="5" t="str">
        <f t="shared" si="19"/>
        <v>ECA</v>
      </c>
      <c r="O29" s="5">
        <f t="shared" si="20"/>
        <v>11</v>
      </c>
      <c r="P29" s="5">
        <f t="shared" si="22"/>
        <v>11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</v>
      </c>
      <c r="D30" s="2">
        <v>14.5</v>
      </c>
      <c r="E30" s="2">
        <v>0</v>
      </c>
      <c r="F30" s="2">
        <v>15.5</v>
      </c>
      <c r="G30" s="3">
        <v>1</v>
      </c>
      <c r="H30" s="4">
        <f t="shared" si="18"/>
        <v>15</v>
      </c>
      <c r="I30" s="43"/>
      <c r="J30" s="44"/>
      <c r="K30" s="5"/>
      <c r="L30" s="5" t="str">
        <f t="shared" si="19"/>
        <v>A</v>
      </c>
      <c r="O30" s="5">
        <f t="shared" si="20"/>
        <v>14.5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310.2475</v>
      </c>
      <c r="P31" s="1">
        <f>SUM(P5:P30)</f>
        <v>224.77500000000001</v>
      </c>
      <c r="Q31" s="1">
        <f>SUM(Q5:Q30)</f>
        <v>253.33749999999998</v>
      </c>
    </row>
    <row r="32" spans="2:17" ht="16.149999999999999" customHeight="1" thickBot="1" x14ac:dyDescent="0.3">
      <c r="B32" s="6" t="s">
        <v>14</v>
      </c>
      <c r="C32" s="45">
        <f>(SUM(H27:H30)/SUM(G27:G30))</f>
        <v>12.716666666666665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10.341583333333334</v>
      </c>
      <c r="P33" s="1">
        <f>P31/P32</f>
        <v>8.0276785714285719</v>
      </c>
      <c r="Q33" s="1">
        <f>Q31/Q32</f>
        <v>8.7357758620689641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10.341583333333334</v>
      </c>
      <c r="D36" s="14">
        <f>P33</f>
        <v>8.0276785714285719</v>
      </c>
      <c r="E36" s="14">
        <f>Q33</f>
        <v>8.7357758620689641</v>
      </c>
      <c r="F36" s="35" t="s">
        <v>61</v>
      </c>
      <c r="G36" s="16">
        <f>(H5+H6+H7+H8+H9+H13+H14+H15+H20+H16+H21+H22+H23+H27+H28+H29+H30)/30</f>
        <v>9.195666666666666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6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5.2250000000000005</v>
      </c>
      <c r="D5" s="2">
        <v>4.3</v>
      </c>
      <c r="E5" s="2">
        <v>7</v>
      </c>
      <c r="F5" s="2">
        <v>4.375</v>
      </c>
      <c r="G5" s="3">
        <v>3</v>
      </c>
      <c r="H5" s="4">
        <f>C5*G5</f>
        <v>15.675000000000001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12.899999999999999</v>
      </c>
      <c r="P5" s="5">
        <f>E5*G5</f>
        <v>21</v>
      </c>
      <c r="Q5" s="5">
        <f>G5*F5</f>
        <v>13.125</v>
      </c>
    </row>
    <row r="6" spans="2:29" ht="16.5" thickBot="1" x14ac:dyDescent="0.3">
      <c r="B6" s="24" t="s">
        <v>50</v>
      </c>
      <c r="C6" s="2">
        <f t="shared" ref="C6:C9" si="0">(D6+F6+E6)/3</f>
        <v>3.31</v>
      </c>
      <c r="D6" s="2">
        <v>1.8</v>
      </c>
      <c r="E6" s="2">
        <v>6.13</v>
      </c>
      <c r="F6" s="2">
        <v>2</v>
      </c>
      <c r="G6" s="3">
        <v>1</v>
      </c>
      <c r="H6" s="4">
        <f t="shared" ref="H6:H9" si="1">C6*G6</f>
        <v>3.31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1.8</v>
      </c>
      <c r="P6" s="5">
        <f t="shared" ref="P6:P9" si="4">E6*G6</f>
        <v>6.13</v>
      </c>
      <c r="Q6" s="5">
        <f t="shared" ref="Q6:Q9" si="5">G6*F6</f>
        <v>2</v>
      </c>
    </row>
    <row r="7" spans="2:29" ht="16.5" thickBot="1" x14ac:dyDescent="0.3">
      <c r="B7" s="24" t="s">
        <v>46</v>
      </c>
      <c r="C7" s="2">
        <f t="shared" si="0"/>
        <v>9.8666666666666671</v>
      </c>
      <c r="D7" s="2">
        <v>7.85</v>
      </c>
      <c r="E7" s="2">
        <v>14</v>
      </c>
      <c r="F7" s="2">
        <v>7.75</v>
      </c>
      <c r="G7" s="3">
        <v>2</v>
      </c>
      <c r="H7" s="4">
        <f t="shared" si="1"/>
        <v>19.733333333333334</v>
      </c>
      <c r="I7" s="43"/>
      <c r="J7" s="44"/>
      <c r="K7" s="5"/>
      <c r="L7" s="5" t="str">
        <f t="shared" si="2"/>
        <v>NA</v>
      </c>
      <c r="O7" s="5">
        <f t="shared" si="3"/>
        <v>15.7</v>
      </c>
      <c r="P7" s="5">
        <f t="shared" si="4"/>
        <v>28</v>
      </c>
      <c r="Q7" s="5">
        <f t="shared" si="5"/>
        <v>15.5</v>
      </c>
    </row>
    <row r="8" spans="2:29" ht="16.5" thickBot="1" x14ac:dyDescent="0.3">
      <c r="B8" s="24" t="s">
        <v>47</v>
      </c>
      <c r="C8" s="2">
        <f t="shared" si="0"/>
        <v>8.4783333333333335</v>
      </c>
      <c r="D8" s="2">
        <v>9.8150000000000013</v>
      </c>
      <c r="E8" s="2">
        <v>7.37</v>
      </c>
      <c r="F8" s="2">
        <v>8.25</v>
      </c>
      <c r="G8" s="3">
        <v>1</v>
      </c>
      <c r="H8" s="4">
        <f t="shared" si="1"/>
        <v>8.4783333333333335</v>
      </c>
      <c r="I8" s="43"/>
      <c r="J8" s="44"/>
      <c r="K8" s="5"/>
      <c r="L8" s="5" t="str">
        <f t="shared" si="2"/>
        <v>NA</v>
      </c>
      <c r="O8" s="5">
        <f t="shared" si="3"/>
        <v>9.8150000000000013</v>
      </c>
      <c r="P8" s="5">
        <f t="shared" si="4"/>
        <v>7.37</v>
      </c>
      <c r="Q8" s="5">
        <f t="shared" si="5"/>
        <v>8.25</v>
      </c>
    </row>
    <row r="9" spans="2:29" ht="16.5" thickBot="1" x14ac:dyDescent="0.3">
      <c r="B9" s="24" t="s">
        <v>51</v>
      </c>
      <c r="C9" s="2">
        <f t="shared" si="0"/>
        <v>6.8666666666666671</v>
      </c>
      <c r="D9" s="2">
        <v>8.1000000000000014</v>
      </c>
      <c r="E9" s="2">
        <v>9</v>
      </c>
      <c r="F9" s="2">
        <v>3.5</v>
      </c>
      <c r="G9" s="3">
        <v>2</v>
      </c>
      <c r="H9" s="4">
        <f t="shared" si="1"/>
        <v>13.733333333333334</v>
      </c>
      <c r="I9" s="43"/>
      <c r="J9" s="44"/>
      <c r="K9" s="5"/>
      <c r="L9" s="5" t="str">
        <f t="shared" si="2"/>
        <v>NA</v>
      </c>
      <c r="O9" s="5">
        <f t="shared" si="3"/>
        <v>16.200000000000003</v>
      </c>
      <c r="P9" s="5">
        <f t="shared" si="4"/>
        <v>18</v>
      </c>
      <c r="Q9" s="5">
        <f t="shared" si="5"/>
        <v>7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6.77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9.7416666666666671</v>
      </c>
      <c r="D13" s="2">
        <v>11.1</v>
      </c>
      <c r="E13" s="2">
        <v>11.5</v>
      </c>
      <c r="F13" s="2">
        <v>6.625</v>
      </c>
      <c r="G13" s="3">
        <v>2</v>
      </c>
      <c r="H13" s="4">
        <f t="shared" ref="H13:H16" si="6">C13*G13</f>
        <v>19.483333333333334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22.2</v>
      </c>
      <c r="P13" s="5">
        <f>E13*G13</f>
        <v>23</v>
      </c>
      <c r="Q13" s="5">
        <f>G13*F13</f>
        <v>13.25</v>
      </c>
    </row>
    <row r="14" spans="2:29" ht="16.5" thickBot="1" x14ac:dyDescent="0.3">
      <c r="B14" s="24" t="s">
        <v>12</v>
      </c>
      <c r="C14" s="2">
        <f t="shared" ref="C14:C16" si="8">(D14+F14+E14)/3</f>
        <v>10.375</v>
      </c>
      <c r="D14" s="2">
        <v>8.25</v>
      </c>
      <c r="E14" s="2">
        <v>15</v>
      </c>
      <c r="F14" s="2">
        <v>7.875</v>
      </c>
      <c r="G14" s="3">
        <v>1.5</v>
      </c>
      <c r="H14" s="4">
        <f t="shared" si="6"/>
        <v>15.5625</v>
      </c>
      <c r="I14" s="43"/>
      <c r="J14" s="44"/>
      <c r="K14" s="5"/>
      <c r="L14" s="5" t="str">
        <f t="shared" ref="L14:L16" si="9">IF(C14&lt;11,"NA",IF(C14&lt;15,"ECA",IF(C14&lt;18,"A",IF(C14&lt;20,"A+"))))</f>
        <v>NA</v>
      </c>
      <c r="O14" s="5">
        <f t="shared" si="7"/>
        <v>12.375</v>
      </c>
      <c r="P14" s="5">
        <f t="shared" ref="P14:P16" si="10">E14*G14</f>
        <v>22.5</v>
      </c>
      <c r="Q14" s="5">
        <f t="shared" ref="Q14:Q16" si="11">G14*F14</f>
        <v>11.8125</v>
      </c>
    </row>
    <row r="15" spans="2:29" ht="16.5" thickBot="1" x14ac:dyDescent="0.3">
      <c r="B15" s="24" t="s">
        <v>13</v>
      </c>
      <c r="C15" s="2">
        <f t="shared" si="8"/>
        <v>6.8999999999999995</v>
      </c>
      <c r="D15" s="2">
        <v>8.6999999999999993</v>
      </c>
      <c r="E15" s="2">
        <v>6</v>
      </c>
      <c r="F15" s="2">
        <v>6</v>
      </c>
      <c r="G15" s="3">
        <v>1.5</v>
      </c>
      <c r="H15" s="4">
        <f t="shared" si="6"/>
        <v>10.35</v>
      </c>
      <c r="I15" s="43"/>
      <c r="J15" s="44"/>
      <c r="K15" s="5"/>
      <c r="L15" s="5" t="str">
        <f t="shared" si="9"/>
        <v>NA</v>
      </c>
      <c r="O15" s="5">
        <f t="shared" si="7"/>
        <v>13.049999999999999</v>
      </c>
      <c r="P15" s="5">
        <f t="shared" si="10"/>
        <v>9</v>
      </c>
      <c r="Q15" s="5">
        <f t="shared" si="11"/>
        <v>9</v>
      </c>
    </row>
    <row r="16" spans="2:29" ht="16.5" thickBot="1" x14ac:dyDescent="0.3">
      <c r="B16" s="24" t="s">
        <v>48</v>
      </c>
      <c r="C16" s="2">
        <f t="shared" si="8"/>
        <v>12.333333333333334</v>
      </c>
      <c r="D16" s="2">
        <v>10.5</v>
      </c>
      <c r="E16" s="2">
        <v>15</v>
      </c>
      <c r="F16" s="2">
        <v>11.5</v>
      </c>
      <c r="G16" s="3">
        <v>1</v>
      </c>
      <c r="H16" s="4">
        <f t="shared" si="6"/>
        <v>12.333333333333334</v>
      </c>
      <c r="I16" s="43"/>
      <c r="J16" s="44"/>
      <c r="K16" s="5"/>
      <c r="L16" s="5" t="str">
        <f t="shared" si="9"/>
        <v>ECA</v>
      </c>
      <c r="O16" s="5">
        <f t="shared" si="7"/>
        <v>10.5</v>
      </c>
      <c r="P16" s="5">
        <f t="shared" si="10"/>
        <v>15</v>
      </c>
      <c r="Q16" s="5">
        <f t="shared" si="11"/>
        <v>11.5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9.6215277777777786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6.4833333333333334</v>
      </c>
      <c r="D20" s="2">
        <v>4.5750000000000002</v>
      </c>
      <c r="E20" s="2">
        <v>6</v>
      </c>
      <c r="F20" s="2">
        <v>8.875</v>
      </c>
      <c r="G20" s="3">
        <v>2</v>
      </c>
      <c r="H20" s="4">
        <f t="shared" ref="H20:H23" si="12">C20*G20</f>
        <v>12.966666666666667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9.15</v>
      </c>
      <c r="P20" s="5">
        <f>E20*G20</f>
        <v>12</v>
      </c>
      <c r="Q20" s="5">
        <f>G20*F20</f>
        <v>17.75</v>
      </c>
    </row>
    <row r="21" spans="2:17" ht="16.5" thickBot="1" x14ac:dyDescent="0.3">
      <c r="B21" s="24" t="s">
        <v>8</v>
      </c>
      <c r="C21" s="2">
        <f t="shared" ref="C21:C23" si="15">(D21+F21+E21)/3</f>
        <v>3.2883333333333336</v>
      </c>
      <c r="D21" s="2">
        <v>3.3650000000000002</v>
      </c>
      <c r="E21" s="2">
        <v>3.5</v>
      </c>
      <c r="F21" s="2">
        <v>3</v>
      </c>
      <c r="G21" s="3">
        <v>4</v>
      </c>
      <c r="H21" s="4">
        <f t="shared" si="12"/>
        <v>13.153333333333334</v>
      </c>
      <c r="I21" s="43"/>
      <c r="J21" s="44"/>
      <c r="K21" s="5"/>
      <c r="L21" s="5" t="str">
        <f t="shared" si="13"/>
        <v>NA</v>
      </c>
      <c r="O21" s="5">
        <f t="shared" si="14"/>
        <v>13.46</v>
      </c>
      <c r="P21" s="5">
        <f t="shared" ref="P21:P23" si="16">E21*G21</f>
        <v>14</v>
      </c>
      <c r="Q21" s="5">
        <f t="shared" ref="Q21:Q23" si="17">G21*F21</f>
        <v>12</v>
      </c>
    </row>
    <row r="22" spans="2:17" ht="16.5" thickBot="1" x14ac:dyDescent="0.3">
      <c r="B22" s="24" t="s">
        <v>52</v>
      </c>
      <c r="C22" s="2">
        <f t="shared" si="15"/>
        <v>7.2333333333333334</v>
      </c>
      <c r="D22" s="2">
        <v>4.9000000000000004</v>
      </c>
      <c r="E22" s="2">
        <v>11.5</v>
      </c>
      <c r="F22" s="2">
        <v>5.3</v>
      </c>
      <c r="G22" s="3">
        <v>2</v>
      </c>
      <c r="H22" s="4">
        <f t="shared" si="12"/>
        <v>14.466666666666667</v>
      </c>
      <c r="I22" s="43"/>
      <c r="J22" s="44"/>
      <c r="K22" s="5"/>
      <c r="L22" s="5" t="str">
        <f t="shared" si="13"/>
        <v>NA</v>
      </c>
      <c r="O22" s="5">
        <f t="shared" si="14"/>
        <v>9.8000000000000007</v>
      </c>
      <c r="P22" s="5">
        <f t="shared" si="16"/>
        <v>23</v>
      </c>
      <c r="Q22" s="5">
        <f t="shared" si="17"/>
        <v>10.6</v>
      </c>
    </row>
    <row r="23" spans="2:17" ht="16.5" thickBot="1" x14ac:dyDescent="0.3">
      <c r="B23" s="24" t="s">
        <v>9</v>
      </c>
      <c r="C23" s="2">
        <f t="shared" si="15"/>
        <v>8.1416666666666675</v>
      </c>
      <c r="D23" s="2">
        <v>8.375</v>
      </c>
      <c r="E23" s="2">
        <v>8</v>
      </c>
      <c r="F23" s="2">
        <v>8.0500000000000007</v>
      </c>
      <c r="G23" s="3">
        <v>2</v>
      </c>
      <c r="H23" s="4">
        <f t="shared" si="12"/>
        <v>16.283333333333335</v>
      </c>
      <c r="I23" s="43"/>
      <c r="J23" s="44"/>
      <c r="K23" s="5"/>
      <c r="L23" s="5" t="str">
        <f t="shared" si="13"/>
        <v>NA</v>
      </c>
      <c r="O23" s="5">
        <f t="shared" si="14"/>
        <v>16.75</v>
      </c>
      <c r="P23" s="5">
        <f t="shared" si="16"/>
        <v>16</v>
      </c>
      <c r="Q23" s="5">
        <f t="shared" si="17"/>
        <v>16.100000000000001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5.6870000000000003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14.75</v>
      </c>
      <c r="D27" s="2">
        <v>14.5</v>
      </c>
      <c r="E27" s="2"/>
      <c r="F27" s="2">
        <v>15</v>
      </c>
      <c r="G27" s="3">
        <v>1</v>
      </c>
      <c r="H27" s="4">
        <f t="shared" ref="H27:H30" si="18">C27*G27</f>
        <v>14.75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14.5</v>
      </c>
      <c r="P27" s="5">
        <f>E27*G27</f>
        <v>0</v>
      </c>
      <c r="Q27" s="5">
        <f>G27*F27</f>
        <v>15</v>
      </c>
    </row>
    <row r="28" spans="2:17" ht="16.5" thickBot="1" x14ac:dyDescent="0.3">
      <c r="B28" s="24" t="s">
        <v>44</v>
      </c>
      <c r="C28" s="2">
        <f t="shared" ref="C28" si="21">(D28+F28+E28)/3</f>
        <v>12.125</v>
      </c>
      <c r="D28" s="2">
        <v>13</v>
      </c>
      <c r="E28" s="2">
        <v>13</v>
      </c>
      <c r="F28" s="2">
        <v>10.375</v>
      </c>
      <c r="G28" s="3">
        <v>2</v>
      </c>
      <c r="H28" s="4">
        <f t="shared" si="18"/>
        <v>24.25</v>
      </c>
      <c r="I28" s="43"/>
      <c r="J28" s="44"/>
      <c r="K28" s="5"/>
      <c r="L28" s="5" t="str">
        <f t="shared" si="19"/>
        <v>ECA</v>
      </c>
      <c r="O28" s="5">
        <f t="shared" si="20"/>
        <v>26</v>
      </c>
      <c r="P28" s="5">
        <f t="shared" ref="P28:P30" si="22">E28*G28</f>
        <v>26</v>
      </c>
      <c r="Q28" s="5">
        <f t="shared" ref="Q28:Q30" si="23">G28*F28</f>
        <v>20.75</v>
      </c>
    </row>
    <row r="29" spans="2:17" ht="16.5" thickBot="1" x14ac:dyDescent="0.3">
      <c r="B29" s="24" t="s">
        <v>45</v>
      </c>
      <c r="C29" s="2">
        <f>(D29+F29+E29)</f>
        <v>14</v>
      </c>
      <c r="D29" s="2">
        <v>14</v>
      </c>
      <c r="E29" s="2"/>
      <c r="F29" s="2">
        <v>0</v>
      </c>
      <c r="G29" s="3">
        <v>1</v>
      </c>
      <c r="H29" s="4">
        <f t="shared" si="18"/>
        <v>14</v>
      </c>
      <c r="I29" s="43"/>
      <c r="J29" s="44"/>
      <c r="K29" s="5"/>
      <c r="L29" s="5" t="str">
        <f t="shared" si="19"/>
        <v>ECA</v>
      </c>
      <c r="O29" s="5">
        <f t="shared" si="20"/>
        <v>14</v>
      </c>
      <c r="P29" s="5">
        <f t="shared" si="22"/>
        <v>0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15.25</v>
      </c>
      <c r="D30" s="2">
        <v>15</v>
      </c>
      <c r="E30" s="2"/>
      <c r="F30" s="2">
        <v>15.5</v>
      </c>
      <c r="G30" s="3">
        <v>1</v>
      </c>
      <c r="H30" s="4">
        <f t="shared" si="18"/>
        <v>15.25</v>
      </c>
      <c r="I30" s="43"/>
      <c r="J30" s="44"/>
      <c r="K30" s="5"/>
      <c r="L30" s="5" t="str">
        <f t="shared" si="19"/>
        <v>A</v>
      </c>
      <c r="O30" s="5">
        <f t="shared" si="20"/>
        <v>15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233.20000000000002</v>
      </c>
      <c r="P31" s="1">
        <f>SUM(P5:P30)</f>
        <v>241</v>
      </c>
      <c r="Q31" s="1">
        <f>SUM(Q5:Q30)</f>
        <v>199.13749999999999</v>
      </c>
    </row>
    <row r="32" spans="2:17" ht="16.149999999999999" customHeight="1" thickBot="1" x14ac:dyDescent="0.3">
      <c r="B32" s="6" t="s">
        <v>14</v>
      </c>
      <c r="C32" s="45">
        <f>(SUM(H27:H30)/SUM(G27:G30))</f>
        <v>13.65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27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7.7733333333333343</v>
      </c>
      <c r="P33" s="1">
        <f>P31/P32</f>
        <v>8.9259259259259256</v>
      </c>
      <c r="Q33" s="1">
        <f>Q31/Q32</f>
        <v>6.8668103448275861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7.7733333333333343</v>
      </c>
      <c r="D36" s="14">
        <f>P33</f>
        <v>8.9259259259259256</v>
      </c>
      <c r="E36" s="14">
        <f>Q33</f>
        <v>6.8668103448275861</v>
      </c>
      <c r="F36" s="35" t="s">
        <v>61</v>
      </c>
      <c r="G36" s="16">
        <f>(H5+H6+H7+H8+H9+H13+H14+H15+H20+H16+H21+H22+H23+H27+H28+H29+H30)/30</f>
        <v>8.1259722222222219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7" zoomScale="80" zoomScaleNormal="80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4.75</v>
      </c>
      <c r="D5" s="2">
        <v>6.1999999999999993</v>
      </c>
      <c r="E5" s="2">
        <v>5.8</v>
      </c>
      <c r="F5" s="2">
        <v>2.25</v>
      </c>
      <c r="G5" s="3">
        <v>3</v>
      </c>
      <c r="H5" s="4">
        <f>C5*G5</f>
        <v>14.25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18.599999999999998</v>
      </c>
      <c r="P5" s="5">
        <f>E5*G5</f>
        <v>17.399999999999999</v>
      </c>
      <c r="Q5" s="5">
        <f>G5*F5</f>
        <v>6.75</v>
      </c>
    </row>
    <row r="6" spans="2:29" ht="16.5" thickBot="1" x14ac:dyDescent="0.3">
      <c r="B6" s="24" t="s">
        <v>50</v>
      </c>
      <c r="C6" s="2">
        <f t="shared" ref="C6:C9" si="0">(D6+F6+E6)/3</f>
        <v>3.9216666666666669</v>
      </c>
      <c r="D6" s="2">
        <v>6.5</v>
      </c>
      <c r="E6" s="2">
        <v>1.2650000000000001</v>
      </c>
      <c r="F6" s="2">
        <v>4</v>
      </c>
      <c r="G6" s="3">
        <v>1</v>
      </c>
      <c r="H6" s="4">
        <f t="shared" ref="H6:H9" si="1">C6*G6</f>
        <v>3.9216666666666669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6.5</v>
      </c>
      <c r="P6" s="5">
        <f t="shared" ref="P6:P9" si="4">E6*G6</f>
        <v>1.2650000000000001</v>
      </c>
      <c r="Q6" s="5">
        <f t="shared" ref="Q6:Q9" si="5">G6*F6</f>
        <v>4</v>
      </c>
    </row>
    <row r="7" spans="2:29" ht="16.5" thickBot="1" x14ac:dyDescent="0.3">
      <c r="B7" s="24" t="s">
        <v>46</v>
      </c>
      <c r="C7" s="2">
        <f t="shared" si="0"/>
        <v>5.1616666666666662</v>
      </c>
      <c r="D7" s="2">
        <v>6.5</v>
      </c>
      <c r="E7" s="2">
        <v>5.7349999999999994</v>
      </c>
      <c r="F7" s="2">
        <v>3.25</v>
      </c>
      <c r="G7" s="3">
        <v>2</v>
      </c>
      <c r="H7" s="4">
        <f t="shared" si="1"/>
        <v>10.323333333333332</v>
      </c>
      <c r="I7" s="43"/>
      <c r="J7" s="44"/>
      <c r="K7" s="5"/>
      <c r="L7" s="5" t="str">
        <f t="shared" si="2"/>
        <v>NA</v>
      </c>
      <c r="O7" s="5">
        <f t="shared" si="3"/>
        <v>13</v>
      </c>
      <c r="P7" s="5">
        <f t="shared" si="4"/>
        <v>11.469999999999999</v>
      </c>
      <c r="Q7" s="5">
        <f t="shared" si="5"/>
        <v>6.5</v>
      </c>
    </row>
    <row r="8" spans="2:29" ht="16.5" thickBot="1" x14ac:dyDescent="0.3">
      <c r="B8" s="24" t="s">
        <v>47</v>
      </c>
      <c r="C8" s="2">
        <f t="shared" si="0"/>
        <v>5.95</v>
      </c>
      <c r="D8" s="2">
        <v>7.65</v>
      </c>
      <c r="E8" s="2">
        <v>5.45</v>
      </c>
      <c r="F8" s="2">
        <v>4.75</v>
      </c>
      <c r="G8" s="3">
        <v>1</v>
      </c>
      <c r="H8" s="4">
        <f t="shared" si="1"/>
        <v>5.95</v>
      </c>
      <c r="I8" s="43"/>
      <c r="J8" s="44"/>
      <c r="K8" s="5"/>
      <c r="L8" s="5" t="str">
        <f t="shared" si="2"/>
        <v>NA</v>
      </c>
      <c r="O8" s="5">
        <f t="shared" si="3"/>
        <v>7.65</v>
      </c>
      <c r="P8" s="5">
        <f t="shared" si="4"/>
        <v>5.45</v>
      </c>
      <c r="Q8" s="5">
        <f t="shared" si="5"/>
        <v>4.75</v>
      </c>
    </row>
    <row r="9" spans="2:29" ht="16.5" thickBot="1" x14ac:dyDescent="0.3">
      <c r="B9" s="24" t="s">
        <v>51</v>
      </c>
      <c r="C9" s="2">
        <f t="shared" si="0"/>
        <v>8.9583333333333339</v>
      </c>
      <c r="D9" s="2">
        <v>13.6</v>
      </c>
      <c r="E9" s="2">
        <v>7.65</v>
      </c>
      <c r="F9" s="2">
        <v>5.625</v>
      </c>
      <c r="G9" s="3">
        <v>2</v>
      </c>
      <c r="H9" s="4">
        <f t="shared" si="1"/>
        <v>17.916666666666668</v>
      </c>
      <c r="I9" s="43"/>
      <c r="J9" s="44"/>
      <c r="K9" s="5"/>
      <c r="L9" s="5" t="str">
        <f t="shared" si="2"/>
        <v>NA</v>
      </c>
      <c r="O9" s="5">
        <f t="shared" si="3"/>
        <v>27.2</v>
      </c>
      <c r="P9" s="5">
        <f t="shared" si="4"/>
        <v>15.3</v>
      </c>
      <c r="Q9" s="5">
        <f t="shared" si="5"/>
        <v>11.25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5.8179629629629623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7.6916666666666664</v>
      </c>
      <c r="D13" s="2">
        <v>9.75</v>
      </c>
      <c r="E13" s="2">
        <v>5.2</v>
      </c>
      <c r="F13" s="2">
        <v>8.125</v>
      </c>
      <c r="G13" s="3">
        <v>2</v>
      </c>
      <c r="H13" s="4">
        <f t="shared" ref="H13:H16" si="6">C13*G13</f>
        <v>15.383333333333333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19.5</v>
      </c>
      <c r="P13" s="5">
        <f>E13*G13</f>
        <v>10.4</v>
      </c>
      <c r="Q13" s="5">
        <f>G13*F13</f>
        <v>16.25</v>
      </c>
    </row>
    <row r="14" spans="2:29" ht="16.5" thickBot="1" x14ac:dyDescent="0.3">
      <c r="B14" s="24" t="s">
        <v>12</v>
      </c>
      <c r="C14" s="2">
        <f t="shared" ref="C14:C16" si="8">(D14+F14+E14)/3</f>
        <v>9.0250000000000004</v>
      </c>
      <c r="D14" s="2">
        <v>10.324999999999999</v>
      </c>
      <c r="E14" s="2">
        <v>6.875</v>
      </c>
      <c r="F14" s="2">
        <v>9.875</v>
      </c>
      <c r="G14" s="3">
        <v>1.5</v>
      </c>
      <c r="H14" s="4">
        <f t="shared" si="6"/>
        <v>13.537500000000001</v>
      </c>
      <c r="I14" s="43"/>
      <c r="J14" s="44"/>
      <c r="K14" s="5"/>
      <c r="L14" s="5" t="str">
        <f t="shared" ref="L14:L16" si="9">IF(C14&lt;11,"NA",IF(C14&lt;15,"ECA",IF(C14&lt;18,"A",IF(C14&lt;20,"A+"))))</f>
        <v>NA</v>
      </c>
      <c r="O14" s="5">
        <f t="shared" si="7"/>
        <v>15.487499999999999</v>
      </c>
      <c r="P14" s="5">
        <f t="shared" ref="P14:P16" si="10">E14*G14</f>
        <v>10.3125</v>
      </c>
      <c r="Q14" s="5">
        <f t="shared" ref="Q14:Q16" si="11">G14*F14</f>
        <v>14.8125</v>
      </c>
    </row>
    <row r="15" spans="2:29" ht="16.5" thickBot="1" x14ac:dyDescent="0.3">
      <c r="B15" s="24" t="s">
        <v>13</v>
      </c>
      <c r="C15" s="2">
        <f t="shared" si="8"/>
        <v>8.3333333333333339</v>
      </c>
      <c r="D15" s="2">
        <v>9.6999999999999993</v>
      </c>
      <c r="E15" s="2">
        <v>8.5500000000000007</v>
      </c>
      <c r="F15" s="2">
        <v>6.75</v>
      </c>
      <c r="G15" s="3">
        <v>1.5</v>
      </c>
      <c r="H15" s="4">
        <f t="shared" si="6"/>
        <v>12.5</v>
      </c>
      <c r="I15" s="43"/>
      <c r="J15" s="44"/>
      <c r="K15" s="5"/>
      <c r="L15" s="5" t="str">
        <f t="shared" si="9"/>
        <v>NA</v>
      </c>
      <c r="O15" s="5">
        <f t="shared" si="7"/>
        <v>14.549999999999999</v>
      </c>
      <c r="P15" s="5">
        <f t="shared" si="10"/>
        <v>12.825000000000001</v>
      </c>
      <c r="Q15" s="5">
        <f t="shared" si="11"/>
        <v>10.125</v>
      </c>
    </row>
    <row r="16" spans="2:29" ht="16.5" thickBot="1" x14ac:dyDescent="0.3">
      <c r="B16" s="24" t="s">
        <v>48</v>
      </c>
      <c r="C16" s="2">
        <f t="shared" si="8"/>
        <v>9.4166666666666661</v>
      </c>
      <c r="D16" s="2">
        <v>9.25</v>
      </c>
      <c r="E16" s="2">
        <v>9</v>
      </c>
      <c r="F16" s="2">
        <v>10</v>
      </c>
      <c r="G16" s="3">
        <v>1</v>
      </c>
      <c r="H16" s="4">
        <f t="shared" si="6"/>
        <v>9.4166666666666661</v>
      </c>
      <c r="I16" s="43"/>
      <c r="J16" s="44"/>
      <c r="K16" s="5"/>
      <c r="L16" s="5" t="str">
        <f t="shared" si="9"/>
        <v>NA</v>
      </c>
      <c r="O16" s="5">
        <f t="shared" si="7"/>
        <v>9.25</v>
      </c>
      <c r="P16" s="5">
        <f t="shared" si="10"/>
        <v>9</v>
      </c>
      <c r="Q16" s="5">
        <f t="shared" si="11"/>
        <v>10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8.4729166666666664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5.791666666666667</v>
      </c>
      <c r="D20" s="2">
        <v>5.75</v>
      </c>
      <c r="E20" s="2">
        <v>4.375</v>
      </c>
      <c r="F20" s="2">
        <v>7.25</v>
      </c>
      <c r="G20" s="3">
        <v>2</v>
      </c>
      <c r="H20" s="4">
        <f t="shared" ref="H20:H23" si="12">C20*G20</f>
        <v>11.583333333333334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11.5</v>
      </c>
      <c r="P20" s="5">
        <f>E20*G20</f>
        <v>8.75</v>
      </c>
      <c r="Q20" s="5">
        <f>G20*F20</f>
        <v>14.5</v>
      </c>
    </row>
    <row r="21" spans="2:17" ht="16.5" thickBot="1" x14ac:dyDescent="0.3">
      <c r="B21" s="24" t="s">
        <v>8</v>
      </c>
      <c r="C21" s="2">
        <f t="shared" ref="C21:C23" si="15">(D21+F21+E21)/3</f>
        <v>4.3816666666666668</v>
      </c>
      <c r="D21" s="2">
        <v>7.2749999999999995</v>
      </c>
      <c r="E21" s="2">
        <v>3.17</v>
      </c>
      <c r="F21" s="2">
        <v>2.7</v>
      </c>
      <c r="G21" s="3">
        <v>4</v>
      </c>
      <c r="H21" s="4">
        <f t="shared" si="12"/>
        <v>17.526666666666667</v>
      </c>
      <c r="I21" s="43"/>
      <c r="J21" s="44"/>
      <c r="K21" s="5"/>
      <c r="L21" s="5" t="str">
        <f t="shared" si="13"/>
        <v>NA</v>
      </c>
      <c r="O21" s="5">
        <f t="shared" si="14"/>
        <v>29.099999999999998</v>
      </c>
      <c r="P21" s="5">
        <f t="shared" ref="P21:P23" si="16">E21*G21</f>
        <v>12.68</v>
      </c>
      <c r="Q21" s="5">
        <f t="shared" ref="Q21:Q23" si="17">G21*F21</f>
        <v>10.8</v>
      </c>
    </row>
    <row r="22" spans="2:17" ht="16.5" thickBot="1" x14ac:dyDescent="0.3">
      <c r="B22" s="24" t="s">
        <v>52</v>
      </c>
      <c r="C22" s="2">
        <f t="shared" si="15"/>
        <v>5.05</v>
      </c>
      <c r="D22" s="2">
        <v>6.8249999999999993</v>
      </c>
      <c r="E22" s="2">
        <v>5.2</v>
      </c>
      <c r="F22" s="2">
        <v>3.125</v>
      </c>
      <c r="G22" s="3">
        <v>2</v>
      </c>
      <c r="H22" s="4">
        <f t="shared" si="12"/>
        <v>10.1</v>
      </c>
      <c r="I22" s="43"/>
      <c r="J22" s="44"/>
      <c r="K22" s="5"/>
      <c r="L22" s="5" t="str">
        <f t="shared" si="13"/>
        <v>NA</v>
      </c>
      <c r="O22" s="5">
        <f t="shared" si="14"/>
        <v>13.649999999999999</v>
      </c>
      <c r="P22" s="5">
        <f t="shared" si="16"/>
        <v>10.4</v>
      </c>
      <c r="Q22" s="5">
        <f t="shared" si="17"/>
        <v>6.25</v>
      </c>
    </row>
    <row r="23" spans="2:17" ht="16.5" thickBot="1" x14ac:dyDescent="0.3">
      <c r="B23" s="24" t="s">
        <v>9</v>
      </c>
      <c r="C23" s="2">
        <f t="shared" si="15"/>
        <v>5.1499999999999995</v>
      </c>
      <c r="D23" s="2">
        <v>7.5</v>
      </c>
      <c r="E23" s="2">
        <v>4.2</v>
      </c>
      <c r="F23" s="2">
        <v>3.75</v>
      </c>
      <c r="G23" s="3">
        <v>2</v>
      </c>
      <c r="H23" s="4">
        <f t="shared" si="12"/>
        <v>10.299999999999999</v>
      </c>
      <c r="I23" s="43"/>
      <c r="J23" s="44"/>
      <c r="K23" s="5"/>
      <c r="L23" s="5" t="str">
        <f t="shared" si="13"/>
        <v>NA</v>
      </c>
      <c r="O23" s="5">
        <f t="shared" si="14"/>
        <v>15</v>
      </c>
      <c r="P23" s="5">
        <f t="shared" si="16"/>
        <v>8.4</v>
      </c>
      <c r="Q23" s="5">
        <f t="shared" si="17"/>
        <v>7.5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4.9509999999999996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11.75</v>
      </c>
      <c r="D27" s="2">
        <v>11.5</v>
      </c>
      <c r="E27" s="2">
        <v>0</v>
      </c>
      <c r="F27" s="2">
        <v>12</v>
      </c>
      <c r="G27" s="3">
        <v>1</v>
      </c>
      <c r="H27" s="4">
        <f t="shared" ref="H27:H30" si="18">C27*G27</f>
        <v>11.75</v>
      </c>
      <c r="I27" s="43"/>
      <c r="J27" s="44"/>
      <c r="K27" s="5"/>
      <c r="L27" s="5" t="str">
        <f t="shared" ref="L27:L30" si="19">IF(C27&lt;11,"NA",IF(C27&lt;15,"ECA",IF(C27&lt;18,"A",IF(C27&lt;20,"A+"))))</f>
        <v>ECA</v>
      </c>
      <c r="O27" s="5">
        <f t="shared" ref="O27:O30" si="20">D27*G27</f>
        <v>11.5</v>
      </c>
      <c r="P27" s="5">
        <f>E27*G27</f>
        <v>0</v>
      </c>
      <c r="Q27" s="5">
        <f>G27*F27</f>
        <v>12</v>
      </c>
    </row>
    <row r="28" spans="2:17" ht="16.5" thickBot="1" x14ac:dyDescent="0.3">
      <c r="B28" s="24" t="s">
        <v>44</v>
      </c>
      <c r="C28" s="2">
        <f t="shared" ref="C28" si="21">(D28+F28+E28)/3</f>
        <v>9.2083333333333339</v>
      </c>
      <c r="D28" s="2">
        <v>11.75</v>
      </c>
      <c r="E28" s="2">
        <v>8.75</v>
      </c>
      <c r="F28" s="2">
        <v>7.125</v>
      </c>
      <c r="G28" s="3">
        <v>2</v>
      </c>
      <c r="H28" s="4">
        <f t="shared" si="18"/>
        <v>18.416666666666668</v>
      </c>
      <c r="I28" s="43"/>
      <c r="J28" s="44"/>
      <c r="K28" s="5"/>
      <c r="L28" s="5" t="str">
        <f t="shared" si="19"/>
        <v>NA</v>
      </c>
      <c r="O28" s="5">
        <f t="shared" si="20"/>
        <v>23.5</v>
      </c>
      <c r="P28" s="5">
        <f t="shared" ref="P28:P30" si="22">E28*G28</f>
        <v>17.5</v>
      </c>
      <c r="Q28" s="5">
        <f t="shared" ref="Q28:Q30" si="23">G28*F28</f>
        <v>14.25</v>
      </c>
    </row>
    <row r="29" spans="2:17" ht="16.5" thickBot="1" x14ac:dyDescent="0.3">
      <c r="B29" s="24" t="s">
        <v>45</v>
      </c>
      <c r="C29" s="2">
        <f>(D29+F29+E29)/2</f>
        <v>10.5</v>
      </c>
      <c r="D29" s="2">
        <v>11</v>
      </c>
      <c r="E29" s="2">
        <v>10</v>
      </c>
      <c r="F29" s="2">
        <v>0</v>
      </c>
      <c r="G29" s="3">
        <v>1</v>
      </c>
      <c r="H29" s="4">
        <f t="shared" si="18"/>
        <v>10.5</v>
      </c>
      <c r="I29" s="43"/>
      <c r="J29" s="44"/>
      <c r="K29" s="5"/>
      <c r="L29" s="5" t="str">
        <f t="shared" si="19"/>
        <v>NA</v>
      </c>
      <c r="O29" s="5">
        <f t="shared" si="20"/>
        <v>11</v>
      </c>
      <c r="P29" s="5">
        <f t="shared" si="22"/>
        <v>10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15.5</v>
      </c>
      <c r="D30" s="2">
        <v>15.5</v>
      </c>
      <c r="E30" s="2">
        <v>0</v>
      </c>
      <c r="F30" s="2">
        <v>15.5</v>
      </c>
      <c r="G30" s="3">
        <v>1</v>
      </c>
      <c r="H30" s="4">
        <f t="shared" si="18"/>
        <v>15.5</v>
      </c>
      <c r="I30" s="43"/>
      <c r="J30" s="44"/>
      <c r="K30" s="5"/>
      <c r="L30" s="5" t="str">
        <f t="shared" si="19"/>
        <v>A</v>
      </c>
      <c r="O30" s="5">
        <f t="shared" si="20"/>
        <v>15.5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262.48749999999995</v>
      </c>
      <c r="P31" s="1">
        <f>SUM(P5:P30)</f>
        <v>161.1525</v>
      </c>
      <c r="Q31" s="1">
        <f>SUM(Q5:Q30)</f>
        <v>165.23750000000001</v>
      </c>
    </row>
    <row r="32" spans="2:17" ht="16.149999999999999" customHeight="1" thickBot="1" x14ac:dyDescent="0.3">
      <c r="B32" s="6" t="s">
        <v>14</v>
      </c>
      <c r="C32" s="45">
        <f>(SUM(H27:H30)/SUM(G27:G30))</f>
        <v>11.233333333333334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8.7495833333333319</v>
      </c>
      <c r="P33" s="1">
        <f>P31/P32</f>
        <v>5.7554464285714291</v>
      </c>
      <c r="Q33" s="1">
        <f>Q31/Q32</f>
        <v>5.6978448275862075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8.7495833333333319</v>
      </c>
      <c r="D36" s="14">
        <f>P33</f>
        <v>5.7554464285714291</v>
      </c>
      <c r="E36" s="14">
        <f>Q33</f>
        <v>5.6978448275862075</v>
      </c>
      <c r="F36" s="35" t="s">
        <v>61</v>
      </c>
      <c r="G36" s="16">
        <f>(H5+H6+H7+H8+H9+H13+H14+H15+H20+H16+H21+H22+H23+H27+H28+H29+H30)/30</f>
        <v>6.9625277777777779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I30:J30"/>
    <mergeCell ref="C32:F32"/>
    <mergeCell ref="G32:H32"/>
    <mergeCell ref="J32:L32"/>
    <mergeCell ref="B33:L33"/>
    <mergeCell ref="B38:L38"/>
    <mergeCell ref="B39:L39"/>
    <mergeCell ref="C40:F40"/>
    <mergeCell ref="G40:L41"/>
    <mergeCell ref="C41:F43"/>
    <mergeCell ref="G42:J42"/>
    <mergeCell ref="K42:L42"/>
    <mergeCell ref="G34:H34"/>
    <mergeCell ref="J34:K34"/>
    <mergeCell ref="I35:L35"/>
    <mergeCell ref="I36:J36"/>
    <mergeCell ref="B37:H37"/>
    <mergeCell ref="I37:L37"/>
    <mergeCell ref="I27:J27"/>
    <mergeCell ref="I28:J28"/>
    <mergeCell ref="I29:J29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  <mergeCell ref="B24:L24"/>
    <mergeCell ref="C25:F25"/>
    <mergeCell ref="G25:H25"/>
    <mergeCell ref="J25:L25"/>
    <mergeCell ref="I4:J4"/>
    <mergeCell ref="I5:J5"/>
    <mergeCell ref="I6:J6"/>
    <mergeCell ref="I7:J7"/>
    <mergeCell ref="B26:L26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6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5.1333333333333337</v>
      </c>
      <c r="D5" s="2">
        <v>7.8</v>
      </c>
      <c r="E5" s="2">
        <v>6.1</v>
      </c>
      <c r="F5" s="2">
        <v>1.5</v>
      </c>
      <c r="G5" s="3">
        <v>3</v>
      </c>
      <c r="H5" s="4">
        <f>C5*G5</f>
        <v>15.400000000000002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23.4</v>
      </c>
      <c r="P5" s="5">
        <f>E5*G5</f>
        <v>18.299999999999997</v>
      </c>
      <c r="Q5" s="5">
        <f>G5*F5</f>
        <v>4.5</v>
      </c>
    </row>
    <row r="6" spans="2:29" ht="16.5" thickBot="1" x14ac:dyDescent="0.3">
      <c r="B6" s="24" t="s">
        <v>50</v>
      </c>
      <c r="C6" s="2">
        <f t="shared" ref="C6:C9" si="0">(D6+F6+E6)/3</f>
        <v>5.7566666666666668</v>
      </c>
      <c r="D6" s="2">
        <v>3.35</v>
      </c>
      <c r="E6" s="2">
        <v>2.92</v>
      </c>
      <c r="F6" s="2">
        <v>11</v>
      </c>
      <c r="G6" s="3">
        <v>1</v>
      </c>
      <c r="H6" s="4">
        <f t="shared" ref="H6:H9" si="1">C6*G6</f>
        <v>5.7566666666666668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3.35</v>
      </c>
      <c r="P6" s="5">
        <f t="shared" ref="P6:P9" si="4">E6*G6</f>
        <v>2.92</v>
      </c>
      <c r="Q6" s="5">
        <f t="shared" ref="Q6:Q9" si="5">G6*F6</f>
        <v>11</v>
      </c>
    </row>
    <row r="7" spans="2:29" ht="16.5" thickBot="1" x14ac:dyDescent="0.3">
      <c r="B7" s="24" t="s">
        <v>46</v>
      </c>
      <c r="C7" s="2">
        <f t="shared" si="0"/>
        <v>8.75</v>
      </c>
      <c r="D7" s="2">
        <v>9.65</v>
      </c>
      <c r="E7" s="2">
        <v>7.6</v>
      </c>
      <c r="F7" s="2">
        <v>9</v>
      </c>
      <c r="G7" s="3">
        <v>2</v>
      </c>
      <c r="H7" s="4">
        <f t="shared" si="1"/>
        <v>17.5</v>
      </c>
      <c r="I7" s="43"/>
      <c r="J7" s="44"/>
      <c r="K7" s="5"/>
      <c r="L7" s="5" t="str">
        <f t="shared" si="2"/>
        <v>NA</v>
      </c>
      <c r="O7" s="5">
        <f t="shared" si="3"/>
        <v>19.3</v>
      </c>
      <c r="P7" s="5">
        <f t="shared" si="4"/>
        <v>15.2</v>
      </c>
      <c r="Q7" s="5">
        <f t="shared" si="5"/>
        <v>18</v>
      </c>
    </row>
    <row r="8" spans="2:29" ht="16.5" thickBot="1" x14ac:dyDescent="0.3">
      <c r="B8" s="24" t="s">
        <v>47</v>
      </c>
      <c r="C8" s="2">
        <f t="shared" si="0"/>
        <v>9.1950000000000003</v>
      </c>
      <c r="D8" s="2">
        <v>8.8000000000000007</v>
      </c>
      <c r="E8" s="2">
        <v>7.7850000000000001</v>
      </c>
      <c r="F8" s="2">
        <v>11</v>
      </c>
      <c r="G8" s="3">
        <v>1</v>
      </c>
      <c r="H8" s="4">
        <f t="shared" si="1"/>
        <v>9.1950000000000003</v>
      </c>
      <c r="I8" s="43"/>
      <c r="J8" s="44"/>
      <c r="K8" s="5"/>
      <c r="L8" s="5" t="str">
        <f t="shared" si="2"/>
        <v>NA</v>
      </c>
      <c r="O8" s="5">
        <f t="shared" si="3"/>
        <v>8.8000000000000007</v>
      </c>
      <c r="P8" s="5">
        <f t="shared" si="4"/>
        <v>7.7850000000000001</v>
      </c>
      <c r="Q8" s="5">
        <f t="shared" si="5"/>
        <v>11</v>
      </c>
    </row>
    <row r="9" spans="2:29" ht="16.5" thickBot="1" x14ac:dyDescent="0.3">
      <c r="B9" s="24" t="s">
        <v>51</v>
      </c>
      <c r="C9" s="2">
        <f t="shared" si="0"/>
        <v>7.8166666666666664</v>
      </c>
      <c r="D9" s="2">
        <v>9.4499999999999993</v>
      </c>
      <c r="E9" s="2">
        <v>8.75</v>
      </c>
      <c r="F9" s="2">
        <v>5.25</v>
      </c>
      <c r="G9" s="3">
        <v>2</v>
      </c>
      <c r="H9" s="4">
        <f t="shared" si="1"/>
        <v>15.633333333333333</v>
      </c>
      <c r="I9" s="43"/>
      <c r="J9" s="44"/>
      <c r="K9" s="5"/>
      <c r="L9" s="5" t="str">
        <f t="shared" si="2"/>
        <v>NA</v>
      </c>
      <c r="O9" s="5">
        <f t="shared" si="3"/>
        <v>18.899999999999999</v>
      </c>
      <c r="P9" s="5">
        <f t="shared" si="4"/>
        <v>17.5</v>
      </c>
      <c r="Q9" s="5">
        <f t="shared" si="5"/>
        <v>10.5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7.0538888888888884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9.8583333333333325</v>
      </c>
      <c r="D13" s="2">
        <v>8.4499999999999993</v>
      </c>
      <c r="E13" s="2">
        <v>10.125</v>
      </c>
      <c r="F13" s="2">
        <v>11</v>
      </c>
      <c r="G13" s="3">
        <v>2</v>
      </c>
      <c r="H13" s="4">
        <f t="shared" ref="H13:H16" si="6">C13*G13</f>
        <v>19.716666666666665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16.899999999999999</v>
      </c>
      <c r="P13" s="5">
        <f>E13*G13</f>
        <v>20.25</v>
      </c>
      <c r="Q13" s="5">
        <f>G13*F13</f>
        <v>22</v>
      </c>
    </row>
    <row r="14" spans="2:29" ht="16.5" thickBot="1" x14ac:dyDescent="0.3">
      <c r="B14" s="24" t="s">
        <v>12</v>
      </c>
      <c r="C14" s="2">
        <f t="shared" ref="C14:C16" si="8">(D14+F14+E14)/3</f>
        <v>11.725</v>
      </c>
      <c r="D14" s="2">
        <v>9</v>
      </c>
      <c r="E14" s="2">
        <v>11.925000000000001</v>
      </c>
      <c r="F14" s="2">
        <v>14.25</v>
      </c>
      <c r="G14" s="3">
        <v>1.5</v>
      </c>
      <c r="H14" s="4">
        <f t="shared" si="6"/>
        <v>17.587499999999999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13.5</v>
      </c>
      <c r="P14" s="5">
        <f t="shared" ref="P14:P16" si="10">E14*G14</f>
        <v>17.887500000000003</v>
      </c>
      <c r="Q14" s="5">
        <f t="shared" ref="Q14:Q16" si="11">G14*F14</f>
        <v>21.375</v>
      </c>
    </row>
    <row r="15" spans="2:29" ht="16.5" thickBot="1" x14ac:dyDescent="0.3">
      <c r="B15" s="24" t="s">
        <v>13</v>
      </c>
      <c r="C15" s="2">
        <f t="shared" si="8"/>
        <v>8.7166666666666668</v>
      </c>
      <c r="D15" s="2">
        <v>6.75</v>
      </c>
      <c r="E15" s="2">
        <v>10.4</v>
      </c>
      <c r="F15" s="2">
        <v>9</v>
      </c>
      <c r="G15" s="3">
        <v>1.5</v>
      </c>
      <c r="H15" s="4">
        <f t="shared" si="6"/>
        <v>13.074999999999999</v>
      </c>
      <c r="I15" s="43"/>
      <c r="J15" s="44"/>
      <c r="K15" s="5"/>
      <c r="L15" s="5" t="str">
        <f t="shared" si="9"/>
        <v>NA</v>
      </c>
      <c r="O15" s="5">
        <f t="shared" si="7"/>
        <v>10.125</v>
      </c>
      <c r="P15" s="5">
        <f t="shared" si="10"/>
        <v>15.600000000000001</v>
      </c>
      <c r="Q15" s="5">
        <f t="shared" si="11"/>
        <v>13.5</v>
      </c>
    </row>
    <row r="16" spans="2:29" ht="16.5" thickBot="1" x14ac:dyDescent="0.3">
      <c r="B16" s="24" t="s">
        <v>48</v>
      </c>
      <c r="C16" s="2">
        <f t="shared" si="8"/>
        <v>10.875</v>
      </c>
      <c r="D16" s="2">
        <v>11.375</v>
      </c>
      <c r="E16" s="2">
        <v>9</v>
      </c>
      <c r="F16" s="2">
        <v>12.25</v>
      </c>
      <c r="G16" s="3">
        <v>1</v>
      </c>
      <c r="H16" s="4">
        <f t="shared" si="6"/>
        <v>10.875</v>
      </c>
      <c r="I16" s="43"/>
      <c r="J16" s="44"/>
      <c r="K16" s="5"/>
      <c r="L16" s="5" t="str">
        <f t="shared" si="9"/>
        <v>NA</v>
      </c>
      <c r="O16" s="5">
        <f t="shared" si="7"/>
        <v>11.375</v>
      </c>
      <c r="P16" s="5">
        <f t="shared" si="10"/>
        <v>9</v>
      </c>
      <c r="Q16" s="5">
        <f t="shared" si="11"/>
        <v>12.25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10.209027777777777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7.4083333333333341</v>
      </c>
      <c r="D20" s="2">
        <v>5.7249999999999996</v>
      </c>
      <c r="E20" s="2">
        <v>8.25</v>
      </c>
      <c r="F20" s="2">
        <v>8.25</v>
      </c>
      <c r="G20" s="3">
        <v>2</v>
      </c>
      <c r="H20" s="4">
        <f t="shared" ref="H20:H23" si="12">C20*G20</f>
        <v>14.816666666666668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11.45</v>
      </c>
      <c r="P20" s="5">
        <f>E20*G20</f>
        <v>16.5</v>
      </c>
      <c r="Q20" s="5">
        <f>G20*F20</f>
        <v>16.5</v>
      </c>
    </row>
    <row r="21" spans="2:17" ht="16.5" thickBot="1" x14ac:dyDescent="0.3">
      <c r="B21" s="24" t="s">
        <v>8</v>
      </c>
      <c r="C21" s="2">
        <f t="shared" ref="C21:C23" si="15">(D21+F21+E21)/3</f>
        <v>4.5550000000000006</v>
      </c>
      <c r="D21" s="2">
        <v>5.085</v>
      </c>
      <c r="E21" s="2">
        <v>5.08</v>
      </c>
      <c r="F21" s="2">
        <v>3.5</v>
      </c>
      <c r="G21" s="3">
        <v>4</v>
      </c>
      <c r="H21" s="4">
        <f t="shared" si="12"/>
        <v>18.220000000000002</v>
      </c>
      <c r="I21" s="43"/>
      <c r="J21" s="44"/>
      <c r="K21" s="5"/>
      <c r="L21" s="5" t="str">
        <f t="shared" si="13"/>
        <v>NA</v>
      </c>
      <c r="O21" s="5">
        <f t="shared" si="14"/>
        <v>20.34</v>
      </c>
      <c r="P21" s="5">
        <f t="shared" ref="P21:P23" si="16">E21*G21</f>
        <v>20.32</v>
      </c>
      <c r="Q21" s="5">
        <f t="shared" ref="Q21:Q23" si="17">G21*F21</f>
        <v>14</v>
      </c>
    </row>
    <row r="22" spans="2:17" ht="16.5" thickBot="1" x14ac:dyDescent="0.3">
      <c r="B22" s="24" t="s">
        <v>52</v>
      </c>
      <c r="C22" s="2">
        <f t="shared" si="15"/>
        <v>6.0333333333333341</v>
      </c>
      <c r="D22" s="2">
        <v>4.7750000000000004</v>
      </c>
      <c r="E22" s="2">
        <v>7.5750000000000002</v>
      </c>
      <c r="F22" s="2">
        <v>5.75</v>
      </c>
      <c r="G22" s="3">
        <v>2</v>
      </c>
      <c r="H22" s="4">
        <f t="shared" si="12"/>
        <v>12.066666666666668</v>
      </c>
      <c r="I22" s="43"/>
      <c r="J22" s="44"/>
      <c r="K22" s="5"/>
      <c r="L22" s="5" t="str">
        <f t="shared" si="13"/>
        <v>NA</v>
      </c>
      <c r="O22" s="5">
        <f t="shared" si="14"/>
        <v>9.5500000000000007</v>
      </c>
      <c r="P22" s="5">
        <f t="shared" si="16"/>
        <v>15.15</v>
      </c>
      <c r="Q22" s="5">
        <f t="shared" si="17"/>
        <v>11.5</v>
      </c>
    </row>
    <row r="23" spans="2:17" ht="16.5" thickBot="1" x14ac:dyDescent="0.3">
      <c r="B23" s="24" t="s">
        <v>9</v>
      </c>
      <c r="C23" s="2">
        <f t="shared" si="15"/>
        <v>7.5583333333333327</v>
      </c>
      <c r="D23" s="2">
        <v>7.8250000000000002</v>
      </c>
      <c r="E23" s="2">
        <v>8.1</v>
      </c>
      <c r="F23" s="2">
        <v>6.75</v>
      </c>
      <c r="G23" s="3">
        <v>2</v>
      </c>
      <c r="H23" s="4">
        <f t="shared" si="12"/>
        <v>15.116666666666665</v>
      </c>
      <c r="I23" s="43"/>
      <c r="J23" s="44"/>
      <c r="K23" s="5"/>
      <c r="L23" s="5" t="str">
        <f t="shared" si="13"/>
        <v>NA</v>
      </c>
      <c r="O23" s="5">
        <f t="shared" si="14"/>
        <v>15.65</v>
      </c>
      <c r="P23" s="5">
        <f t="shared" si="16"/>
        <v>16.2</v>
      </c>
      <c r="Q23" s="5">
        <f t="shared" si="17"/>
        <v>13.5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6.0220000000000002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6.75</v>
      </c>
      <c r="D27" s="2">
        <v>13.5</v>
      </c>
      <c r="E27" s="2">
        <v>0</v>
      </c>
      <c r="F27" s="2">
        <v>0</v>
      </c>
      <c r="G27" s="3">
        <v>1</v>
      </c>
      <c r="H27" s="4">
        <f t="shared" ref="H27:H30" si="18">C27*G27</f>
        <v>6.75</v>
      </c>
      <c r="I27" s="43"/>
      <c r="J27" s="44"/>
      <c r="K27" s="5"/>
      <c r="L27" s="5" t="str">
        <f t="shared" ref="L27:L30" si="19">IF(C27&lt;11,"NA",IF(C27&lt;15,"ECA",IF(C27&lt;18,"A",IF(C27&lt;20,"A+"))))</f>
        <v>NA</v>
      </c>
      <c r="O27" s="5">
        <f t="shared" ref="O27:O30" si="20">D27*G27</f>
        <v>13.5</v>
      </c>
      <c r="P27" s="5">
        <f>E27*G27</f>
        <v>0</v>
      </c>
      <c r="Q27" s="5">
        <f>G27*F27</f>
        <v>0</v>
      </c>
    </row>
    <row r="28" spans="2:17" ht="16.5" thickBot="1" x14ac:dyDescent="0.3">
      <c r="B28" s="24" t="s">
        <v>44</v>
      </c>
      <c r="C28" s="2">
        <f t="shared" ref="C28" si="21">(D28+F28+E28)/3</f>
        <v>12.25</v>
      </c>
      <c r="D28" s="2">
        <v>14</v>
      </c>
      <c r="E28" s="2">
        <v>11.75</v>
      </c>
      <c r="F28" s="2">
        <v>11</v>
      </c>
      <c r="G28" s="3">
        <v>2</v>
      </c>
      <c r="H28" s="4">
        <f t="shared" si="18"/>
        <v>24.5</v>
      </c>
      <c r="I28" s="43"/>
      <c r="J28" s="44"/>
      <c r="K28" s="5"/>
      <c r="L28" s="5" t="str">
        <f t="shared" si="19"/>
        <v>ECA</v>
      </c>
      <c r="O28" s="5">
        <f t="shared" si="20"/>
        <v>28</v>
      </c>
      <c r="P28" s="5">
        <f t="shared" ref="P28:P30" si="22">E28*G28</f>
        <v>23.5</v>
      </c>
      <c r="Q28" s="5">
        <f t="shared" ref="Q28:Q30" si="23">G28*F28</f>
        <v>22</v>
      </c>
    </row>
    <row r="29" spans="2:17" ht="16.5" thickBot="1" x14ac:dyDescent="0.3">
      <c r="B29" s="24" t="s">
        <v>45</v>
      </c>
      <c r="C29" s="2">
        <f>(D29+F29+E29)/2</f>
        <v>12.75</v>
      </c>
      <c r="D29" s="2">
        <v>9.5</v>
      </c>
      <c r="E29" s="2">
        <v>16</v>
      </c>
      <c r="F29" s="2">
        <v>0</v>
      </c>
      <c r="G29" s="3">
        <v>1</v>
      </c>
      <c r="H29" s="4">
        <f t="shared" si="18"/>
        <v>12.75</v>
      </c>
      <c r="I29" s="43"/>
      <c r="J29" s="44"/>
      <c r="K29" s="5"/>
      <c r="L29" s="5" t="str">
        <f t="shared" si="19"/>
        <v>ECA</v>
      </c>
      <c r="O29" s="5">
        <f t="shared" si="20"/>
        <v>9.5</v>
      </c>
      <c r="P29" s="5">
        <f t="shared" si="22"/>
        <v>16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15.25</v>
      </c>
      <c r="D30" s="2">
        <v>13.5</v>
      </c>
      <c r="E30" s="2">
        <v>0</v>
      </c>
      <c r="F30" s="2">
        <v>17</v>
      </c>
      <c r="G30" s="3">
        <v>1</v>
      </c>
      <c r="H30" s="4">
        <f t="shared" si="18"/>
        <v>15.25</v>
      </c>
      <c r="I30" s="43"/>
      <c r="J30" s="44"/>
      <c r="K30" s="5"/>
      <c r="L30" s="5" t="str">
        <f t="shared" si="19"/>
        <v>A</v>
      </c>
      <c r="O30" s="5">
        <f t="shared" si="20"/>
        <v>13.5</v>
      </c>
      <c r="P30" s="5">
        <f t="shared" si="22"/>
        <v>0</v>
      </c>
      <c r="Q30" s="5">
        <f t="shared" si="23"/>
        <v>17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247.14000000000001</v>
      </c>
      <c r="P31" s="1">
        <f>SUM(P5:P30)</f>
        <v>232.11249999999998</v>
      </c>
      <c r="Q31" s="1">
        <f>SUM(Q5:Q30)</f>
        <v>218.625</v>
      </c>
    </row>
    <row r="32" spans="2:17" ht="16.149999999999999" customHeight="1" thickBot="1" x14ac:dyDescent="0.3">
      <c r="B32" s="6" t="s">
        <v>14</v>
      </c>
      <c r="C32" s="45">
        <f>(SUM(H27:H30)/SUM(G27:G30))</f>
        <v>11.85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28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8.2380000000000013</v>
      </c>
      <c r="P33" s="1">
        <f>P31/P32</f>
        <v>8.289732142857142</v>
      </c>
      <c r="Q33" s="1">
        <f>Q31/Q32</f>
        <v>7.8080357142857144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8.2380000000000013</v>
      </c>
      <c r="D36" s="14">
        <f>P33</f>
        <v>8.289732142857142</v>
      </c>
      <c r="E36" s="14">
        <f>Q33</f>
        <v>7.8080357142857144</v>
      </c>
      <c r="F36" s="35" t="s">
        <v>61</v>
      </c>
      <c r="G36" s="16">
        <f>(H5+H6+H7+H8+H9+H13+H14+H15+H20+H16+H21+H22+H23+H27+H28+H29+H30)/30</f>
        <v>8.140305555555555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3" zoomScale="80" zoomScaleNormal="80" workbookViewId="0">
      <selection activeCell="F36" sqref="F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7.166666666666667</v>
      </c>
      <c r="D5" s="2">
        <v>6.8</v>
      </c>
      <c r="E5" s="2">
        <v>8.6999999999999993</v>
      </c>
      <c r="F5" s="2">
        <v>6</v>
      </c>
      <c r="G5" s="3">
        <v>3</v>
      </c>
      <c r="H5" s="4">
        <f>C5*G5</f>
        <v>21.5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20.399999999999999</v>
      </c>
      <c r="P5" s="5">
        <f>E5*G5</f>
        <v>26.099999999999998</v>
      </c>
      <c r="Q5" s="5">
        <f>G5*F5</f>
        <v>18</v>
      </c>
    </row>
    <row r="6" spans="2:29" ht="16.5" thickBot="1" x14ac:dyDescent="0.3">
      <c r="B6" s="24" t="s">
        <v>50</v>
      </c>
      <c r="C6" s="2">
        <f t="shared" ref="C6:C9" si="0">(D6+F6+E6)/3</f>
        <v>6.7549999999999999</v>
      </c>
      <c r="D6" s="2">
        <v>3.45</v>
      </c>
      <c r="E6" s="2">
        <v>3.69</v>
      </c>
      <c r="F6" s="2">
        <v>13.125</v>
      </c>
      <c r="G6" s="3">
        <v>1</v>
      </c>
      <c r="H6" s="4">
        <f t="shared" ref="H6:H9" si="1">C6*G6</f>
        <v>6.7549999999999999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3.45</v>
      </c>
      <c r="P6" s="5">
        <f t="shared" ref="P6:P9" si="4">E6*G6</f>
        <v>3.69</v>
      </c>
      <c r="Q6" s="5">
        <f t="shared" ref="Q6:Q9" si="5">G6*F6</f>
        <v>13.125</v>
      </c>
    </row>
    <row r="7" spans="2:29" ht="16.5" thickBot="1" x14ac:dyDescent="0.3">
      <c r="B7" s="24" t="s">
        <v>46</v>
      </c>
      <c r="C7" s="2">
        <f t="shared" si="0"/>
        <v>10.916666666666666</v>
      </c>
      <c r="D7" s="2">
        <v>9.6999999999999993</v>
      </c>
      <c r="E7" s="2">
        <v>12.55</v>
      </c>
      <c r="F7" s="2">
        <v>10.5</v>
      </c>
      <c r="G7" s="3">
        <v>2</v>
      </c>
      <c r="H7" s="4">
        <f t="shared" si="1"/>
        <v>21.833333333333332</v>
      </c>
      <c r="I7" s="43"/>
      <c r="J7" s="44"/>
      <c r="K7" s="5"/>
      <c r="L7" s="5" t="str">
        <f t="shared" si="2"/>
        <v>NA</v>
      </c>
      <c r="O7" s="5">
        <f t="shared" si="3"/>
        <v>19.399999999999999</v>
      </c>
      <c r="P7" s="5">
        <f t="shared" si="4"/>
        <v>25.1</v>
      </c>
      <c r="Q7" s="5">
        <f t="shared" si="5"/>
        <v>21</v>
      </c>
    </row>
    <row r="8" spans="2:29" ht="16.5" thickBot="1" x14ac:dyDescent="0.3">
      <c r="B8" s="24" t="s">
        <v>47</v>
      </c>
      <c r="C8" s="2">
        <f t="shared" si="0"/>
        <v>7.7450000000000001</v>
      </c>
      <c r="D8" s="2">
        <v>8.5350000000000001</v>
      </c>
      <c r="E8" s="2">
        <v>6.1999999999999993</v>
      </c>
      <c r="F8" s="2">
        <v>8.5</v>
      </c>
      <c r="G8" s="3">
        <v>1</v>
      </c>
      <c r="H8" s="4">
        <f t="shared" si="1"/>
        <v>7.7450000000000001</v>
      </c>
      <c r="I8" s="43"/>
      <c r="J8" s="44"/>
      <c r="K8" s="5"/>
      <c r="L8" s="5" t="str">
        <f t="shared" si="2"/>
        <v>NA</v>
      </c>
      <c r="O8" s="5">
        <f t="shared" si="3"/>
        <v>8.5350000000000001</v>
      </c>
      <c r="P8" s="5">
        <f t="shared" si="4"/>
        <v>6.1999999999999993</v>
      </c>
      <c r="Q8" s="5">
        <f t="shared" si="5"/>
        <v>8.5</v>
      </c>
    </row>
    <row r="9" spans="2:29" ht="16.5" thickBot="1" x14ac:dyDescent="0.3">
      <c r="B9" s="24" t="s">
        <v>51</v>
      </c>
      <c r="C9" s="2">
        <f t="shared" si="0"/>
        <v>8.9249999999999989</v>
      </c>
      <c r="D9" s="2">
        <v>10.8</v>
      </c>
      <c r="E9" s="2">
        <v>10.35</v>
      </c>
      <c r="F9" s="2">
        <v>5.625</v>
      </c>
      <c r="G9" s="3">
        <v>2</v>
      </c>
      <c r="H9" s="4">
        <f t="shared" si="1"/>
        <v>17.849999999999998</v>
      </c>
      <c r="I9" s="43"/>
      <c r="J9" s="44"/>
      <c r="K9" s="5"/>
      <c r="L9" s="5" t="str">
        <f t="shared" si="2"/>
        <v>NA</v>
      </c>
      <c r="O9" s="5">
        <f t="shared" si="3"/>
        <v>21.6</v>
      </c>
      <c r="P9" s="5">
        <f t="shared" si="4"/>
        <v>20.7</v>
      </c>
      <c r="Q9" s="5">
        <f t="shared" si="5"/>
        <v>11.25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8.4092592592592581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10.358333333333334</v>
      </c>
      <c r="D13" s="2">
        <v>11.3</v>
      </c>
      <c r="E13" s="2">
        <v>11.15</v>
      </c>
      <c r="F13" s="2">
        <v>8.625</v>
      </c>
      <c r="G13" s="3">
        <v>2</v>
      </c>
      <c r="H13" s="4">
        <f t="shared" ref="H13:H16" si="6">C13*G13</f>
        <v>20.716666666666669</v>
      </c>
      <c r="I13" s="43"/>
      <c r="J13" s="44"/>
      <c r="K13" s="5"/>
      <c r="L13" s="5" t="str">
        <f>IF(C13&lt;11,"NA",IF(C13&lt;15,"ECA",IF(C13&lt;18,"A",IF(C13&lt;20,"A+"))))</f>
        <v>NA</v>
      </c>
      <c r="O13" s="5">
        <f t="shared" ref="O13:O16" si="7">D13*G13</f>
        <v>22.6</v>
      </c>
      <c r="P13" s="5">
        <f>E13*G13</f>
        <v>22.3</v>
      </c>
      <c r="Q13" s="5">
        <f>G13*F13</f>
        <v>17.25</v>
      </c>
    </row>
    <row r="14" spans="2:29" ht="16.5" thickBot="1" x14ac:dyDescent="0.3">
      <c r="B14" s="24" t="s">
        <v>12</v>
      </c>
      <c r="C14" s="2">
        <f t="shared" ref="C14:C16" si="8">(D14+F14+E14)/3</f>
        <v>13.216666666666667</v>
      </c>
      <c r="D14" s="2">
        <v>10</v>
      </c>
      <c r="E14" s="2">
        <v>15</v>
      </c>
      <c r="F14" s="2">
        <v>14.65</v>
      </c>
      <c r="G14" s="3">
        <v>1.5</v>
      </c>
      <c r="H14" s="4">
        <f t="shared" si="6"/>
        <v>19.824999999999999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15</v>
      </c>
      <c r="P14" s="5">
        <f t="shared" ref="P14:P16" si="10">E14*G14</f>
        <v>22.5</v>
      </c>
      <c r="Q14" s="5">
        <f t="shared" ref="Q14:Q16" si="11">G14*F14</f>
        <v>21.975000000000001</v>
      </c>
    </row>
    <row r="15" spans="2:29" ht="16.5" thickBot="1" x14ac:dyDescent="0.3">
      <c r="B15" s="24" t="s">
        <v>13</v>
      </c>
      <c r="C15" s="2">
        <f t="shared" si="8"/>
        <v>9.15</v>
      </c>
      <c r="D15" s="2">
        <v>7.7</v>
      </c>
      <c r="E15" s="2">
        <v>10.75</v>
      </c>
      <c r="F15" s="2">
        <v>9</v>
      </c>
      <c r="G15" s="3">
        <v>1.5</v>
      </c>
      <c r="H15" s="4">
        <f t="shared" si="6"/>
        <v>13.725000000000001</v>
      </c>
      <c r="I15" s="43"/>
      <c r="J15" s="44"/>
      <c r="K15" s="5"/>
      <c r="L15" s="5" t="str">
        <f t="shared" si="9"/>
        <v>NA</v>
      </c>
      <c r="O15" s="5">
        <f t="shared" si="7"/>
        <v>11.55</v>
      </c>
      <c r="P15" s="5">
        <f t="shared" si="10"/>
        <v>16.125</v>
      </c>
      <c r="Q15" s="5">
        <f t="shared" si="11"/>
        <v>13.5</v>
      </c>
    </row>
    <row r="16" spans="2:29" ht="16.5" thickBot="1" x14ac:dyDescent="0.3">
      <c r="B16" s="24" t="s">
        <v>48</v>
      </c>
      <c r="C16" s="2">
        <f t="shared" si="8"/>
        <v>11.083333333333334</v>
      </c>
      <c r="D16" s="2">
        <v>10.75</v>
      </c>
      <c r="E16" s="2">
        <v>11</v>
      </c>
      <c r="F16" s="2">
        <v>11.5</v>
      </c>
      <c r="G16" s="3">
        <v>1</v>
      </c>
      <c r="H16" s="4">
        <f t="shared" si="6"/>
        <v>11.083333333333334</v>
      </c>
      <c r="I16" s="43"/>
      <c r="J16" s="44"/>
      <c r="K16" s="5"/>
      <c r="L16" s="5" t="str">
        <f t="shared" si="9"/>
        <v>ECA</v>
      </c>
      <c r="O16" s="5">
        <f t="shared" si="7"/>
        <v>10.75</v>
      </c>
      <c r="P16" s="5">
        <f t="shared" si="10"/>
        <v>11</v>
      </c>
      <c r="Q16" s="5">
        <f t="shared" si="11"/>
        <v>11.5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10.891666666666667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9.9</v>
      </c>
      <c r="D20" s="2">
        <v>10.824999999999999</v>
      </c>
      <c r="E20" s="2">
        <v>8</v>
      </c>
      <c r="F20" s="2">
        <v>10.875</v>
      </c>
      <c r="G20" s="3">
        <v>2</v>
      </c>
      <c r="H20" s="4">
        <f t="shared" ref="H20:H23" si="12">C20*G20</f>
        <v>19.8</v>
      </c>
      <c r="I20" s="43"/>
      <c r="J20" s="44"/>
      <c r="K20" s="5"/>
      <c r="L20" s="5" t="str">
        <f t="shared" ref="L20:L23" si="13">IF(C20&lt;11,"NA",IF(C20&lt;15,"ECA",IF(C20&lt;18,"A",IF(C20&lt;20,"A+"))))</f>
        <v>NA</v>
      </c>
      <c r="O20" s="5">
        <f t="shared" ref="O20:O23" si="14">D20*G20</f>
        <v>21.65</v>
      </c>
      <c r="P20" s="5">
        <f>E20*G20</f>
        <v>16</v>
      </c>
      <c r="Q20" s="5">
        <f>G20*F20</f>
        <v>21.75</v>
      </c>
    </row>
    <row r="21" spans="2:17" ht="16.5" thickBot="1" x14ac:dyDescent="0.3">
      <c r="B21" s="24" t="s">
        <v>8</v>
      </c>
      <c r="C21" s="2">
        <f t="shared" ref="C21:C23" si="15">(D21+F21+E21)/3</f>
        <v>4.165</v>
      </c>
      <c r="D21" s="2">
        <v>3.9800000000000004</v>
      </c>
      <c r="E21" s="2">
        <v>4.8149999999999995</v>
      </c>
      <c r="F21" s="2">
        <v>3.7</v>
      </c>
      <c r="G21" s="3">
        <v>4</v>
      </c>
      <c r="H21" s="4">
        <f t="shared" si="12"/>
        <v>16.66</v>
      </c>
      <c r="I21" s="43"/>
      <c r="J21" s="44"/>
      <c r="K21" s="5"/>
      <c r="L21" s="5" t="str">
        <f t="shared" si="13"/>
        <v>NA</v>
      </c>
      <c r="O21" s="5">
        <f t="shared" si="14"/>
        <v>15.920000000000002</v>
      </c>
      <c r="P21" s="5">
        <f t="shared" ref="P21:P23" si="16">E21*G21</f>
        <v>19.259999999999998</v>
      </c>
      <c r="Q21" s="5">
        <f t="shared" ref="Q21:Q23" si="17">G21*F21</f>
        <v>14.8</v>
      </c>
    </row>
    <row r="22" spans="2:17" ht="16.5" thickBot="1" x14ac:dyDescent="0.3">
      <c r="B22" s="24" t="s">
        <v>52</v>
      </c>
      <c r="C22" s="2">
        <f t="shared" si="15"/>
        <v>7.6833333333333336</v>
      </c>
      <c r="D22" s="2">
        <v>6.95</v>
      </c>
      <c r="E22" s="2">
        <v>8.4499999999999993</v>
      </c>
      <c r="F22" s="2">
        <v>7.65</v>
      </c>
      <c r="G22" s="3">
        <v>2</v>
      </c>
      <c r="H22" s="4">
        <f t="shared" si="12"/>
        <v>15.366666666666667</v>
      </c>
      <c r="I22" s="43"/>
      <c r="J22" s="44"/>
      <c r="K22" s="5"/>
      <c r="L22" s="5" t="str">
        <f t="shared" si="13"/>
        <v>NA</v>
      </c>
      <c r="O22" s="5">
        <f t="shared" si="14"/>
        <v>13.9</v>
      </c>
      <c r="P22" s="5">
        <f t="shared" si="16"/>
        <v>16.899999999999999</v>
      </c>
      <c r="Q22" s="5">
        <f t="shared" si="17"/>
        <v>15.3</v>
      </c>
    </row>
    <row r="23" spans="2:17" ht="16.5" thickBot="1" x14ac:dyDescent="0.3">
      <c r="B23" s="24" t="s">
        <v>9</v>
      </c>
      <c r="C23" s="2">
        <f t="shared" si="15"/>
        <v>9.4416666666666664</v>
      </c>
      <c r="D23" s="2">
        <v>9</v>
      </c>
      <c r="E23" s="2">
        <v>9.8000000000000007</v>
      </c>
      <c r="F23" s="2">
        <v>9.5250000000000004</v>
      </c>
      <c r="G23" s="3">
        <v>2</v>
      </c>
      <c r="H23" s="4">
        <f t="shared" si="12"/>
        <v>18.883333333333333</v>
      </c>
      <c r="I23" s="43"/>
      <c r="J23" s="44"/>
      <c r="K23" s="5"/>
      <c r="L23" s="5" t="str">
        <f t="shared" si="13"/>
        <v>NA</v>
      </c>
      <c r="O23" s="5">
        <f t="shared" si="14"/>
        <v>18</v>
      </c>
      <c r="P23" s="5">
        <f t="shared" si="16"/>
        <v>19.600000000000001</v>
      </c>
      <c r="Q23" s="5">
        <f t="shared" si="17"/>
        <v>19.05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7.0710000000000006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17.5</v>
      </c>
      <c r="D27" s="2">
        <v>16</v>
      </c>
      <c r="E27" s="2">
        <v>0</v>
      </c>
      <c r="F27" s="2">
        <v>19</v>
      </c>
      <c r="G27" s="3">
        <v>1</v>
      </c>
      <c r="H27" s="4">
        <f t="shared" ref="H27:H30" si="18">C27*G27</f>
        <v>17.5</v>
      </c>
      <c r="I27" s="43"/>
      <c r="J27" s="44"/>
      <c r="K27" s="5"/>
      <c r="L27" s="5" t="str">
        <f t="shared" ref="L27:L30" si="19">IF(C27&lt;11,"NA",IF(C27&lt;15,"ECA",IF(C27&lt;18,"A",IF(C27&lt;20,"A+"))))</f>
        <v>A</v>
      </c>
      <c r="O27" s="5">
        <f t="shared" ref="O27:O30" si="20">D27*G27</f>
        <v>16</v>
      </c>
      <c r="P27" s="5">
        <f>E27*G27</f>
        <v>0</v>
      </c>
      <c r="Q27" s="5">
        <f>G27*F27</f>
        <v>19</v>
      </c>
    </row>
    <row r="28" spans="2:17" ht="16.5" thickBot="1" x14ac:dyDescent="0.3">
      <c r="B28" s="24" t="s">
        <v>44</v>
      </c>
      <c r="C28" s="2">
        <f t="shared" ref="C28" si="21">(D28+F28+E28)/3</f>
        <v>12.333333333333334</v>
      </c>
      <c r="D28" s="2">
        <v>13.25</v>
      </c>
      <c r="E28" s="2">
        <v>13.75</v>
      </c>
      <c r="F28" s="2">
        <v>10</v>
      </c>
      <c r="G28" s="3">
        <v>2</v>
      </c>
      <c r="H28" s="4">
        <f t="shared" si="18"/>
        <v>24.666666666666668</v>
      </c>
      <c r="I28" s="43"/>
      <c r="J28" s="44"/>
      <c r="K28" s="5"/>
      <c r="L28" s="5" t="str">
        <f t="shared" si="19"/>
        <v>ECA</v>
      </c>
      <c r="O28" s="5">
        <f t="shared" si="20"/>
        <v>26.5</v>
      </c>
      <c r="P28" s="5">
        <f t="shared" ref="P28:P30" si="22">E28*G28</f>
        <v>27.5</v>
      </c>
      <c r="Q28" s="5">
        <f t="shared" ref="Q28:Q30" si="23">G28*F28</f>
        <v>20</v>
      </c>
    </row>
    <row r="29" spans="2:17" ht="16.5" thickBot="1" x14ac:dyDescent="0.3">
      <c r="B29" s="24" t="s">
        <v>45</v>
      </c>
      <c r="C29" s="2">
        <f>(D29+F29+E29)/2</f>
        <v>15.75</v>
      </c>
      <c r="D29" s="2">
        <v>12.5</v>
      </c>
      <c r="E29" s="2">
        <v>19</v>
      </c>
      <c r="F29" s="2">
        <v>0</v>
      </c>
      <c r="G29" s="3">
        <v>1</v>
      </c>
      <c r="H29" s="4">
        <f t="shared" si="18"/>
        <v>15.75</v>
      </c>
      <c r="I29" s="43"/>
      <c r="J29" s="44"/>
      <c r="K29" s="5"/>
      <c r="L29" s="5" t="str">
        <f t="shared" si="19"/>
        <v>A</v>
      </c>
      <c r="O29" s="5">
        <f t="shared" si="20"/>
        <v>12.5</v>
      </c>
      <c r="P29" s="5">
        <f t="shared" si="22"/>
        <v>19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</v>
      </c>
      <c r="D30" s="2">
        <v>14.5</v>
      </c>
      <c r="E30" s="2">
        <v>0</v>
      </c>
      <c r="F30" s="2">
        <v>15.5</v>
      </c>
      <c r="G30" s="3">
        <v>1</v>
      </c>
      <c r="H30" s="4">
        <f t="shared" si="18"/>
        <v>15</v>
      </c>
      <c r="I30" s="43"/>
      <c r="J30" s="44"/>
      <c r="K30" s="5"/>
      <c r="L30" s="5" t="str">
        <f t="shared" si="19"/>
        <v>A</v>
      </c>
      <c r="O30" s="5">
        <f t="shared" si="20"/>
        <v>14.5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272.255</v>
      </c>
      <c r="P31" s="1">
        <f>SUM(P5:P30)</f>
        <v>271.97500000000002</v>
      </c>
      <c r="Q31" s="1">
        <f>SUM(Q5:Q30)</f>
        <v>261.5</v>
      </c>
    </row>
    <row r="32" spans="2:17" ht="16.149999999999999" customHeight="1" thickBot="1" x14ac:dyDescent="0.3">
      <c r="B32" s="6" t="s">
        <v>14</v>
      </c>
      <c r="C32" s="45">
        <f>(SUM(H27:H30)/SUM(G27:G30))</f>
        <v>14.583333333333334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9.0751666666666662</v>
      </c>
      <c r="P33" s="1">
        <f>P31/P32</f>
        <v>9.7133928571428587</v>
      </c>
      <c r="Q33" s="1">
        <f>Q31/Q32</f>
        <v>9.0172413793103452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9.0751666666666662</v>
      </c>
      <c r="D36" s="14">
        <f>P33</f>
        <v>9.7133928571428587</v>
      </c>
      <c r="E36" s="14">
        <f>Q33</f>
        <v>9.0172413793103452</v>
      </c>
      <c r="F36" s="35" t="s">
        <v>61</v>
      </c>
      <c r="G36" s="16">
        <f>(H5+H6+H7+H8+H9+H13+H14+H15+H20+H16+H21+H22+H23+H27+H28+H29+H30)/30</f>
        <v>9.4886666666666653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NA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B39:L39"/>
    <mergeCell ref="C40:F40"/>
    <mergeCell ref="G40:L41"/>
    <mergeCell ref="C41:F43"/>
    <mergeCell ref="G42:J42"/>
    <mergeCell ref="K42:L42"/>
    <mergeCell ref="I35:L35"/>
    <mergeCell ref="I36:J36"/>
    <mergeCell ref="B37:H37"/>
    <mergeCell ref="I37:L37"/>
    <mergeCell ref="B38:L38"/>
    <mergeCell ref="B26:L26"/>
    <mergeCell ref="I27:J27"/>
    <mergeCell ref="I28:J28"/>
    <mergeCell ref="I29:J29"/>
    <mergeCell ref="G34:H34"/>
    <mergeCell ref="J34:K34"/>
    <mergeCell ref="I30:J30"/>
    <mergeCell ref="C32:F32"/>
    <mergeCell ref="G32:H32"/>
    <mergeCell ref="J32:L32"/>
    <mergeCell ref="B33:L33"/>
    <mergeCell ref="I4:J4"/>
    <mergeCell ref="I5:J5"/>
    <mergeCell ref="I6:J6"/>
    <mergeCell ref="I7:J7"/>
    <mergeCell ref="B17:L17"/>
    <mergeCell ref="I8:J8"/>
    <mergeCell ref="I9:J9"/>
    <mergeCell ref="B10:L10"/>
    <mergeCell ref="C11:F11"/>
    <mergeCell ref="G11:H11"/>
    <mergeCell ref="J11:L11"/>
    <mergeCell ref="B12:L12"/>
    <mergeCell ref="I13:J13"/>
    <mergeCell ref="I14:J14"/>
    <mergeCell ref="I15:J15"/>
    <mergeCell ref="I16:J16"/>
    <mergeCell ref="J18:L18"/>
    <mergeCell ref="B19:L19"/>
    <mergeCell ref="I20:J20"/>
    <mergeCell ref="I21:J21"/>
    <mergeCell ref="I22:J22"/>
    <mergeCell ref="C18:F18"/>
    <mergeCell ref="G18:H18"/>
    <mergeCell ref="I23:J23"/>
    <mergeCell ref="B24:L24"/>
    <mergeCell ref="C25:F25"/>
    <mergeCell ref="G25:H25"/>
    <mergeCell ref="J25:L25"/>
    <mergeCell ref="K49:L49"/>
    <mergeCell ref="G43:J43"/>
    <mergeCell ref="K43:L43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9"/>
  <sheetViews>
    <sheetView topLeftCell="A10" zoomScale="83" zoomScaleNormal="83" workbookViewId="0">
      <selection activeCell="N36" sqref="N36"/>
    </sheetView>
  </sheetViews>
  <sheetFormatPr baseColWidth="10" defaultColWidth="11.42578125" defaultRowHeight="15.75" x14ac:dyDescent="0.25"/>
  <cols>
    <col min="1" max="1" width="11.42578125" style="1"/>
    <col min="2" max="2" width="41.85546875" style="1" customWidth="1"/>
    <col min="3" max="3" width="12.140625" style="1" customWidth="1"/>
    <col min="4" max="5" width="11.42578125" style="1"/>
    <col min="6" max="6" width="14.28515625" style="1" customWidth="1"/>
    <col min="7" max="7" width="11.42578125" style="1"/>
    <col min="8" max="8" width="12.42578125" style="1" customWidth="1"/>
    <col min="9" max="10" width="11.42578125" style="1"/>
    <col min="11" max="11" width="6.85546875" style="1" bestFit="1" customWidth="1"/>
    <col min="12" max="12" width="16.42578125" style="1" customWidth="1"/>
    <col min="13" max="16384" width="11.42578125" style="1"/>
  </cols>
  <sheetData>
    <row r="3" spans="2:29" ht="16.5" thickBot="1" x14ac:dyDescent="0.3"/>
    <row r="4" spans="2:29" ht="30.75" customHeight="1" thickBot="1" x14ac:dyDescent="0.3">
      <c r="B4" s="30" t="s">
        <v>0</v>
      </c>
      <c r="C4" s="33" t="s">
        <v>59</v>
      </c>
      <c r="D4" s="31" t="s">
        <v>1</v>
      </c>
      <c r="E4" s="31" t="s">
        <v>58</v>
      </c>
      <c r="F4" s="31" t="s">
        <v>57</v>
      </c>
      <c r="G4" s="31" t="s">
        <v>2</v>
      </c>
      <c r="H4" s="30" t="s">
        <v>3</v>
      </c>
      <c r="I4" s="55" t="s">
        <v>4</v>
      </c>
      <c r="J4" s="56"/>
      <c r="K4" s="31" t="s">
        <v>5</v>
      </c>
      <c r="L4" s="31" t="s">
        <v>6</v>
      </c>
    </row>
    <row r="5" spans="2:29" ht="16.5" thickBot="1" x14ac:dyDescent="0.3">
      <c r="B5" s="24" t="s">
        <v>15</v>
      </c>
      <c r="C5" s="32">
        <f>(D5+F5+E5)/3</f>
        <v>7.8916666666666666</v>
      </c>
      <c r="D5" s="2">
        <v>6.9</v>
      </c>
      <c r="E5" s="2">
        <v>9.9</v>
      </c>
      <c r="F5" s="2">
        <v>6.875</v>
      </c>
      <c r="G5" s="3">
        <v>3</v>
      </c>
      <c r="H5" s="4">
        <f>C5*G5</f>
        <v>23.675000000000001</v>
      </c>
      <c r="I5" s="43"/>
      <c r="J5" s="44"/>
      <c r="K5" s="5"/>
      <c r="L5" s="5" t="str">
        <f>IF(C5&lt;11,"NA",IF(C5&lt;15,"ECA",IF(C5&lt;18,"A",IF(C5&lt;20,"A+"))))</f>
        <v>NA</v>
      </c>
      <c r="O5" s="5">
        <f>D5*G5</f>
        <v>20.700000000000003</v>
      </c>
      <c r="P5" s="5">
        <f>E5*G5</f>
        <v>29.700000000000003</v>
      </c>
      <c r="Q5" s="5">
        <f>G5*F5</f>
        <v>20.625</v>
      </c>
    </row>
    <row r="6" spans="2:29" ht="16.5" thickBot="1" x14ac:dyDescent="0.3">
      <c r="B6" s="24" t="s">
        <v>50</v>
      </c>
      <c r="C6" s="2">
        <f t="shared" ref="C6:C9" si="0">(D6+F6+E6)/3</f>
        <v>8.1333333333333329</v>
      </c>
      <c r="D6" s="2">
        <v>3.5</v>
      </c>
      <c r="E6" s="2">
        <v>4.9000000000000004</v>
      </c>
      <c r="F6" s="2">
        <v>16</v>
      </c>
      <c r="G6" s="3">
        <v>1</v>
      </c>
      <c r="H6" s="4">
        <f t="shared" ref="H6:H9" si="1">C6*G6</f>
        <v>8.1333333333333329</v>
      </c>
      <c r="I6" s="43"/>
      <c r="J6" s="44"/>
      <c r="K6" s="5"/>
      <c r="L6" s="5" t="str">
        <f t="shared" ref="L6:L9" si="2">IF(C6&lt;11,"NA",IF(C6&lt;15,"ECA",IF(C6&lt;18,"A",IF(C6&lt;20,"A+"))))</f>
        <v>NA</v>
      </c>
      <c r="O6" s="5">
        <f t="shared" ref="O6:O9" si="3">D6*G6</f>
        <v>3.5</v>
      </c>
      <c r="P6" s="5">
        <f t="shared" ref="P6:P9" si="4">E6*G6</f>
        <v>4.9000000000000004</v>
      </c>
      <c r="Q6" s="5">
        <f t="shared" ref="Q6:Q9" si="5">G6*F6</f>
        <v>16</v>
      </c>
    </row>
    <row r="7" spans="2:29" ht="16.5" thickBot="1" x14ac:dyDescent="0.3">
      <c r="B7" s="24" t="s">
        <v>46</v>
      </c>
      <c r="C7" s="2">
        <f t="shared" si="0"/>
        <v>11.546666666666667</v>
      </c>
      <c r="D7" s="2">
        <v>11.824999999999999</v>
      </c>
      <c r="E7" s="2">
        <v>11.315000000000001</v>
      </c>
      <c r="F7" s="2">
        <v>11.5</v>
      </c>
      <c r="G7" s="3">
        <v>2</v>
      </c>
      <c r="H7" s="4">
        <f t="shared" si="1"/>
        <v>23.093333333333334</v>
      </c>
      <c r="I7" s="43"/>
      <c r="J7" s="44"/>
      <c r="K7" s="5"/>
      <c r="L7" s="5" t="str">
        <f t="shared" si="2"/>
        <v>ECA</v>
      </c>
      <c r="O7" s="5">
        <f t="shared" si="3"/>
        <v>23.65</v>
      </c>
      <c r="P7" s="5">
        <f t="shared" si="4"/>
        <v>22.630000000000003</v>
      </c>
      <c r="Q7" s="5">
        <f t="shared" si="5"/>
        <v>23</v>
      </c>
    </row>
    <row r="8" spans="2:29" ht="16.5" thickBot="1" x14ac:dyDescent="0.3">
      <c r="B8" s="24" t="s">
        <v>47</v>
      </c>
      <c r="C8" s="2">
        <f t="shared" si="0"/>
        <v>10.41</v>
      </c>
      <c r="D8" s="2">
        <v>9.75</v>
      </c>
      <c r="E8" s="2">
        <v>9.23</v>
      </c>
      <c r="F8" s="2">
        <v>12.25</v>
      </c>
      <c r="G8" s="3">
        <v>1</v>
      </c>
      <c r="H8" s="4">
        <f t="shared" si="1"/>
        <v>10.41</v>
      </c>
      <c r="I8" s="43"/>
      <c r="J8" s="44"/>
      <c r="K8" s="5"/>
      <c r="L8" s="5" t="str">
        <f t="shared" si="2"/>
        <v>NA</v>
      </c>
      <c r="O8" s="5">
        <f t="shared" si="3"/>
        <v>9.75</v>
      </c>
      <c r="P8" s="5">
        <f t="shared" si="4"/>
        <v>9.23</v>
      </c>
      <c r="Q8" s="5">
        <f t="shared" si="5"/>
        <v>12.25</v>
      </c>
    </row>
    <row r="9" spans="2:29" ht="16.5" thickBot="1" x14ac:dyDescent="0.3">
      <c r="B9" s="24" t="s">
        <v>51</v>
      </c>
      <c r="C9" s="2">
        <f t="shared" si="0"/>
        <v>10.233333333333333</v>
      </c>
      <c r="D9" s="2">
        <v>11.95</v>
      </c>
      <c r="E9" s="2">
        <v>10.5</v>
      </c>
      <c r="F9" s="2">
        <v>8.25</v>
      </c>
      <c r="G9" s="3">
        <v>2</v>
      </c>
      <c r="H9" s="4">
        <f t="shared" si="1"/>
        <v>20.466666666666665</v>
      </c>
      <c r="I9" s="43"/>
      <c r="J9" s="44"/>
      <c r="K9" s="5"/>
      <c r="L9" s="5" t="str">
        <f t="shared" si="2"/>
        <v>NA</v>
      </c>
      <c r="O9" s="5">
        <f t="shared" si="3"/>
        <v>23.9</v>
      </c>
      <c r="P9" s="5">
        <f t="shared" si="4"/>
        <v>21</v>
      </c>
      <c r="Q9" s="5">
        <f t="shared" si="5"/>
        <v>16.5</v>
      </c>
    </row>
    <row r="10" spans="2:29" ht="16.5" thickBot="1" x14ac:dyDescent="0.3">
      <c r="B10" s="46" t="s">
        <v>54</v>
      </c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2:29" ht="16.5" thickBot="1" x14ac:dyDescent="0.3">
      <c r="B11" s="6" t="s">
        <v>10</v>
      </c>
      <c r="C11" s="45">
        <f>(SUM(H5:H9)/SUM(G5:G9))</f>
        <v>9.530925925925926</v>
      </c>
      <c r="D11" s="45"/>
      <c r="E11" s="45"/>
      <c r="F11" s="45"/>
      <c r="G11" s="49" t="s">
        <v>11</v>
      </c>
      <c r="H11" s="49"/>
      <c r="I11" s="23"/>
      <c r="J11" s="50"/>
      <c r="K11" s="50"/>
      <c r="L11" s="5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16.5" thickBot="1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2"/>
    </row>
    <row r="13" spans="2:29" ht="16.5" thickBot="1" x14ac:dyDescent="0.3">
      <c r="B13" s="24" t="s">
        <v>43</v>
      </c>
      <c r="C13" s="2">
        <f>(D13+F13+E13)/3</f>
        <v>12.25</v>
      </c>
      <c r="D13" s="2">
        <v>11.475</v>
      </c>
      <c r="E13" s="2">
        <v>13.775</v>
      </c>
      <c r="F13" s="2">
        <v>11.5</v>
      </c>
      <c r="G13" s="3">
        <v>2</v>
      </c>
      <c r="H13" s="4">
        <f t="shared" ref="H13:H16" si="6">C13*G13</f>
        <v>24.5</v>
      </c>
      <c r="I13" s="43"/>
      <c r="J13" s="44"/>
      <c r="K13" s="5"/>
      <c r="L13" s="5" t="str">
        <f>IF(C13&lt;11,"NA",IF(C13&lt;15,"ECA",IF(C13&lt;18,"A",IF(C13&lt;20,"A+"))))</f>
        <v>ECA</v>
      </c>
      <c r="O13" s="5">
        <f t="shared" ref="O13:O16" si="7">D13*G13</f>
        <v>22.95</v>
      </c>
      <c r="P13" s="5">
        <f>E13*G13</f>
        <v>27.55</v>
      </c>
      <c r="Q13" s="5">
        <f>G13*F13</f>
        <v>23</v>
      </c>
    </row>
    <row r="14" spans="2:29" ht="16.5" thickBot="1" x14ac:dyDescent="0.3">
      <c r="B14" s="24" t="s">
        <v>12</v>
      </c>
      <c r="C14" s="2">
        <f t="shared" ref="C14:C16" si="8">(D14+F14+E14)/3</f>
        <v>12.008333333333333</v>
      </c>
      <c r="D14" s="2">
        <v>10</v>
      </c>
      <c r="E14" s="2">
        <v>12.65</v>
      </c>
      <c r="F14" s="2">
        <v>13.375</v>
      </c>
      <c r="G14" s="3">
        <v>1.5</v>
      </c>
      <c r="H14" s="4">
        <f t="shared" si="6"/>
        <v>18.012499999999999</v>
      </c>
      <c r="I14" s="43"/>
      <c r="J14" s="44"/>
      <c r="K14" s="5"/>
      <c r="L14" s="5" t="str">
        <f t="shared" ref="L14:L16" si="9">IF(C14&lt;11,"NA",IF(C14&lt;15,"ECA",IF(C14&lt;18,"A",IF(C14&lt;20,"A+"))))</f>
        <v>ECA</v>
      </c>
      <c r="O14" s="5">
        <f t="shared" si="7"/>
        <v>15</v>
      </c>
      <c r="P14" s="5">
        <f t="shared" ref="P14:P16" si="10">E14*G14</f>
        <v>18.975000000000001</v>
      </c>
      <c r="Q14" s="5">
        <f t="shared" ref="Q14:Q16" si="11">G14*F14</f>
        <v>20.0625</v>
      </c>
    </row>
    <row r="15" spans="2:29" ht="16.5" thickBot="1" x14ac:dyDescent="0.3">
      <c r="B15" s="24" t="s">
        <v>13</v>
      </c>
      <c r="C15" s="2">
        <f t="shared" si="8"/>
        <v>9.4</v>
      </c>
      <c r="D15" s="2">
        <v>8.4499999999999993</v>
      </c>
      <c r="E15" s="2">
        <v>10.5</v>
      </c>
      <c r="F15" s="2">
        <v>9.25</v>
      </c>
      <c r="G15" s="3">
        <v>1.5</v>
      </c>
      <c r="H15" s="4">
        <f t="shared" si="6"/>
        <v>14.100000000000001</v>
      </c>
      <c r="I15" s="43"/>
      <c r="J15" s="44"/>
      <c r="K15" s="5"/>
      <c r="L15" s="5" t="str">
        <f t="shared" si="9"/>
        <v>NA</v>
      </c>
      <c r="O15" s="5">
        <f t="shared" si="7"/>
        <v>12.674999999999999</v>
      </c>
      <c r="P15" s="5">
        <f t="shared" si="10"/>
        <v>15.75</v>
      </c>
      <c r="Q15" s="5">
        <f t="shared" si="11"/>
        <v>13.875</v>
      </c>
    </row>
    <row r="16" spans="2:29" ht="16.5" thickBot="1" x14ac:dyDescent="0.3">
      <c r="B16" s="24" t="s">
        <v>48</v>
      </c>
      <c r="C16" s="2">
        <f t="shared" si="8"/>
        <v>10.416666666666666</v>
      </c>
      <c r="D16" s="2">
        <v>9.25</v>
      </c>
      <c r="E16" s="2">
        <v>11</v>
      </c>
      <c r="F16" s="2">
        <v>11</v>
      </c>
      <c r="G16" s="3">
        <v>1</v>
      </c>
      <c r="H16" s="4">
        <f t="shared" si="6"/>
        <v>10.416666666666666</v>
      </c>
      <c r="I16" s="43"/>
      <c r="J16" s="44"/>
      <c r="K16" s="5"/>
      <c r="L16" s="5" t="str">
        <f t="shared" si="9"/>
        <v>NA</v>
      </c>
      <c r="O16" s="5">
        <f t="shared" si="7"/>
        <v>9.25</v>
      </c>
      <c r="P16" s="5">
        <f t="shared" si="10"/>
        <v>11</v>
      </c>
      <c r="Q16" s="5">
        <f t="shared" si="11"/>
        <v>11</v>
      </c>
    </row>
    <row r="17" spans="2:17" ht="16.5" thickBot="1" x14ac:dyDescent="0.3">
      <c r="B17" s="46" t="s">
        <v>55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2:17" ht="16.149999999999999" customHeight="1" thickBot="1" x14ac:dyDescent="0.3">
      <c r="B18" s="6" t="s">
        <v>14</v>
      </c>
      <c r="C18" s="45">
        <f>(SUM(H13:H16)/SUM(G13:G16))</f>
        <v>11.171527777777778</v>
      </c>
      <c r="D18" s="45"/>
      <c r="E18" s="45"/>
      <c r="F18" s="45"/>
      <c r="G18" s="49" t="s">
        <v>11</v>
      </c>
      <c r="H18" s="49"/>
      <c r="I18" s="23"/>
      <c r="J18" s="50"/>
      <c r="K18" s="50"/>
      <c r="L18" s="51"/>
    </row>
    <row r="19" spans="2:17" ht="16.5" thickBot="1" x14ac:dyDescent="0.3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2:17" ht="16.5" thickBot="1" x14ac:dyDescent="0.3">
      <c r="B20" s="24" t="s">
        <v>7</v>
      </c>
      <c r="C20" s="2">
        <f>(D20+F20+E20)/3</f>
        <v>11.9</v>
      </c>
      <c r="D20" s="2">
        <v>8.9499999999999993</v>
      </c>
      <c r="E20" s="2">
        <v>14.625</v>
      </c>
      <c r="F20" s="2">
        <v>12.125</v>
      </c>
      <c r="G20" s="3">
        <v>2</v>
      </c>
      <c r="H20" s="4">
        <f t="shared" ref="H20:H23" si="12">C20*G20</f>
        <v>23.8</v>
      </c>
      <c r="I20" s="43"/>
      <c r="J20" s="44"/>
      <c r="K20" s="5"/>
      <c r="L20" s="5" t="str">
        <f t="shared" ref="L20:L23" si="13">IF(C20&lt;11,"NA",IF(C20&lt;15,"ECA",IF(C20&lt;18,"A",IF(C20&lt;20,"A+"))))</f>
        <v>ECA</v>
      </c>
      <c r="O20" s="5">
        <f t="shared" ref="O20:O23" si="14">D20*G20</f>
        <v>17.899999999999999</v>
      </c>
      <c r="P20" s="5">
        <f>E20*G20</f>
        <v>29.25</v>
      </c>
      <c r="Q20" s="5">
        <f>G20*F20</f>
        <v>24.25</v>
      </c>
    </row>
    <row r="21" spans="2:17" ht="16.5" thickBot="1" x14ac:dyDescent="0.3">
      <c r="B21" s="24" t="s">
        <v>8</v>
      </c>
      <c r="C21" s="2">
        <f t="shared" ref="C21:C23" si="15">(D21+F21+E21)/3</f>
        <v>8.82</v>
      </c>
      <c r="D21" s="2">
        <v>9.57</v>
      </c>
      <c r="E21" s="2">
        <v>9.6900000000000013</v>
      </c>
      <c r="F21" s="2">
        <v>7.2</v>
      </c>
      <c r="G21" s="3">
        <v>4</v>
      </c>
      <c r="H21" s="4">
        <f t="shared" si="12"/>
        <v>35.28</v>
      </c>
      <c r="I21" s="43"/>
      <c r="J21" s="44"/>
      <c r="K21" s="5"/>
      <c r="L21" s="5" t="str">
        <f t="shared" si="13"/>
        <v>NA</v>
      </c>
      <c r="O21" s="5">
        <f t="shared" si="14"/>
        <v>38.28</v>
      </c>
      <c r="P21" s="5">
        <f t="shared" ref="P21:P23" si="16">E21*G21</f>
        <v>38.760000000000005</v>
      </c>
      <c r="Q21" s="5">
        <f t="shared" ref="Q21:Q23" si="17">G21*F21</f>
        <v>28.8</v>
      </c>
    </row>
    <row r="22" spans="2:17" ht="16.5" thickBot="1" x14ac:dyDescent="0.3">
      <c r="B22" s="24" t="s">
        <v>52</v>
      </c>
      <c r="C22" s="2">
        <f t="shared" si="15"/>
        <v>10.65</v>
      </c>
      <c r="D22" s="2">
        <v>9.4499999999999993</v>
      </c>
      <c r="E22" s="2">
        <v>12.175000000000001</v>
      </c>
      <c r="F22" s="2">
        <v>10.324999999999999</v>
      </c>
      <c r="G22" s="3">
        <v>2</v>
      </c>
      <c r="H22" s="4">
        <f t="shared" si="12"/>
        <v>21.3</v>
      </c>
      <c r="I22" s="43"/>
      <c r="J22" s="44"/>
      <c r="K22" s="5"/>
      <c r="L22" s="5" t="str">
        <f t="shared" si="13"/>
        <v>NA</v>
      </c>
      <c r="O22" s="5">
        <f t="shared" si="14"/>
        <v>18.899999999999999</v>
      </c>
      <c r="P22" s="5">
        <f t="shared" si="16"/>
        <v>24.35</v>
      </c>
      <c r="Q22" s="5">
        <f t="shared" si="17"/>
        <v>20.65</v>
      </c>
    </row>
    <row r="23" spans="2:17" ht="16.5" thickBot="1" x14ac:dyDescent="0.3">
      <c r="B23" s="24" t="s">
        <v>9</v>
      </c>
      <c r="C23" s="2">
        <f t="shared" si="15"/>
        <v>10.891666666666666</v>
      </c>
      <c r="D23" s="2">
        <v>11.025</v>
      </c>
      <c r="E23" s="2">
        <v>9.5</v>
      </c>
      <c r="F23" s="2">
        <v>12.15</v>
      </c>
      <c r="G23" s="3">
        <v>2</v>
      </c>
      <c r="H23" s="4">
        <f t="shared" si="12"/>
        <v>21.783333333333331</v>
      </c>
      <c r="I23" s="43"/>
      <c r="J23" s="44"/>
      <c r="K23" s="5"/>
      <c r="L23" s="5" t="str">
        <f t="shared" si="13"/>
        <v>NA</v>
      </c>
      <c r="O23" s="5">
        <f t="shared" si="14"/>
        <v>22.05</v>
      </c>
      <c r="P23" s="5">
        <f t="shared" si="16"/>
        <v>19</v>
      </c>
      <c r="Q23" s="5">
        <f t="shared" si="17"/>
        <v>24.3</v>
      </c>
    </row>
    <row r="24" spans="2:17" ht="16.5" thickBot="1" x14ac:dyDescent="0.3">
      <c r="B24" s="46" t="s">
        <v>56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2:17" ht="16.149999999999999" customHeight="1" thickBot="1" x14ac:dyDescent="0.3">
      <c r="B25" s="6" t="s">
        <v>10</v>
      </c>
      <c r="C25" s="45">
        <f>(SUM(H20:H23)/SUM(G20:G23))</f>
        <v>10.216333333333333</v>
      </c>
      <c r="D25" s="45"/>
      <c r="E25" s="45"/>
      <c r="F25" s="45"/>
      <c r="G25" s="49" t="s">
        <v>11</v>
      </c>
      <c r="H25" s="49"/>
      <c r="I25" s="23"/>
      <c r="J25" s="50"/>
      <c r="K25" s="50"/>
      <c r="L25" s="51"/>
    </row>
    <row r="26" spans="2:17" ht="16.5" thickBot="1" x14ac:dyDescent="0.3">
      <c r="B26" s="39"/>
      <c r="C26" s="40"/>
      <c r="D26" s="40"/>
      <c r="E26" s="40"/>
      <c r="F26" s="40"/>
      <c r="G26" s="40"/>
      <c r="H26" s="40"/>
      <c r="I26" s="41"/>
      <c r="J26" s="41"/>
      <c r="K26" s="41"/>
      <c r="L26" s="42"/>
    </row>
    <row r="27" spans="2:17" ht="16.5" thickBot="1" x14ac:dyDescent="0.3">
      <c r="B27" s="24" t="s">
        <v>49</v>
      </c>
      <c r="C27" s="2">
        <f>(D27+F27+E27)/2</f>
        <v>15.5</v>
      </c>
      <c r="D27" s="2">
        <v>13</v>
      </c>
      <c r="E27" s="2">
        <v>0</v>
      </c>
      <c r="F27" s="2">
        <v>18</v>
      </c>
      <c r="G27" s="3">
        <v>1</v>
      </c>
      <c r="H27" s="4">
        <f t="shared" ref="H27:H30" si="18">C27*G27</f>
        <v>15.5</v>
      </c>
      <c r="I27" s="43"/>
      <c r="J27" s="44"/>
      <c r="K27" s="5"/>
      <c r="L27" s="5" t="str">
        <f t="shared" ref="L27:L30" si="19">IF(C27&lt;11,"NA",IF(C27&lt;15,"ECA",IF(C27&lt;18,"A",IF(C27&lt;20,"A+"))))</f>
        <v>A</v>
      </c>
      <c r="O27" s="5">
        <f t="shared" ref="O27:O30" si="20">D27*G27</f>
        <v>13</v>
      </c>
      <c r="P27" s="5">
        <f>E27*G27</f>
        <v>0</v>
      </c>
      <c r="Q27" s="5">
        <f>G27*F27</f>
        <v>18</v>
      </c>
    </row>
    <row r="28" spans="2:17" ht="16.5" thickBot="1" x14ac:dyDescent="0.3">
      <c r="B28" s="24" t="s">
        <v>44</v>
      </c>
      <c r="C28" s="2">
        <f t="shared" ref="C28" si="21">(D28+F28+E28)/3</f>
        <v>14.166666666666666</v>
      </c>
      <c r="D28" s="2">
        <v>15</v>
      </c>
      <c r="E28" s="2">
        <v>14.5</v>
      </c>
      <c r="F28" s="2">
        <v>13</v>
      </c>
      <c r="G28" s="3">
        <v>2</v>
      </c>
      <c r="H28" s="4">
        <f t="shared" si="18"/>
        <v>28.333333333333332</v>
      </c>
      <c r="I28" s="43"/>
      <c r="J28" s="44"/>
      <c r="K28" s="5"/>
      <c r="L28" s="5" t="str">
        <f t="shared" si="19"/>
        <v>ECA</v>
      </c>
      <c r="O28" s="5">
        <f t="shared" si="20"/>
        <v>30</v>
      </c>
      <c r="P28" s="5">
        <f t="shared" ref="P28:P30" si="22">E28*G28</f>
        <v>29</v>
      </c>
      <c r="Q28" s="5">
        <f t="shared" ref="Q28:Q30" si="23">G28*F28</f>
        <v>26</v>
      </c>
    </row>
    <row r="29" spans="2:17" ht="16.5" thickBot="1" x14ac:dyDescent="0.3">
      <c r="B29" s="24" t="s">
        <v>45</v>
      </c>
      <c r="C29" s="2">
        <f>(D29+F29+E29)/2</f>
        <v>17.125</v>
      </c>
      <c r="D29" s="2">
        <v>16.25</v>
      </c>
      <c r="E29" s="2">
        <v>18</v>
      </c>
      <c r="F29" s="2">
        <v>0</v>
      </c>
      <c r="G29" s="3">
        <v>1</v>
      </c>
      <c r="H29" s="4">
        <f t="shared" si="18"/>
        <v>17.125</v>
      </c>
      <c r="I29" s="43"/>
      <c r="J29" s="44"/>
      <c r="K29" s="5"/>
      <c r="L29" s="5" t="str">
        <f t="shared" si="19"/>
        <v>A</v>
      </c>
      <c r="O29" s="5">
        <f t="shared" si="20"/>
        <v>16.25</v>
      </c>
      <c r="P29" s="5">
        <f t="shared" si="22"/>
        <v>18</v>
      </c>
      <c r="Q29" s="5">
        <f t="shared" si="23"/>
        <v>0</v>
      </c>
    </row>
    <row r="30" spans="2:17" ht="16.5" thickBot="1" x14ac:dyDescent="0.3">
      <c r="B30" s="24" t="s">
        <v>16</v>
      </c>
      <c r="C30" s="2">
        <f>(D30+F30+E30)/2</f>
        <v>15.5</v>
      </c>
      <c r="D30" s="2">
        <v>15.5</v>
      </c>
      <c r="E30" s="2">
        <v>0</v>
      </c>
      <c r="F30" s="2">
        <v>15.5</v>
      </c>
      <c r="G30" s="3">
        <v>1</v>
      </c>
      <c r="H30" s="4">
        <f t="shared" si="18"/>
        <v>15.5</v>
      </c>
      <c r="I30" s="43"/>
      <c r="J30" s="44"/>
      <c r="K30" s="5"/>
      <c r="L30" s="5" t="str">
        <f t="shared" si="19"/>
        <v>A</v>
      </c>
      <c r="O30" s="5">
        <f t="shared" si="20"/>
        <v>15.5</v>
      </c>
      <c r="P30" s="5">
        <f t="shared" si="22"/>
        <v>0</v>
      </c>
      <c r="Q30" s="5">
        <f t="shared" si="23"/>
        <v>15.5</v>
      </c>
    </row>
    <row r="31" spans="2:17" ht="16.5" thickBot="1" x14ac:dyDescent="0.3">
      <c r="B31" s="24" t="s">
        <v>53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  <c r="O31" s="1">
        <f>SUM(O5:O30)</f>
        <v>313.255</v>
      </c>
      <c r="P31" s="1">
        <f>SUM(P5:P30)</f>
        <v>319.09500000000003</v>
      </c>
      <c r="Q31" s="1">
        <f>SUM(Q5:Q30)</f>
        <v>313.8125</v>
      </c>
    </row>
    <row r="32" spans="2:17" ht="16.149999999999999" customHeight="1" thickBot="1" x14ac:dyDescent="0.3">
      <c r="B32" s="6" t="s">
        <v>14</v>
      </c>
      <c r="C32" s="45">
        <f>(SUM(H27:H30)/SUM(G27:G30))</f>
        <v>15.291666666666666</v>
      </c>
      <c r="D32" s="45"/>
      <c r="E32" s="45"/>
      <c r="F32" s="45"/>
      <c r="G32" s="49" t="s">
        <v>11</v>
      </c>
      <c r="H32" s="49"/>
      <c r="I32" s="23"/>
      <c r="J32" s="50"/>
      <c r="K32" s="50"/>
      <c r="L32" s="51"/>
      <c r="O32" s="1">
        <v>30</v>
      </c>
      <c r="P32" s="1">
        <v>28</v>
      </c>
      <c r="Q32" s="1">
        <v>29</v>
      </c>
    </row>
    <row r="33" spans="2:17" ht="16.5" thickBot="1" x14ac:dyDescent="0.3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2"/>
      <c r="O33" s="1">
        <f>O31/O32</f>
        <v>10.441833333333333</v>
      </c>
      <c r="P33" s="1">
        <f>P31/P32</f>
        <v>11.39625</v>
      </c>
      <c r="Q33" s="1">
        <f>Q31/Q32</f>
        <v>10.821120689655173</v>
      </c>
    </row>
    <row r="34" spans="2:17" s="8" customFormat="1" ht="48" thickBot="1" x14ac:dyDescent="0.3">
      <c r="B34" s="24" t="s">
        <v>17</v>
      </c>
      <c r="C34" s="27" t="s">
        <v>18</v>
      </c>
      <c r="D34" s="23"/>
      <c r="E34" s="23"/>
      <c r="F34" s="28" t="s">
        <v>19</v>
      </c>
      <c r="G34" s="50"/>
      <c r="H34" s="50"/>
      <c r="I34" s="28" t="s">
        <v>20</v>
      </c>
      <c r="J34" s="50"/>
      <c r="K34" s="50"/>
      <c r="L34" s="29"/>
    </row>
    <row r="35" spans="2:17" x14ac:dyDescent="0.25">
      <c r="B35" s="9"/>
      <c r="C35" s="10" t="s">
        <v>1</v>
      </c>
      <c r="D35" s="10" t="s">
        <v>58</v>
      </c>
      <c r="E35" s="10" t="s">
        <v>57</v>
      </c>
      <c r="F35" s="11"/>
      <c r="G35" s="11"/>
      <c r="H35" s="12"/>
      <c r="I35" s="68"/>
      <c r="J35" s="41"/>
      <c r="K35" s="41"/>
      <c r="L35" s="69"/>
    </row>
    <row r="36" spans="2:17" ht="26.25" x14ac:dyDescent="0.25">
      <c r="B36" s="13" t="s">
        <v>21</v>
      </c>
      <c r="C36" s="14">
        <f>O33</f>
        <v>10.441833333333333</v>
      </c>
      <c r="D36" s="14">
        <f>P33</f>
        <v>11.39625</v>
      </c>
      <c r="E36" s="14">
        <f>Q33</f>
        <v>10.821120689655173</v>
      </c>
      <c r="F36" s="35" t="s">
        <v>61</v>
      </c>
      <c r="G36" s="16">
        <f>(H5+H6+H7+H8+H9+H13+H14+H15+H20+H16+H21+H22+H23+H27+H28+H29+H30)/30</f>
        <v>11.047638888888887</v>
      </c>
      <c r="H36" s="15" t="s">
        <v>22</v>
      </c>
      <c r="I36" s="70" t="s">
        <v>23</v>
      </c>
      <c r="J36" s="71"/>
      <c r="K36" s="17"/>
      <c r="L36" s="18" t="s">
        <v>22</v>
      </c>
    </row>
    <row r="37" spans="2:17" ht="16.5" thickBot="1" x14ac:dyDescent="0.3">
      <c r="B37" s="72"/>
      <c r="C37" s="73"/>
      <c r="D37" s="73"/>
      <c r="E37" s="73"/>
      <c r="F37" s="73"/>
      <c r="G37" s="73"/>
      <c r="H37" s="73"/>
      <c r="I37" s="74"/>
      <c r="J37" s="75"/>
      <c r="K37" s="75"/>
      <c r="L37" s="76"/>
    </row>
    <row r="38" spans="2:17" ht="16.149999999999999" customHeight="1" thickBot="1" x14ac:dyDescent="0.3">
      <c r="B38" s="77" t="s">
        <v>60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2:17" ht="16.149999999999999" customHeight="1" thickBot="1" x14ac:dyDescent="0.3">
      <c r="B39" s="63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2:17" ht="16.149999999999999" customHeight="1" thickBot="1" x14ac:dyDescent="0.3">
      <c r="B40" s="24" t="s">
        <v>25</v>
      </c>
      <c r="C40" s="39" t="s">
        <v>26</v>
      </c>
      <c r="D40" s="40"/>
      <c r="E40" s="40"/>
      <c r="F40" s="42"/>
      <c r="G40" s="57" t="s">
        <v>27</v>
      </c>
      <c r="H40" s="58"/>
      <c r="I40" s="58"/>
      <c r="J40" s="58"/>
      <c r="K40" s="58"/>
      <c r="L40" s="59"/>
    </row>
    <row r="41" spans="2:17" ht="16.5" thickBot="1" x14ac:dyDescent="0.3">
      <c r="B41" s="21" t="s">
        <v>28</v>
      </c>
      <c r="C41" s="58" t="str">
        <f>IF(G36&lt;11,"NA",IF(G36&lt;15,"ECA",IF(G36&lt;18,"A",IF(G36&lt;20,"A+"))))</f>
        <v>ECA</v>
      </c>
      <c r="D41" s="58" t="e">
        <f>IF(#REF!&lt;11,"NA",IF(#REF!&lt;15,"ECA",IF(#REF!&lt;18,"A",IF(#REF!&lt;20,"A+"))))</f>
        <v>#REF!</v>
      </c>
      <c r="E41" s="58"/>
      <c r="F41" s="59" t="e">
        <f>IF(#REF!&lt;11,"NA",IF(#REF!&lt;15,"ECA",IF(#REF!&lt;18,"A",IF(#REF!&lt;20,"A+"))))</f>
        <v>#REF!</v>
      </c>
      <c r="G41" s="60"/>
      <c r="H41" s="61"/>
      <c r="I41" s="61"/>
      <c r="J41" s="61"/>
      <c r="K41" s="61"/>
      <c r="L41" s="62"/>
    </row>
    <row r="42" spans="2:17" ht="16.149999999999999" customHeight="1" thickBot="1" x14ac:dyDescent="0.3">
      <c r="B42" s="22" t="s">
        <v>29</v>
      </c>
      <c r="C42" s="80" t="e">
        <f>IF(#REF!&lt;11,"NA",IF(#REF!&lt;15,"ECA",IF(#REF!&lt;18,"A",IF(#REF!&lt;20,"A+"))))</f>
        <v>#REF!</v>
      </c>
      <c r="D42" s="81" t="e">
        <f>IF(#REF!&lt;11,"NA",IF(#REF!&lt;15,"ECA",IF(#REF!&lt;18,"A",IF(#REF!&lt;20,"A+"))))</f>
        <v>#REF!</v>
      </c>
      <c r="E42" s="81"/>
      <c r="F42" s="82" t="e">
        <f>IF(#REF!&lt;11,"NA",IF(#REF!&lt;15,"ECA",IF(#REF!&lt;18,"A",IF(#REF!&lt;20,"A+"))))</f>
        <v>#REF!</v>
      </c>
      <c r="G42" s="63" t="s">
        <v>30</v>
      </c>
      <c r="H42" s="50"/>
      <c r="I42" s="50"/>
      <c r="J42" s="51"/>
      <c r="K42" s="57" t="s">
        <v>31</v>
      </c>
      <c r="L42" s="59"/>
    </row>
    <row r="43" spans="2:17" ht="16.149999999999999" customHeight="1" thickBot="1" x14ac:dyDescent="0.3">
      <c r="B43" s="20" t="s">
        <v>32</v>
      </c>
      <c r="C43" s="60" t="e">
        <f>IF(#REF!&lt;11,"NA",IF(#REF!&lt;15,"ECA",IF(#REF!&lt;18,"A",IF(#REF!&lt;20,"A+"))))</f>
        <v>#REF!</v>
      </c>
      <c r="D43" s="61" t="e">
        <f>IF(#REF!&lt;11,"NA",IF(#REF!&lt;15,"ECA",IF(#REF!&lt;18,"A",IF(#REF!&lt;20,"A+"))))</f>
        <v>#REF!</v>
      </c>
      <c r="E43" s="61"/>
      <c r="F43" s="62" t="e">
        <f>IF(#REF!&lt;11,"NA",IF(#REF!&lt;15,"ECA",IF(#REF!&lt;18,"A",IF(#REF!&lt;20,"A+"))))</f>
        <v>#REF!</v>
      </c>
      <c r="G43" s="63" t="s">
        <v>33</v>
      </c>
      <c r="H43" s="50"/>
      <c r="I43" s="50"/>
      <c r="J43" s="51"/>
      <c r="K43" s="64" t="s">
        <v>34</v>
      </c>
      <c r="L43" s="65"/>
    </row>
    <row r="44" spans="2:17" ht="16.149999999999999" customHeight="1" thickBot="1" x14ac:dyDescent="0.3">
      <c r="B44" s="27" t="s">
        <v>35</v>
      </c>
      <c r="C44" s="57" t="s">
        <v>36</v>
      </c>
      <c r="D44" s="58"/>
      <c r="E44" s="58"/>
      <c r="F44" s="59"/>
      <c r="G44" s="63" t="s">
        <v>37</v>
      </c>
      <c r="H44" s="50"/>
      <c r="I44" s="50"/>
      <c r="J44" s="51"/>
      <c r="K44" s="64"/>
      <c r="L44" s="65"/>
    </row>
    <row r="45" spans="2:17" ht="16.149999999999999" customHeight="1" thickBot="1" x14ac:dyDescent="0.3">
      <c r="B45" s="27" t="s">
        <v>38</v>
      </c>
      <c r="C45" s="60"/>
      <c r="D45" s="61"/>
      <c r="E45" s="61"/>
      <c r="F45" s="62"/>
      <c r="G45" s="63" t="s">
        <v>39</v>
      </c>
      <c r="H45" s="50"/>
      <c r="I45" s="50"/>
      <c r="J45" s="51"/>
      <c r="K45" s="66" t="s">
        <v>40</v>
      </c>
      <c r="L45" s="67"/>
    </row>
    <row r="46" spans="2:17" ht="31.15" customHeight="1" x14ac:dyDescent="0.25">
      <c r="B46" s="24" t="s">
        <v>41</v>
      </c>
      <c r="C46" s="68"/>
      <c r="D46" s="41"/>
      <c r="E46" s="41"/>
      <c r="F46" s="69"/>
      <c r="G46" s="68"/>
      <c r="H46" s="41"/>
      <c r="I46" s="41"/>
      <c r="J46" s="69"/>
      <c r="K46" s="66" t="s">
        <v>42</v>
      </c>
      <c r="L46" s="67"/>
    </row>
    <row r="47" spans="2:17" x14ac:dyDescent="0.25">
      <c r="B47" s="19"/>
      <c r="C47" s="83"/>
      <c r="D47" s="84"/>
      <c r="E47" s="84"/>
      <c r="F47" s="85"/>
      <c r="G47" s="83"/>
      <c r="H47" s="84"/>
      <c r="I47" s="84"/>
      <c r="J47" s="85"/>
      <c r="K47" s="89"/>
      <c r="L47" s="90"/>
    </row>
    <row r="48" spans="2:17" x14ac:dyDescent="0.25">
      <c r="B48" s="19"/>
      <c r="C48" s="83"/>
      <c r="D48" s="84"/>
      <c r="E48" s="84"/>
      <c r="F48" s="85"/>
      <c r="G48" s="83"/>
      <c r="H48" s="84"/>
      <c r="I48" s="84"/>
      <c r="J48" s="85"/>
      <c r="K48" s="89"/>
      <c r="L48" s="90"/>
    </row>
    <row r="49" spans="2:12" ht="16.5" thickBot="1" x14ac:dyDescent="0.3">
      <c r="B49" s="20"/>
      <c r="C49" s="86"/>
      <c r="D49" s="87"/>
      <c r="E49" s="87"/>
      <c r="F49" s="88"/>
      <c r="G49" s="86"/>
      <c r="H49" s="87"/>
      <c r="I49" s="87"/>
      <c r="J49" s="88"/>
      <c r="K49" s="74"/>
      <c r="L49" s="76"/>
    </row>
  </sheetData>
  <mergeCells count="63">
    <mergeCell ref="K49:L49"/>
    <mergeCell ref="C44:F45"/>
    <mergeCell ref="G44:J44"/>
    <mergeCell ref="K44:L44"/>
    <mergeCell ref="G45:J45"/>
    <mergeCell ref="K45:L45"/>
    <mergeCell ref="C46:F49"/>
    <mergeCell ref="G46:J49"/>
    <mergeCell ref="K46:L46"/>
    <mergeCell ref="K47:L47"/>
    <mergeCell ref="K48:L48"/>
    <mergeCell ref="B38:L38"/>
    <mergeCell ref="B39:L39"/>
    <mergeCell ref="C40:F40"/>
    <mergeCell ref="G40:L41"/>
    <mergeCell ref="C41:F43"/>
    <mergeCell ref="G42:J42"/>
    <mergeCell ref="K42:L42"/>
    <mergeCell ref="G43:J43"/>
    <mergeCell ref="K43:L43"/>
    <mergeCell ref="G34:H34"/>
    <mergeCell ref="J34:K34"/>
    <mergeCell ref="I35:L35"/>
    <mergeCell ref="I36:J36"/>
    <mergeCell ref="B37:H37"/>
    <mergeCell ref="I37:L37"/>
    <mergeCell ref="B33:L33"/>
    <mergeCell ref="C25:F25"/>
    <mergeCell ref="G25:H25"/>
    <mergeCell ref="J25:L25"/>
    <mergeCell ref="B26:L26"/>
    <mergeCell ref="I27:J27"/>
    <mergeCell ref="I28:J28"/>
    <mergeCell ref="I29:J29"/>
    <mergeCell ref="I30:J30"/>
    <mergeCell ref="C32:F32"/>
    <mergeCell ref="G32:H32"/>
    <mergeCell ref="J32:L32"/>
    <mergeCell ref="B24:L24"/>
    <mergeCell ref="I14:J14"/>
    <mergeCell ref="I15:J15"/>
    <mergeCell ref="I16:J16"/>
    <mergeCell ref="B17:L17"/>
    <mergeCell ref="C18:F18"/>
    <mergeCell ref="G18:H18"/>
    <mergeCell ref="J18:L18"/>
    <mergeCell ref="B19:L19"/>
    <mergeCell ref="I20:J20"/>
    <mergeCell ref="I21:J21"/>
    <mergeCell ref="I22:J22"/>
    <mergeCell ref="I23:J23"/>
    <mergeCell ref="I13:J13"/>
    <mergeCell ref="I4:J4"/>
    <mergeCell ref="I5:J5"/>
    <mergeCell ref="I6:J6"/>
    <mergeCell ref="I7:J7"/>
    <mergeCell ref="I8:J8"/>
    <mergeCell ref="I9:J9"/>
    <mergeCell ref="B10:L10"/>
    <mergeCell ref="C11:F11"/>
    <mergeCell ref="G11:H11"/>
    <mergeCell ref="J11:L11"/>
    <mergeCell ref="B12:L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23"/>
  <sheetViews>
    <sheetView workbookViewId="0">
      <selection activeCell="I16" sqref="I16"/>
    </sheetView>
  </sheetViews>
  <sheetFormatPr baseColWidth="10" defaultRowHeight="15" x14ac:dyDescent="0.25"/>
  <cols>
    <col min="3" max="3" width="35.28515625" bestFit="1" customWidth="1"/>
  </cols>
  <sheetData>
    <row r="4" spans="3:4" x14ac:dyDescent="0.25">
      <c r="C4" s="36" t="s">
        <v>63</v>
      </c>
      <c r="D4" s="38">
        <f>ATIBALA!G36</f>
        <v>11.047638888888887</v>
      </c>
    </row>
    <row r="5" spans="3:4" x14ac:dyDescent="0.25">
      <c r="C5" s="36" t="s">
        <v>62</v>
      </c>
      <c r="D5" s="38">
        <f>KILAMA!G36</f>
        <v>10.753277777777777</v>
      </c>
    </row>
    <row r="6" spans="3:4" x14ac:dyDescent="0.25">
      <c r="C6" s="36" t="s">
        <v>66</v>
      </c>
      <c r="D6" s="38">
        <f>ELOLONGUE!G36</f>
        <v>10.288472222222222</v>
      </c>
    </row>
    <row r="7" spans="3:4" x14ac:dyDescent="0.25">
      <c r="C7" s="36" t="s">
        <v>64</v>
      </c>
      <c r="D7" s="38">
        <f>ABENA!G36</f>
        <v>10.186916666666667</v>
      </c>
    </row>
    <row r="8" spans="3:4" x14ac:dyDescent="0.25">
      <c r="C8" s="36" t="s">
        <v>67</v>
      </c>
      <c r="D8" s="38">
        <f>LIMI!G36</f>
        <v>10.103916666666667</v>
      </c>
    </row>
    <row r="9" spans="3:4" x14ac:dyDescent="0.25">
      <c r="C9" s="36" t="s">
        <v>68</v>
      </c>
      <c r="D9" s="38">
        <f>AGNANANE!G36</f>
        <v>9.7853888888888889</v>
      </c>
    </row>
    <row r="10" spans="3:4" x14ac:dyDescent="0.25">
      <c r="C10" s="36" t="s">
        <v>69</v>
      </c>
      <c r="D10" s="38">
        <f>YAGA!G36</f>
        <v>9.4886666666666653</v>
      </c>
    </row>
    <row r="11" spans="3:4" x14ac:dyDescent="0.25">
      <c r="C11" s="36" t="s">
        <v>65</v>
      </c>
      <c r="D11" s="38">
        <f>ALIMA!G36</f>
        <v>9.4170277777777791</v>
      </c>
    </row>
    <row r="12" spans="3:4" x14ac:dyDescent="0.25">
      <c r="C12" s="36" t="s">
        <v>70</v>
      </c>
      <c r="D12" s="38">
        <f>'NGO MINKA'!G36</f>
        <v>9.195666666666666</v>
      </c>
    </row>
    <row r="13" spans="3:4" x14ac:dyDescent="0.25">
      <c r="C13" s="36" t="s">
        <v>75</v>
      </c>
      <c r="D13" s="38">
        <f>HOTT!G31</f>
        <v>12.58</v>
      </c>
    </row>
    <row r="14" spans="3:4" x14ac:dyDescent="0.25">
      <c r="C14" s="36" t="s">
        <v>71</v>
      </c>
      <c r="D14" s="38">
        <f>EYENGA!G36</f>
        <v>9.0311388888888864</v>
      </c>
    </row>
    <row r="15" spans="3:4" x14ac:dyDescent="0.25">
      <c r="C15" s="36" t="s">
        <v>77</v>
      </c>
      <c r="D15" s="38">
        <f>MEYEBE!G36</f>
        <v>8.9019166666666667</v>
      </c>
    </row>
    <row r="16" spans="3:4" x14ac:dyDescent="0.25">
      <c r="C16" s="37" t="s">
        <v>72</v>
      </c>
      <c r="D16" s="38">
        <f>FOE!G36</f>
        <v>8.4521250000000006</v>
      </c>
    </row>
    <row r="17" spans="3:4" x14ac:dyDescent="0.25">
      <c r="C17" s="36" t="s">
        <v>74</v>
      </c>
      <c r="D17" s="38">
        <f>TSELA!G36</f>
        <v>8.140305555555555</v>
      </c>
    </row>
    <row r="18" spans="3:4" x14ac:dyDescent="0.25">
      <c r="C18" s="37" t="s">
        <v>78</v>
      </c>
      <c r="D18" s="38">
        <f>OBAMA!G36</f>
        <v>8.1259722222222219</v>
      </c>
    </row>
    <row r="19" spans="3:4" x14ac:dyDescent="0.25">
      <c r="C19" s="36" t="s">
        <v>73</v>
      </c>
      <c r="D19" s="38">
        <f>MASSE!G36</f>
        <v>8.0990000000000002</v>
      </c>
    </row>
    <row r="20" spans="3:4" x14ac:dyDescent="0.25">
      <c r="C20" s="36" t="s">
        <v>80</v>
      </c>
      <c r="D20" s="38">
        <f>AMOUGOU!G36</f>
        <v>7.7882499999999997</v>
      </c>
    </row>
    <row r="21" spans="3:4" x14ac:dyDescent="0.25">
      <c r="C21" s="36" t="s">
        <v>76</v>
      </c>
      <c r="D21" s="38">
        <f>DJOUMKOUA!G36</f>
        <v>7.6580277777777779</v>
      </c>
    </row>
    <row r="22" spans="3:4" x14ac:dyDescent="0.25">
      <c r="C22" s="37" t="s">
        <v>79</v>
      </c>
      <c r="D22" s="38">
        <f>APOUOBOUE!G36</f>
        <v>7.2381111111111105</v>
      </c>
    </row>
    <row r="23" spans="3:4" x14ac:dyDescent="0.25">
      <c r="C23" s="36" t="s">
        <v>81</v>
      </c>
      <c r="D23" s="38">
        <f>NGONO!G36</f>
        <v>6.9625277777777779</v>
      </c>
    </row>
  </sheetData>
  <sortState ref="C4:D23">
    <sortCondition descending="1" ref="D4:D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ABENA</vt:lpstr>
      <vt:lpstr>AGNANANE</vt:lpstr>
      <vt:lpstr>ALIMA</vt:lpstr>
      <vt:lpstr>APOUOBOUE</vt:lpstr>
      <vt:lpstr>DJOUMKOUA</vt:lpstr>
      <vt:lpstr>ELOLONGUE</vt:lpstr>
      <vt:lpstr>EYENGA</vt:lpstr>
      <vt:lpstr>FOE</vt:lpstr>
      <vt:lpstr>HOTT</vt:lpstr>
      <vt:lpstr>MEYEBE</vt:lpstr>
      <vt:lpstr>KILAMA</vt:lpstr>
      <vt:lpstr>LIMI</vt:lpstr>
      <vt:lpstr>MASSE</vt:lpstr>
      <vt:lpstr>AMOUGOU</vt:lpstr>
      <vt:lpstr>NGO MINKA</vt:lpstr>
      <vt:lpstr>OBAMA</vt:lpstr>
      <vt:lpstr>NGONO</vt:lpstr>
      <vt:lpstr>TSELA</vt:lpstr>
      <vt:lpstr>YAGA</vt:lpstr>
      <vt:lpstr>ATIBALA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florampeck</dc:creator>
  <cp:lastModifiedBy>ch'croute</cp:lastModifiedBy>
  <dcterms:created xsi:type="dcterms:W3CDTF">2020-12-07T13:08:36Z</dcterms:created>
  <dcterms:modified xsi:type="dcterms:W3CDTF">2022-08-30T15:44:11Z</dcterms:modified>
</cp:coreProperties>
</file>